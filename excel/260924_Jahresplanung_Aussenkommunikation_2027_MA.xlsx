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2.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3.xml" ContentType="application/vnd.openxmlformats-officedocument.drawin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57" documentId="8_{ADFEB5F4-6C22-467C-A6B7-DFA8AA2C7E5A}" xr6:coauthVersionLast="47" xr6:coauthVersionMax="47" xr10:uidLastSave="{A2A5C21A-7B9E-4EE1-9871-F946D2BD94AC}"/>
  <bookViews>
    <workbookView xWindow="-105" yWindow="0" windowWidth="14610" windowHeight="15585" tabRatio="700" xr2:uid="{00000000-000D-0000-FFFF-FFFF00000000}" activeTab="0"/>
  </bookViews>
  <sheets>
    <sheet name="Jahresplanung" sheetId="1" r:id="rId1"/>
    <sheet name="Sommermailing" sheetId="2" r:id="rId2"/>
    <sheet name="Weihnachtsmailing" sheetId="3" r:id="rId3"/>
    <sheet name="Feiertage NRW" sheetId="4" r:id="rId4"/>
  </sheets>
  <definedNames>
    <definedName name="_xlnm.Print_Area" localSheetId="0">Jahresplanung!$A$1:$CN$87</definedName>
    <definedName name="_xlnm.Print_Titles" localSheetId="1">Sommermailing!$6:$9</definedName>
    <definedName name="_xlnm.Print_Titles" localSheetId="2">Weihnachtsmailing!$6:$9</definedName>
    <definedName name="Feiertage">'Feiertage NRW'!$B$7:$B$17</definedName>
    <definedName name="Feiertage_Name">'Feiertage NRW'!$D$7:$D$17</definedName>
    <definedName name="Heute" localSheetId="1">TODAY()</definedName>
    <definedName name="Heute" localSheetId="2">TODAY()</definedName>
    <definedName name="JP_Auflage">Jahresplanung!$V$62:$V$81</definedName>
    <definedName name="JP_Massnahme">Jahresplanung!$B$62:$B$81</definedName>
    <definedName name="JP_PAL">Jahresplanung!$BD$62:$BD$81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Std_Vorlauf_Inhalt">Jahresplanung!$W$6</definedName>
    <definedName name="Std_Vorlauf_Sel">Jahresplanung!$W$5</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<sst xmlns="http://schemas.openxmlformats.org/spreadsheetml/2006/main" count="362" uniqueCount="155">
  <si>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</si>
  <si>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 xml:space="preserve">                    Sommerkrise</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</si>
  <si>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</si>
  <si>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</si>
  <si>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</si>
  <si>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</si>
  <si>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</si>
  <si>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</si>
  <si>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</si>
  <si>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</si>
  <si>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</si>
  <si>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</si>
  <si>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</si>
  <si>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</si>
  <si>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</si>
  <si>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</si>
  <si>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</si>
  <si>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</si>
  <si>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</si>
  <si>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</si>
  <si>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</si>
  <si>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</si>
  <si>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</si>
  <si>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</si>
  <si>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</si>
  <si>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</si>
  <si>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</si>
  <si>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</si>
  <si>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</si>
  <si>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</si>
  <si>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</si>
  <si>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</si>
  <si>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</si>
  <si>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</si>
  <si>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</si>
  <si>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</si>
  <si>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</si>
  <si>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</si>
  <si>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</si>
  <si>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</si>
  <si>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</si>
  <si>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</si>
  <si>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</si>
  <si>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</si>
  <si>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</si>
  <si>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</si>
  <si>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</si>
  <si>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</si>
  <si>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</si>
  <si>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</si>
  <si>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</si>
  <si>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</si>
  <si>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</si>
  <si>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</si>
  <si>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Angebotsanfrage bei Degeler</t>
  </si>
  <si>
    <t>Wärme, Armut, Einsamkeit</t>
  </si>
  <si>
    <t xml:space="preserve">Verknüpft mit Maßnahme:</t>
  </si>
  <si>
    <t xml:space="preserve">Sommermailing</t>
  </si>
  <si>
    <t xml:space="preserve">Weihnachtsmailing</t>
  </si>
  <si>
    <t xml:space="preserve">Planungsjahr</t>
  </si>
  <si>
    <t xml:space="preserve">PAL = geplanter Eingang bei der Zielgruppe (Briefkasten-Termin)</t>
  </si>
  <si>
    <t xml:space="preserve">S</t>
  </si>
  <si>
    <t xml:space="preserve">Start Selektion</t>
  </si>
  <si>
    <t xml:space="preserve">Vorlauf Selektion – Standard (Tage)</t>
  </si>
  <si>
    <t xml:space="preserve">Start Selektion = PAL − Vorlauf Selektion</t>
  </si>
  <si>
    <t xml:space="preserve">I</t>
  </si>
  <si>
    <t xml:space="preserve">Start inhaltliche Arbeit</t>
  </si>
  <si>
    <t xml:space="preserve">Vorlauf Inhalt – Standard (Tage)</t>
  </si>
  <si>
    <t xml:space="preserve">Start inhaltliche Arbeit (Themendefinition) = PAL − Vorlauf Inhalt</t>
  </si>
  <si>
    <t xml:space="preserve">P</t>
  </si>
  <si>
    <t xml:space="preserve">PAL (Briefkasten-Termin)</t>
  </si>
  <si>
    <t xml:space="preserve">Standard = Summe der Gantt-Schritte im Mailing-Zeitplan</t>
  </si>
  <si>
    <t xml:space="preserve">12</t>
  </si>
  <si>
    <t xml:space="preserve">Wochenende</t>
  </si>
  <si>
    <t xml:space="preserve">Feiertag NRW</t>
  </si>
  <si>
    <t xml:space="preserve">Der Kalender liest PAL, Start Selektion und Start inhaltliche Arbeit aller Maßnahmen aus der Tabelle unten – keine manuelle Pflege nötig. Mehrere Termine an einem Tag = mehrere Marker nebeneinander.</t>
  </si>
  <si>
    <t xml:space="preserve">KW</t>
  </si>
  <si>
    <t xml:space="preserve">Mo</t>
  </si>
  <si>
    <t xml:space="preserve">Di</t>
  </si>
  <si>
    <t xml:space="preserve">Mi</t>
  </si>
  <si>
    <t xml:space="preserve">Do</t>
  </si>
  <si>
    <t xml:space="preserve">Fr</t>
  </si>
  <si>
    <t xml:space="preserve">Sa</t>
  </si>
  <si>
    <t xml:space="preserve">So</t>
  </si>
  <si>
    <t xml:space="preserve">Weiß = Eingabe  ·  grau = berechnet  ·  kursiv = außerhalb des Planungsjahres  ·  orange = PAL prüfen  ·  rot = Reihenfolge prüfen</t>
  </si>
  <si>
    <t xml:space="preserve">Maßnahme</t>
  </si>
  <si>
    <t xml:space="preserve">Auflage</t>
  </si>
  <si>
    <t xml:space="preserve">Vorlauf Selektion in Tagen</t>
  </si>
  <si>
    <t xml:space="preserve">Vorlauf Inhalt in Tagen</t>
  </si>
  <si>
    <t xml:space="preserve">PAL</t>
  </si>
  <si>
    <t xml:space="preserve">Art der Zuwendungs-/ Zuweisungsbitte</t>
  </si>
  <si>
    <t xml:space="preserve">Hinweis</t>
  </si>
  <si>
    <t xml:space="preserve">Jahres-ZWB mit Dank</t>
  </si>
  <si>
    <t xml:space="preserve">PAL-Platzhalter – bitte prüfen</t>
  </si>
  <si>
    <t xml:space="preserve">Bußgeldmailing 1: Jahresdank</t>
  </si>
  <si>
    <t xml:space="preserve">Projekt-Update 1</t>
  </si>
  <si>
    <t xml:space="preserve">aktiv</t>
  </si>
  <si>
    <t xml:space="preserve">PAL-Vorschlag (analog Vorjahr) – bitte prüfen</t>
  </si>
  <si>
    <t xml:space="preserve">Jahresbericht</t>
  </si>
  <si>
    <t xml:space="preserve">Projekt-Update 2 (optional)</t>
  </si>
  <si>
    <t xml:space="preserve">Unternehmensmailing „Spenden statt Schenken“</t>
  </si>
  <si>
    <t xml:space="preserve">PAL-Vorschlag (Vorjahr 09.10.2026) – bitte prüfen</t>
  </si>
  <si>
    <t xml:space="preserve">Bußgeldmailing 2: Erinnerung mit Projektbeilage</t>
  </si>
  <si>
    <t xml:space="preserve">PAL-Vorschlag (Vorjahr 27.11.2026) – bitte prüfen</t>
  </si>
  <si>
    <t xml:space="preserve">Weihnachtskarte</t>
  </si>
  <si>
    <t xml:space="preserve">So funktioniert es:</t>
  </si>
  <si>
    <t xml:space="preserve">• PAL, Vorläufe, Auflage, Art der Bitte und Hinweis werden hier gepflegt. Start Selektion und Start inhaltliche Arbeit berechnen sich automatisch (PAL minus Vorlauf, Kalendertage).</t>
  </si>
  <si>
    <t xml:space="preserve">• Die Vorlauf-Spalten übernehmen den Standardwert oben. Für einzelne Maßnahmen einfach eine eigene Zahl eintragen; Zelle leeren = kein Termin für diesen Schritt.</t>
  </si>
  <si>
    <t xml:space="preserve">• Sommer- und Weihnachtsmailing: PAL, Start Selektion und Start inhaltliche Arbeit steuern die gleichnamigen Detailblätter (Gantt). Die Verknüpfung läuft über den Namen in Spalte „Maßnahme“.</t>
  </si>
  <si>
    <t xml:space="preserve">• Neue Maßnahme: in die nächste freie Zeile schreiben. Steht eine PAL vor der darüberliegenden, wird sie rot markiert – dann Zeile an die passende Stelle verschieben (Zeile ausschneiden, „Ausgeschnittene Zellen einfügen“).</t>
  </si>
  <si>
    <t xml:space="preserve">← wird von Blatt „Jahresplanung“ übernommen</t>
  </si>
  <si>
    <t xml:space="preserve">Datum</t>
  </si>
  <si>
    <t xml:space="preserve">Wochentag</t>
  </si>
  <si>
    <t xml:space="preserve">Feiertag</t>
  </si>
  <si>
    <t xml:space="preserve">Berechnung</t>
  </si>
  <si>
    <t xml:space="preserve">Hilfsrechnung Ostersonntag</t>
  </si>
  <si>
    <t xml:space="preserve">Neujahr</t>
  </si>
  <si>
    <t xml:space="preserve">fest: 1. Januar</t>
  </si>
  <si>
    <t xml:space="preserve">a = Jahr mod 19</t>
  </si>
  <si>
    <t xml:space="preserve">Karfreitag</t>
  </si>
  <si>
    <t xml:space="preserve">Ostersonntag − 2 Tage</t>
  </si>
  <si>
    <t xml:space="preserve">b = Jahr div 100</t>
  </si>
  <si>
    <t xml:space="preserve">Ostermontag</t>
  </si>
  <si>
    <t xml:space="preserve">Ostersonntag + 1 Tag</t>
  </si>
  <si>
    <t xml:space="preserve">c = Jahr mod 100</t>
  </si>
  <si>
    <t xml:space="preserve">Tag der Arbeit</t>
  </si>
  <si>
    <t xml:space="preserve">fest: 1. Mai</t>
  </si>
  <si>
    <t xml:space="preserve">d = b div 4</t>
  </si>
  <si>
    <t xml:space="preserve">Christi Himmelfahrt</t>
  </si>
  <si>
    <t xml:space="preserve">Ostersonntag + 39 Tage</t>
  </si>
  <si>
    <t xml:space="preserve">e = b mod 4</t>
  </si>
  <si>
    <t xml:space="preserve">Pfingstmontag</t>
  </si>
  <si>
    <t xml:space="preserve">Ostersonntag + 50 Tage</t>
  </si>
  <si>
    <t xml:space="preserve">f = (b+8) div 25</t>
  </si>
  <si>
    <t xml:space="preserve">Fronleichnam</t>
  </si>
  <si>
    <t xml:space="preserve">Ostersonntag + 60 Tage</t>
  </si>
  <si>
    <t xml:space="preserve">g = (b−f+1) div 3</t>
  </si>
  <si>
    <t xml:space="preserve">Tag der Deutschen Einheit</t>
  </si>
  <si>
    <t xml:space="preserve">fest: 3. Oktober</t>
  </si>
  <si>
    <t xml:space="preserve">h = (19a+b−d−g+15) mod 30</t>
  </si>
  <si>
    <t xml:space="preserve">Allerheiligen</t>
  </si>
  <si>
    <t xml:space="preserve">fest: 1. November</t>
  </si>
  <si>
    <t xml:space="preserve">i = c div 4</t>
  </si>
  <si>
    <t xml:space="preserve">1. Weihnachtsfeiertag</t>
  </si>
  <si>
    <t xml:space="preserve">fest: 25. Dezember</t>
  </si>
  <si>
    <t xml:space="preserve">k = c mod 4</t>
  </si>
  <si>
    <t xml:space="preserve">2. Weihnachtsfeiertag</t>
  </si>
  <si>
    <t xml:space="preserve">fest: 26. Dezember</t>
  </si>
  <si>
    <t xml:space="preserve">l = (32+2e+2i−h−k) mod 7</t>
  </si>
  <si>
    <t xml:space="preserve">m = (a+11h+22l) div 451</t>
  </si>
  <si>
    <t xml:space="preserve">Ostersonntag (Hilfswert)</t>
  </si>
  <si>
    <t xml:space="preserve">Osterregel nach Gauß (Rechenweg rechts); kein gesetzlicher Feiertag in NRW</t>
  </si>
  <si>
    <t xml:space="preserve">n = h+l−7m+114</t>
  </si>
  <si>
    <t xml:space="preserve">Ostern: Monat = n div 31, Tag = n mod 31 + 1</t>
  </si>
  <si>
    <t xml:space="preserve">Die Termine werden automatisch aus dem Planungsjahr berechnet und im Kalender auf Blatt „Jahresplanung“ markiert.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</si>
</sst>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6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i/>
      <sz val="7.5"/>
      <color rgb="FFC00000"/>
      <name val="Calibri"/>
      <family val="2"/>
      <scheme val="minor"/>
    </font>
    <font>
      <sz val="8"/>
      <color rgb="FF262626"/>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s>
  <fills count="2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s>
  <borders count="36">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right/>
      <top style="thin">
        <color rgb="FFBFBFBF"/>
      </top>
      <bottom/>
      <diagonal/>
    </border>
    <border>
      <left style="thin">
        <color rgb="FFFFFFFF"/>
      </left>
      <right style="thin">
        <color rgb="FFFFFFFF"/>
      </right>
      <top/>
      <bottom/>
      <diagonal/>
    </border>
    <border>
      <left/>
      <right/>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16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14" fontId="40" fillId="8" borderId="0" xfId="0" applyNumberFormat="1" applyFont="1" applyFill="1" applyAlignment="1">
      <alignment horizontal="center" vertical="center"/>
    </xf>
    <xf numFmtId="0" fontId="41" fillId="10" borderId="0" xfId="0" applyNumberFormat="1" applyFont="1" applyFill="1" applyBorder="1" applyAlignment="1">
      <alignment horizontal="left" vertical="center" indent="1"/>
    </xf>
    <xf numFmtId="0" fontId="41" fillId="10" borderId="0" xfId="0" applyNumberFormat="1" applyFont="1" applyFill="1" applyBorder="1" applyAlignment="1">
      <alignment vertical="center"/>
    </xf>
    <xf numFmtId="0" fontId="42" fillId="0" borderId="0" xfId="0" applyNumberFormat="1" applyFont="1" applyFill="1" applyBorder="1" applyAlignment="1">
      <alignment horizontal="left" vertical="center" indent="1"/>
    </xf>
    <xf numFmtId="0" fontId="43" fillId="0" borderId="0" xfId="0" applyNumberFormat="1" applyFont="1" applyFill="1" applyBorder="1" applyAlignment="1">
      <alignment horizontal="left" vertical="center" indent="1"/>
    </xf>
    <xf numFmtId="0" fontId="44" fillId="11" borderId="30" xfId="0" applyNumberFormat="1" applyFont="1" applyFill="1" applyBorder="1" applyAlignment="1">
      <alignment horizontal="center" vertical="center"/>
    </xf>
    <xf numFmtId="0" fontId="44" fillId="11" borderId="30" xfId="0" applyNumberFormat="1" applyFont="1" applyFill="1" applyBorder="1" applyAlignment="1">
      <alignment vertical="center"/>
    </xf>
    <xf numFmtId="0" fontId="45" fillId="0" borderId="0" xfId="0" applyNumberFormat="1" applyFont="1" applyFill="1" applyBorder="1" applyAlignment="1">
      <alignment horizontal="left" vertical="center" indent="1"/>
    </xf>
    <xf numFmtId="0" fontId="46" fillId="0" borderId="0" xfId="0" applyNumberFormat="1" applyFont="1" applyFill="1" applyBorder="1" applyAlignment="1">
      <alignment horizontal="left" vertical="center" indent="1"/>
    </xf>
    <xf numFmtId="0" fontId="47" fillId="12" borderId="0" xfId="0" applyNumberFormat="1" applyFont="1" applyFill="1" applyBorder="1" applyAlignment="1">
      <alignment horizontal="left" vertical="center" indent="1"/>
    </xf>
    <xf numFmtId="0" fontId="48" fillId="0" borderId="0" xfId="0" applyNumberFormat="1" applyFont="1" applyFill="1" applyBorder="1" applyAlignment="1">
      <alignment horizontal="left" vertical="center" indent="1"/>
    </xf>
    <xf numFmtId="0" fontId="49" fillId="13" borderId="0" xfId="0" applyNumberFormat="1" applyFont="1" applyFill="1" applyBorder="1" applyAlignment="1">
      <alignment horizontal="center" vertical="center"/>
    </xf>
    <xf numFmtId="0" fontId="49" fillId="14" borderId="0" xfId="0" applyNumberFormat="1" applyFont="1" applyFill="1" applyBorder="1" applyAlignment="1">
      <alignment horizontal="center" vertical="center"/>
    </xf>
    <xf numFmtId="0" fontId="49" fillId="10" borderId="0" xfId="0" applyNumberFormat="1" applyFont="1" applyFill="1" applyBorder="1" applyAlignment="1">
      <alignment horizontal="center" vertical="center"/>
    </xf>
    <xf numFmtId="0" fontId="50" fillId="15" borderId="31" xfId="0" applyNumberFormat="1" applyFont="1" applyFill="1" applyBorder="1" applyAlignment="1">
      <alignment horizontal="center" vertical="center"/>
    </xf>
    <xf numFmtId="0" fontId="51" fillId="16" borderId="31" xfId="0" applyNumberFormat="1" applyFont="1" applyFill="1" applyBorder="1" applyAlignment="1">
      <alignment horizontal="center" vertical="center"/>
    </xf>
    <xf numFmtId="167" fontId="52" fillId="12" borderId="0" xfId="0" applyNumberFormat="1" applyFont="1" applyFill="1" applyBorder="1" applyAlignment="1">
      <alignment horizontal="left" vertical="center" indent="1"/>
    </xf>
    <xf numFmtId="0" fontId="52" fillId="12" borderId="0" xfId="0" applyNumberFormat="1" applyFont="1" applyFill="1" applyBorder="1" applyAlignment="1">
      <alignment vertical="center"/>
    </xf>
    <xf numFmtId="0" fontId="53" fillId="0" borderId="32" xfId="0" applyNumberFormat="1" applyFont="1" applyFill="1" applyBorder="1" applyAlignment="1">
      <alignment horizontal="center" vertical="center"/>
    </xf>
    <xf numFmtId="0" fontId="54" fillId="0" borderId="32" xfId="0" applyNumberFormat="1" applyFont="1" applyFill="1" applyBorder="1" applyAlignment="1">
      <alignment horizontal="center" vertical="center"/>
    </xf>
    <xf numFmtId="0" fontId="55" fillId="0" borderId="0" xfId="0" applyNumberFormat="1" applyFont="1" applyFill="1" applyBorder="1" applyAlignment="1">
      <alignment horizontal="center" vertical="top"/>
    </xf>
    <xf numFmtId="0" fontId="55" fillId="0" borderId="0" xfId="0" applyNumberFormat="1" applyFont="1" applyFill="1" applyBorder="1" applyAlignment="1">
      <alignment horizontal="center" vertical="center"/>
    </xf>
    <xf numFmtId="165" fontId="42" fillId="0" borderId="0" xfId="0" applyNumberFormat="1" applyFont="1" applyFill="1" applyBorder="1" applyAlignment="1">
      <alignment horizontal="center" vertical="bottom"/>
    </xf>
    <xf numFmtId="0" fontId="49" fillId="0" borderId="0" xfId="0" applyNumberFormat="1" applyFont="1" applyFill="1" applyBorder="1" applyAlignment="1">
      <alignment horizontal="center" vertical="center"/>
    </xf>
    <xf numFmtId="0" fontId="56" fillId="0" borderId="0" xfId="0" applyNumberFormat="1" applyFont="1" applyFill="1" applyBorder="1" applyAlignment="1">
      <alignment horizontal="left" vertical="top" wrapText="1"/>
    </xf>
    <xf numFmtId="0" fontId="57" fillId="0" borderId="33" xfId="0" applyNumberFormat="1" applyFont="1" applyFill="1" applyBorder="1" applyAlignment="1">
      <alignment vertical="center"/>
    </xf>
    <xf numFmtId="0" fontId="58" fillId="0" borderId="0" xfId="0" applyNumberFormat="1" applyFont="1" applyFill="1" applyBorder="1" applyAlignment="1">
      <alignment horizontal="left" vertical="center"/>
    </xf>
    <xf numFmtId="0" fontId="45" fillId="0" borderId="0" xfId="0" applyNumberFormat="1" applyFont="1" applyFill="1" applyBorder="1" applyAlignment="1">
      <alignment horizontal="right" vertical="center"/>
    </xf>
    <xf numFmtId="0" fontId="59" fillId="12" borderId="34" xfId="0" applyNumberFormat="1" applyFont="1" applyFill="1" applyBorder="1" applyAlignment="1">
      <alignment horizontal="center" vertical="center" wrapText="1"/>
    </xf>
    <xf numFmtId="0" fontId="59" fillId="13" borderId="34" xfId="0" applyNumberFormat="1" applyFont="1" applyFill="1" applyBorder="1" applyAlignment="1">
      <alignment horizontal="center" vertical="center" wrapText="1"/>
    </xf>
    <xf numFmtId="0" fontId="59" fillId="14" borderId="34" xfId="0" applyNumberFormat="1" applyFont="1" applyFill="1" applyBorder="1" applyAlignment="1">
      <alignment horizontal="center" vertical="center" wrapText="1"/>
    </xf>
    <xf numFmtId="0" fontId="59" fillId="10" borderId="34" xfId="0" applyNumberFormat="1" applyFont="1" applyFill="1" applyBorder="1" applyAlignment="1">
      <alignment horizontal="center" vertical="center" wrapText="1"/>
    </xf>
    <xf numFmtId="0" fontId="60" fillId="17" borderId="34" xfId="0" applyNumberFormat="1" applyFont="1" applyFill="1" applyBorder="1" applyAlignment="1">
      <alignment horizontal="center" vertical="center" wrapText="1"/>
    </xf>
    <xf numFmtId="0" fontId="60" fillId="18" borderId="34" xfId="0" applyNumberFormat="1" applyFont="1" applyFill="1" applyBorder="1" applyAlignment="1">
      <alignment horizontal="center" vertical="center" wrapText="1"/>
    </xf>
    <xf numFmtId="0" fontId="59" fillId="12" borderId="34" xfId="0" applyNumberFormat="1" applyFont="1" applyFill="1" applyBorder="1" applyAlignment="1">
      <alignment horizontal="left" vertical="center" wrapText="1" indent="1"/>
    </xf>
    <xf numFmtId="0" fontId="42" fillId="19" borderId="31" xfId="0" applyNumberFormat="1"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61"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NumberFormat="1" applyFont="1" applyFill="1" applyBorder="1" applyAlignment="1">
      <alignment horizontal="center" vertical="center"/>
    </xf>
    <xf numFmtId="0" fontId="62" fillId="19" borderId="31" xfId="0" applyNumberFormat="1" applyFont="1" applyFill="1" applyBorder="1" applyAlignment="1">
      <alignment horizontal="left" vertical="center" indent="1" shrinkToFit="1"/>
    </xf>
    <xf numFmtId="0" fontId="43" fillId="0" borderId="0" xfId="0" applyNumberFormat="1" applyFont="1" applyFill="1" applyBorder="1" applyAlignment="1">
      <alignment horizontal="left" vertical="center"/>
    </xf>
    <xf numFmtId="0" fontId="62" fillId="0" borderId="0" xfId="0" applyNumberFormat="1" applyFont="1" applyFill="1" applyBorder="1" applyAlignment="1">
      <alignment horizontal="left" vertical="center"/>
    </xf>
    <xf numFmtId="0" fontId="63" fillId="10" borderId="0" xfId="0" applyNumberFormat="1" applyFont="1" applyFill="1" applyBorder="1" applyAlignment="1">
      <alignment horizontal="left" vertical="center" indent="1"/>
    </xf>
    <xf numFmtId="0" fontId="63" fillId="10" borderId="0" xfId="0" applyNumberFormat="1" applyFont="1" applyFill="1" applyBorder="1" applyAlignment="1">
      <alignment vertical="center"/>
    </xf>
    <xf numFmtId="169" fontId="43" fillId="0" borderId="35" xfId="0" applyNumberFormat="1" applyFont="1" applyFill="1" applyBorder="1" applyAlignment="1">
      <alignment horizontal="left" vertical="center" indent="1"/>
    </xf>
    <xf numFmtId="170" fontId="42" fillId="0" borderId="35" xfId="0" applyNumberFormat="1" applyFont="1" applyFill="1" applyBorder="1" applyAlignment="1">
      <alignment horizontal="left" vertical="center" indent="1"/>
    </xf>
    <xf numFmtId="0" fontId="42" fillId="0" borderId="35" xfId="0" applyNumberFormat="1" applyFont="1" applyFill="1" applyBorder="1" applyAlignment="1">
      <alignment horizontal="left" vertical="center" indent="1"/>
    </xf>
    <xf numFmtId="0" fontId="45" fillId="0" borderId="35" xfId="0" applyNumberFormat="1" applyFont="1" applyFill="1" applyBorder="1" applyAlignment="1">
      <alignment horizontal="left" vertical="center" indent="1"/>
    </xf>
    <xf numFmtId="169" fontId="45" fillId="0" borderId="0" xfId="0" applyNumberFormat="1" applyFont="1" applyFill="1" applyBorder="1" applyAlignment="1">
      <alignment horizontal="left" vertical="center" indent="1"/>
    </xf>
    <xf numFmtId="170" fontId="45" fillId="0" borderId="0" xfId="0" applyNumberFormat="1" applyFont="1" applyFill="1" applyBorder="1" applyAlignment="1">
      <alignment horizontal="left" vertical="center" indent="1"/>
    </xf>
    <xf numFmtId="0" fontId="44" fillId="20" borderId="31" xfId="0" applyNumberFormat="1" applyFont="1" applyFill="1" applyBorder="1" applyAlignment="1">
      <alignment horizontal="center" vertical="center"/>
    </xf>
    <xf numFmtId="0" fontId="64" fillId="0" borderId="0" xfId="0" applyNumberFormat="1" applyFont="1" applyFill="1" applyBorder="1" applyAlignment="1">
      <alignment horizontal="left" vertical="center" indent="1"/>
    </xf>
    <xf numFmtId="0" fontId="64" fillId="0" borderId="0" xfId="0" applyNumberFormat="1" applyFont="1" applyFill="1" applyBorder="1" applyAlignment="1">
      <alignment horizontal="right" vertical="center"/>
    </xf>
    <xf numFmtId="0" fontId="53" fillId="0" borderId="35" xfId="0" applyNumberFormat="1" applyFont="1" applyFill="1" applyBorder="1" applyAlignment="1">
      <alignment horizontal="left" vertical="center" indent="1"/>
    </xf>
    <xf numFmtId="0" fontId="65" fillId="0" borderId="0" xfId="0" applyNumberFormat="1" applyFont="1" applyFill="1" applyBorder="1" applyAlignment="1">
      <alignment horizontal="right" vertical="center"/>
    </xf>
    <xf numFmtId="0" fontId="44" fillId="11" borderId="30" xfId="0" applyNumberFormat="1" applyFont="1" applyFill="1" applyBorder="1" applyAlignment="1">
      <alignment horizontal="left" vertical="center" indent="1"/>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04">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i/>
        <color rgb="FF8C8C8C"/>
      </font>
    </dxf>
    <dxf>
      <font>
        <color rgb="FF833C0B"/>
      </font>
      <fill>
        <patternFill patternType="solid">
          <fgColor rgb="FFFCE4D6"/>
          <bgColor rgb="FFFCE4D6"/>
        </patternFill>
      </fill>
    </dxf>
    <dxf>
      <font>
        <b/>
        <color rgb="FFFFFFFF"/>
      </font>
      <fill>
        <patternFill patternType="solid">
          <fgColor rgb="FFC00000"/>
          <bgColor rgb="FFC00000"/>
        </patternFill>
      </fill>
    </dxf>
  </dxfs>
  <tableStyles count="2" defaultPivotStyle="PivotStyleLight16">
    <tableStyle name="Gantt-Tabellenformat" pivot="0" count="4" xr9:uid="{4904D139-63E4-4221-B7C9-C6C5B7A50FAF}">
      <tableStyleElement type="wholeTable" dxfId="92"/>
      <tableStyleElement type="headerRow" dxfId="91"/>
      <tableStyleElement type="firstRowStripe" dxfId="90"/>
      <tableStyleElement type="secondRowStripe" dxfId="89"/>
    </tableStyle>
    <tableStyle name="Aufgabenliste" pivot="0" count="9" xr9:uid="{00000000-0011-0000-FFFF-FFFF00000000}">
      <tableStyleElement type="wholeTable" dxfId="88"/>
      <tableStyleElement type="headerRow" dxfId="87"/>
      <tableStyleElement type="totalRow" dxfId="86"/>
      <tableStyleElement type="firstColumn" dxfId="85"/>
      <tableStyleElement type="lastColumn" dxfId="84"/>
      <tableStyleElement type="firstRowStripe" dxfId="83"/>
      <tableStyleElement type="secondRowStripe" dxfId="82"/>
      <tableStyleElement type="firstColumnStripe" dxfId="81"/>
      <tableStyleElement type="secondColumnStripe" dxfId="8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 Id="rId8" Type="http://schemas.openxmlformats.org/officeDocument/2006/relationships/customXml" Target="../customXml/item1.xml"/><Relationship Id="rId9" Type="http://schemas.openxmlformats.org/officeDocument/2006/relationships/customXml" Target="../customXml/item2.xml"/><Relationship Id="rId10" Type="http://schemas.openxmlformats.org/officeDocument/2006/relationships/customXml" Target="../customXml/item3.xml"/><Relationship Id="rId11" Type="http://schemas.openxmlformats.org/officeDocument/2006/relationships/customXml" Target="../customXml/item4.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0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1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79">
  <tableColumns count="7">
    <tableColumn id="1" xr3:uid="{515F31CA-C550-4EBF-AC5B-C148CE6E9F89}" name="Arbeitsschritte" dataDxfId="78"/>
    <tableColumn id="2" xr3:uid="{430EE49D-3088-4653-8106-77D8507527C4}" name="Zugeordnet" dataDxfId="77"/>
    <tableColumn id="3" xr3:uid="{C12CB4B0-DC17-4DD5-A759-20D1D090D528}" name="Kommentar" dataDxfId="76"/>
    <tableColumn id="4" xr3:uid="{36EE12CA-A47B-419C-A90B-5842996F1EDF}" name="Fortschritt"/>
    <tableColumn id="5" xr3:uid="{68C58684-2159-4502-97DC-12FB326BBF7E}" name="Start" dataDxfId="75" dataCellStyle="Datum">
      <calculatedColumnFormula>H13-G11</calculatedColumnFormula>
    </tableColumn>
    <tableColumn id="6" xr3:uid="{EE7DC829-F5F3-4519-96CB-67ED021862DE}" name="Dauer_x000a_in Tage" dataDxfId="74"/>
    <tableColumn id="7" xr3:uid="{750F70E7-6B08-455A-9057-A502D96A95FB}" name="Ende" dataDxfId="7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79">
  <tableColumns count="7">
    <tableColumn id="1" xr3:uid="{7017624E-C345-4180-A18C-29409BE86F2D}" name="Arbeitsschritte" dataDxfId="78"/>
    <tableColumn id="2" xr3:uid="{26D53AB4-3FA9-4337-8E63-200688F5A628}" name="Zugeordnet" dataDxfId="77"/>
    <tableColumn id="3" xr3:uid="{BBA4E8D8-9BDC-4B94-B27C-C8C5D31A13F4}" name="Kommentar" dataDxfId="76"/>
    <tableColumn id="4" xr3:uid="{92778240-19D8-4474-B689-F337774F589A}" name="Fortschritt"/>
    <tableColumn id="5" xr3:uid="{4CD27677-4F1C-4554-9BDA-C22848D5C1C0}" name="Start" dataDxfId="75" dataCellStyle="Datum">
      <calculatedColumnFormula>H13-G11</calculatedColumnFormula>
    </tableColumn>
    <tableColumn id="6" xr3:uid="{5AE48AE6-DE49-4954-80A8-500C42E25A44}" name="Dauer_x000a_in Tage" dataDxfId="74"/>
    <tableColumn id="7" xr3:uid="{6E9AE6B5-7151-4AB2-ABB4-018D11D4444A}" name="Ende" dataDxfId="7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sheetPr>
    <tabColor rgb="FFE30714"/>
  </sheetPr>
  <dimension ref="A1:CN87"/>
  <sheetViews>
    <sheetView showGridLines="0" tabSelected="1" zoomScale="90" zoomScaleNormal="90" workbookViewId="0">
      <selection activeCell="R4" sqref="R4"/>
    </sheetView>
  </sheetViews>
  <sheetFormatPr defaultRowHeight="15"/>
  <cols>
    <col min="1" max="1" width="3.42578125" customWidth="1"/>
    <col min="2" max="2" width="3.7109375" customWidth="1"/>
    <col min="3" max="3" width="1.7109375" customWidth="1"/>
    <col min="4" max="4" width="1.7109375" customWidth="1"/>
    <col min="5" max="5" width="1.7109375" customWidth="1"/>
    <col min="6" max="6" width="1.7109375" customWidth="1"/>
    <col min="7" max="7" width="1.7109375" customWidth="1"/>
    <col min="8" max="8" width="1.7109375" customWidth="1"/>
    <col min="9" max="9" width="1.7109375" customWidth="1"/>
    <col min="10" max="10" width="1.7109375" customWidth="1"/>
    <col min="11" max="11" width="1.7109375" customWidth="1"/>
    <col min="12" max="12" width="1.7109375" customWidth="1"/>
    <col min="13" max="13" width="1.7109375" customWidth="1"/>
    <col min="14" max="14" width="1.7109375" customWidth="1"/>
    <col min="15" max="15" width="1.7109375" customWidth="1"/>
    <col min="16" max="16" width="1.7109375" customWidth="1"/>
    <col min="17" max="17" width="1.7109375" customWidth="1"/>
    <col min="18" max="18" width="1.7109375" customWidth="1"/>
    <col min="19" max="19" width="1.7109375" customWidth="1"/>
    <col min="20" max="20" width="1.7109375" customWidth="1"/>
    <col min="21" max="21" width="1.7109375" customWidth="1"/>
    <col min="22" max="22" width="1.7109375" customWidth="1"/>
    <col min="23" max="23" width="1.7109375" customWidth="1"/>
    <col min="24" max="24" width="1.7109375" customWidth="1"/>
    <col min="25" max="25" width="3.7109375" customWidth="1"/>
    <col min="26" max="26" width="1.7109375" customWidth="1"/>
    <col min="27" max="27" width="1.7109375" customWidth="1"/>
    <col min="28" max="28" width="1.7109375" customWidth="1"/>
    <col min="29" max="29" width="1.7109375" customWidth="1"/>
    <col min="30" max="30" width="1.7109375" customWidth="1"/>
    <col min="31" max="31" width="1.7109375" customWidth="1"/>
    <col min="32" max="32" width="1.7109375" customWidth="1"/>
    <col min="33" max="33" width="1.7109375" customWidth="1"/>
    <col min="34" max="34" width="1.7109375" customWidth="1"/>
    <col min="35" max="35" width="1.7109375" customWidth="1"/>
    <col min="36" max="36" width="1.7109375" customWidth="1"/>
    <col min="37" max="37" width="1.7109375" customWidth="1"/>
    <col min="38" max="38" width="1.7109375" customWidth="1"/>
    <col min="39" max="39" width="1.7109375" customWidth="1"/>
    <col min="40" max="40" width="1.7109375" customWidth="1"/>
    <col min="41" max="41" width="1.7109375" customWidth="1"/>
    <col min="42" max="42" width="1.7109375" customWidth="1"/>
    <col min="43" max="43" width="1.7109375" customWidth="1"/>
    <col min="44" max="44" width="1.7109375" customWidth="1"/>
    <col min="45" max="45" width="1.7109375" customWidth="1"/>
    <col min="46" max="46" width="1.7109375" customWidth="1"/>
    <col min="47" max="47" width="1.7109375" customWidth="1"/>
    <col min="48" max="48" width="3.7109375" customWidth="1"/>
    <col min="49" max="49" width="1.7109375" customWidth="1"/>
    <col min="50" max="50" width="1.7109375" customWidth="1"/>
    <col min="51" max="51" width="1.7109375" customWidth="1"/>
    <col min="52" max="52" width="1.7109375" customWidth="1"/>
    <col min="53" max="53" width="1.7109375" customWidth="1"/>
    <col min="54" max="54" width="1.7109375" customWidth="1"/>
    <col min="55" max="55" width="1.7109375" customWidth="1"/>
    <col min="56" max="56" width="1.7109375" customWidth="1"/>
    <col min="57" max="57" width="1.7109375" customWidth="1"/>
    <col min="58" max="58" width="1.7109375" customWidth="1"/>
    <col min="59" max="59" width="1.7109375" customWidth="1"/>
    <col min="60" max="60" width="1.7109375" customWidth="1"/>
    <col min="61" max="61" width="1.7109375" customWidth="1"/>
    <col min="62" max="62" width="1.7109375" customWidth="1"/>
    <col min="63" max="63" width="1.7109375" customWidth="1"/>
    <col min="64" max="64" width="1.7109375" customWidth="1"/>
    <col min="65" max="65" width="1.7109375" customWidth="1"/>
    <col min="66" max="66" width="1.7109375" customWidth="1"/>
    <col min="67" max="67" width="1.7109375" customWidth="1"/>
    <col min="68" max="68" width="1.7109375" customWidth="1"/>
    <col min="69" max="69" width="1.7109375" customWidth="1"/>
    <col min="70" max="70" width="1.7109375" customWidth="1"/>
    <col min="71" max="71" width="3.7109375" customWidth="1"/>
    <col min="72" max="72" width="1.7109375" customWidth="1"/>
    <col min="73" max="73" width="1.7109375" customWidth="1"/>
    <col min="74" max="74" width="1.7109375" customWidth="1"/>
    <col min="75" max="75" width="1.7109375" customWidth="1"/>
    <col min="76" max="76" width="1.7109375" customWidth="1"/>
    <col min="77" max="77" width="1.7109375" customWidth="1"/>
    <col min="78" max="78" width="1.7109375" customWidth="1"/>
    <col min="79" max="79" width="1.7109375" customWidth="1"/>
    <col min="80" max="80" width="1.7109375" customWidth="1"/>
    <col min="81" max="81" width="1.7109375" customWidth="1"/>
    <col min="82" max="82" width="1.7109375" customWidth="1"/>
    <col min="83" max="83" width="1.7109375" customWidth="1"/>
    <col min="84" max="84" width="1.7109375" customWidth="1"/>
    <col min="85" max="85" width="1.7109375" customWidth="1"/>
    <col min="86" max="86" width="1.7109375" customWidth="1"/>
    <col min="87" max="87" width="1.7109375" customWidth="1"/>
    <col min="88" max="88" width="1.7109375" customWidth="1"/>
    <col min="89" max="89" width="1.7109375" customWidth="1"/>
    <col min="90" max="90" width="1.7109375" customWidth="1"/>
    <col min="91" max="91" width="1.7109375" customWidth="1"/>
    <col min="92" max="92" width="1.7109375" customWidth="1"/>
  </cols>
  <sheetData>
    <row r="1" ht="14" customHeight="1"/>
    <row r="2" ht="40" customHeight="1">
      <c r="Q2" s="109" t="str">
        <f>"Jahresplanung Außenkommunikation "&amp;Planungsjahr</f>
        <v>Jahresplanung Außenkommunikation 2027</v>
      </c>
      <c r="R2" s="110"/>
      <c r="S2" s="110"/>
      <c r="T2" s="110"/>
      <c r="U2" s="110"/>
      <c r="V2" s="110"/>
      <c r="W2" s="110"/>
      <c r="X2" s="110"/>
      <c r="Y2" s="110"/>
      <c r="Z2" s="110"/>
      <c r="AA2" s="110"/>
      <c r="AB2" s="110"/>
      <c r="AC2" s="110"/>
      <c r="AD2" s="110"/>
      <c r="AE2" s="110"/>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row>
    <row r="3" ht="10" customHeight="1"/>
    <row r="4" ht="17" customHeight="1">
      <c r="B4" s="112" t="s">
        <v>59</v>
      </c>
      <c r="C4" s="111"/>
      <c r="D4" s="111"/>
      <c r="E4" s="111"/>
      <c r="F4" s="111"/>
      <c r="G4" s="111"/>
      <c r="H4" s="111"/>
      <c r="I4" s="111"/>
      <c r="J4" s="111"/>
      <c r="K4" s="111"/>
      <c r="L4" s="111"/>
      <c r="M4" s="111"/>
      <c r="N4" s="111"/>
      <c r="O4" s="111"/>
      <c r="P4" s="111"/>
      <c r="Q4" s="111"/>
      <c r="R4" s="111"/>
      <c r="S4" s="111"/>
      <c r="T4" s="111"/>
      <c r="U4" s="111"/>
      <c r="V4" s="111"/>
      <c r="W4" s="113">
        <v>2027</v>
      </c>
      <c r="X4" s="114"/>
      <c r="Y4" s="114"/>
      <c r="Z4" s="114"/>
      <c r="AA4" s="114"/>
      <c r="AE4" s="112" t="s">
        <v>60</v>
      </c>
      <c r="AF4" s="111"/>
      <c r="AG4" s="111"/>
      <c r="AH4" s="111"/>
      <c r="AI4" s="111"/>
      <c r="AJ4" s="111"/>
      <c r="AK4" s="111"/>
      <c r="AL4" s="111"/>
      <c r="AM4" s="111"/>
      <c r="AN4" s="111"/>
      <c r="AO4" s="111"/>
      <c r="AP4" s="111"/>
      <c r="AQ4" s="111"/>
      <c r="AR4" s="111"/>
      <c r="AS4" s="111"/>
      <c r="AT4" s="111"/>
      <c r="AU4" s="111"/>
      <c r="AV4" s="111"/>
      <c r="AW4" s="111"/>
      <c r="AX4" s="111"/>
      <c r="AY4" s="111"/>
      <c r="AZ4" s="111"/>
      <c r="BA4" s="111"/>
      <c r="BB4" s="111"/>
      <c r="BC4" s="111"/>
      <c r="BD4" s="111"/>
      <c r="BE4" s="111"/>
      <c r="BF4" s="111"/>
      <c r="BG4" s="111"/>
      <c r="BH4" s="111"/>
      <c r="BI4" s="111"/>
      <c r="BJ4" s="111"/>
      <c r="BK4" s="111"/>
      <c r="BL4" s="111"/>
      <c r="BM4" s="111"/>
      <c r="BN4" s="111"/>
      <c r="BO4" s="111"/>
      <c r="BP4" s="111"/>
      <c r="BQ4" s="111"/>
      <c r="BT4" s="119" t="s">
        <v>61</v>
      </c>
      <c r="BV4" s="118" t="s">
        <v>62</v>
      </c>
      <c r="BW4" s="118"/>
      <c r="BX4" s="118"/>
      <c r="BY4" s="118"/>
      <c r="BZ4" s="118"/>
      <c r="CA4" s="118"/>
      <c r="CB4" s="118"/>
      <c r="CC4" s="118"/>
      <c r="CD4" s="118"/>
      <c r="CE4" s="118"/>
      <c r="CF4" s="118"/>
      <c r="CG4" s="118"/>
      <c r="CH4" s="118"/>
      <c r="CI4" s="118"/>
      <c r="CJ4" s="118"/>
      <c r="CK4" s="118"/>
      <c r="CL4" s="118"/>
      <c r="CM4" s="118"/>
      <c r="CN4" s="118"/>
    </row>
    <row r="5" ht="17" customHeight="1">
      <c r="B5" s="111" t="s">
        <v>63</v>
      </c>
      <c r="C5" s="111"/>
      <c r="D5" s="111"/>
      <c r="E5" s="111"/>
      <c r="F5" s="111"/>
      <c r="G5" s="111"/>
      <c r="H5" s="111"/>
      <c r="I5" s="111"/>
      <c r="J5" s="111"/>
      <c r="K5" s="111"/>
      <c r="L5" s="111"/>
      <c r="M5" s="111"/>
      <c r="N5" s="111"/>
      <c r="O5" s="111"/>
      <c r="P5" s="111"/>
      <c r="Q5" s="111"/>
      <c r="R5" s="111"/>
      <c r="S5" s="111"/>
      <c r="T5" s="111"/>
      <c r="U5" s="111"/>
      <c r="V5" s="111"/>
      <c r="W5" s="113">
        <v>76</v>
      </c>
      <c r="X5" s="114"/>
      <c r="Y5" s="114"/>
      <c r="Z5" s="114"/>
      <c r="AA5" s="114"/>
      <c r="AE5" s="111" t="s">
        <v>64</v>
      </c>
      <c r="AF5" s="111"/>
      <c r="AG5" s="111"/>
      <c r="AH5" s="111"/>
      <c r="AI5" s="111"/>
      <c r="AJ5" s="111"/>
      <c r="AK5" s="111"/>
      <c r="AL5" s="111"/>
      <c r="AM5" s="111"/>
      <c r="AN5" s="111"/>
      <c r="AO5" s="111"/>
      <c r="AP5" s="111"/>
      <c r="AQ5" s="111"/>
      <c r="AR5" s="111"/>
      <c r="AS5" s="111"/>
      <c r="AT5" s="111"/>
      <c r="AU5" s="111"/>
      <c r="AV5" s="111"/>
      <c r="AW5" s="111"/>
      <c r="AX5" s="111"/>
      <c r="AY5" s="111"/>
      <c r="AZ5" s="111"/>
      <c r="BA5" s="111"/>
      <c r="BB5" s="111"/>
      <c r="BC5" s="111"/>
      <c r="BD5" s="111"/>
      <c r="BE5" s="111"/>
      <c r="BF5" s="111"/>
      <c r="BG5" s="111"/>
      <c r="BH5" s="111"/>
      <c r="BI5" s="111"/>
      <c r="BJ5" s="111"/>
      <c r="BK5" s="111"/>
      <c r="BL5" s="111"/>
      <c r="BM5" s="111"/>
      <c r="BN5" s="111"/>
      <c r="BO5" s="111"/>
      <c r="BP5" s="111"/>
      <c r="BQ5" s="111"/>
      <c r="BT5" s="120" t="s">
        <v>65</v>
      </c>
      <c r="BV5" s="118" t="s">
        <v>66</v>
      </c>
      <c r="BW5" s="118"/>
      <c r="BX5" s="118"/>
      <c r="BY5" s="118"/>
      <c r="BZ5" s="118"/>
      <c r="CA5" s="118"/>
      <c r="CB5" s="118"/>
      <c r="CC5" s="118"/>
      <c r="CD5" s="118"/>
      <c r="CE5" s="118"/>
      <c r="CF5" s="118"/>
      <c r="CG5" s="118"/>
      <c r="CH5" s="118"/>
      <c r="CI5" s="118"/>
      <c r="CJ5" s="118"/>
      <c r="CK5" s="118"/>
      <c r="CL5" s="118"/>
      <c r="CM5" s="118"/>
      <c r="CN5" s="118"/>
    </row>
    <row r="6" ht="17" customHeight="1">
      <c r="B6" s="111" t="s">
        <v>67</v>
      </c>
      <c r="C6" s="111"/>
      <c r="D6" s="111"/>
      <c r="E6" s="111"/>
      <c r="F6" s="111"/>
      <c r="G6" s="111"/>
      <c r="H6" s="111"/>
      <c r="I6" s="111"/>
      <c r="J6" s="111"/>
      <c r="K6" s="111"/>
      <c r="L6" s="111"/>
      <c r="M6" s="111"/>
      <c r="N6" s="111"/>
      <c r="O6" s="111"/>
      <c r="P6" s="111"/>
      <c r="Q6" s="111"/>
      <c r="R6" s="111"/>
      <c r="S6" s="111"/>
      <c r="T6" s="111"/>
      <c r="U6" s="111"/>
      <c r="V6" s="111"/>
      <c r="W6" s="113">
        <v>58</v>
      </c>
      <c r="X6" s="114"/>
      <c r="Y6" s="114"/>
      <c r="Z6" s="114"/>
      <c r="AA6" s="114"/>
      <c r="AE6" s="111" t="s">
        <v>68</v>
      </c>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T6" s="121" t="s">
        <v>69</v>
      </c>
      <c r="BV6" s="118" t="s">
        <v>70</v>
      </c>
      <c r="BW6" s="118"/>
      <c r="BX6" s="118"/>
      <c r="BY6" s="118"/>
      <c r="BZ6" s="118"/>
      <c r="CA6" s="118"/>
      <c r="CB6" s="118"/>
      <c r="CC6" s="118"/>
      <c r="CD6" s="118"/>
      <c r="CE6" s="118"/>
      <c r="CF6" s="118"/>
      <c r="CG6" s="118"/>
      <c r="CH6" s="118"/>
      <c r="CI6" s="118"/>
      <c r="CJ6" s="118"/>
      <c r="CK6" s="118"/>
      <c r="CL6" s="118"/>
      <c r="CM6" s="118"/>
      <c r="CN6" s="118"/>
    </row>
    <row r="7" ht="17" customHeight="1">
      <c r="B7" s="115" t="s">
        <v>71</v>
      </c>
      <c r="C7" s="115"/>
      <c r="D7" s="115"/>
      <c r="E7" s="115"/>
      <c r="F7" s="115"/>
      <c r="G7" s="115"/>
      <c r="H7" s="115"/>
      <c r="I7" s="115"/>
      <c r="J7" s="115"/>
      <c r="K7" s="115"/>
      <c r="L7" s="115"/>
      <c r="M7" s="115"/>
      <c r="N7" s="115"/>
      <c r="O7" s="115"/>
      <c r="P7" s="115"/>
      <c r="Q7" s="115"/>
      <c r="R7" s="115"/>
      <c r="S7" s="115"/>
      <c r="T7" s="115"/>
      <c r="U7" s="115"/>
      <c r="V7" s="115"/>
      <c r="W7" s="115"/>
      <c r="X7" s="115"/>
      <c r="Y7" s="115"/>
      <c r="Z7" s="115"/>
      <c r="AA7" s="115"/>
      <c r="AB7" s="115"/>
      <c r="AC7" s="115"/>
      <c r="AE7" s="116" t="str">
        <f>IF(AND(Sommermailing!$G$14&gt;=1,Sommermailing!$G$17&gt;=1),"✓ Sommermailing: Zeitplan ok","⚠ Sommermailing: Vorlauf zu kurz")</f>
        <v>✓ Sommermailing: Zeitplan ok</v>
      </c>
      <c r="AF7" s="116"/>
      <c r="AG7" s="116"/>
      <c r="AH7" s="116"/>
      <c r="AI7" s="116"/>
      <c r="AJ7" s="116"/>
      <c r="AK7" s="116"/>
      <c r="AL7" s="116"/>
      <c r="AM7" s="116"/>
      <c r="AN7" s="116"/>
      <c r="AO7" s="116"/>
      <c r="AP7" s="116"/>
      <c r="AQ7" s="116"/>
      <c r="AR7" s="116"/>
      <c r="AS7" s="116"/>
      <c r="AT7" s="116"/>
      <c r="AU7" s="116"/>
      <c r="AV7" s="116"/>
      <c r="AX7" s="116" t="str">
        <f>IF(AND(Weihnachtsmailing!$G$14&gt;=1,Weihnachtsmailing!$G$17&gt;=1),"✓ Weihnachtsmailing: Zeitplan ok","⚠ Weihnachtsmailing: Vorlauf zu kurz")</f>
        <v>✓ Weihnachtsmailing: Zeitplan ok</v>
      </c>
      <c r="AY7" s="116"/>
      <c r="AZ7" s="116"/>
      <c r="BA7" s="116"/>
      <c r="BB7" s="116"/>
      <c r="BC7" s="116"/>
      <c r="BD7" s="116"/>
      <c r="BE7" s="116"/>
      <c r="BF7" s="116"/>
      <c r="BG7" s="116"/>
      <c r="BH7" s="116"/>
      <c r="BI7" s="116"/>
      <c r="BJ7" s="116"/>
      <c r="BK7" s="116"/>
      <c r="BL7" s="116"/>
      <c r="BM7" s="116"/>
      <c r="BN7" s="116"/>
      <c r="BO7" s="116"/>
      <c r="BP7" s="116"/>
      <c r="BQ7" s="116"/>
      <c r="BT7" s="122" t="s">
        <v>72</v>
      </c>
      <c r="BU7" s="122"/>
      <c r="BV7" s="118" t="s">
        <v>73</v>
      </c>
      <c r="BW7" s="118"/>
      <c r="BX7" s="118"/>
      <c r="BY7" s="118"/>
      <c r="BZ7" s="118"/>
      <c r="CA7" s="118"/>
      <c r="CB7" s="118"/>
      <c r="CD7" s="123" t="s">
        <v>72</v>
      </c>
      <c r="CE7" s="123"/>
      <c r="CF7" s="118" t="s">
        <v>74</v>
      </c>
      <c r="CG7" s="118"/>
      <c r="CH7" s="118"/>
      <c r="CI7" s="118"/>
      <c r="CJ7" s="118"/>
      <c r="CK7" s="118"/>
      <c r="CL7" s="118"/>
      <c r="CM7" s="118"/>
      <c r="CN7" s="118"/>
    </row>
    <row r="8" ht="8" customHeight="1"/>
    <row r="9" ht="15" customHeight="1">
      <c r="B9" s="115" t="s">
        <v>75</v>
      </c>
      <c r="C9" s="115"/>
      <c r="D9" s="115"/>
      <c r="E9" s="115"/>
      <c r="F9" s="115"/>
      <c r="G9" s="115"/>
      <c r="H9" s="115"/>
      <c r="I9" s="115"/>
      <c r="J9" s="115"/>
      <c r="K9" s="115"/>
      <c r="L9" s="115"/>
      <c r="M9" s="115"/>
      <c r="N9" s="115"/>
      <c r="O9" s="115"/>
      <c r="P9" s="115"/>
      <c r="Q9" s="115"/>
      <c r="R9" s="115"/>
      <c r="S9" s="115"/>
      <c r="T9" s="115"/>
      <c r="U9" s="115"/>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c r="AU9" s="115"/>
      <c r="AV9" s="115"/>
      <c r="AW9" s="115"/>
      <c r="AX9" s="115"/>
      <c r="AY9" s="115"/>
      <c r="AZ9" s="115"/>
      <c r="BA9" s="115"/>
      <c r="BB9" s="115"/>
      <c r="BC9" s="115"/>
      <c r="BD9" s="115"/>
      <c r="BE9" s="115"/>
      <c r="BF9" s="115"/>
      <c r="BG9" s="115"/>
      <c r="BH9" s="115"/>
      <c r="BI9" s="115"/>
      <c r="BJ9" s="115"/>
      <c r="BK9" s="115"/>
      <c r="BL9" s="115"/>
      <c r="BM9" s="115"/>
      <c r="BN9" s="115"/>
      <c r="BO9" s="115"/>
      <c r="BP9" s="115"/>
      <c r="BQ9" s="115"/>
      <c r="BR9" s="115"/>
      <c r="BS9" s="115"/>
      <c r="BT9" s="115"/>
      <c r="BU9" s="115"/>
      <c r="BV9" s="115"/>
      <c r="BW9" s="115"/>
      <c r="BX9" s="115"/>
      <c r="BY9" s="115"/>
      <c r="BZ9" s="115"/>
      <c r="CA9" s="115"/>
      <c r="CB9" s="115"/>
      <c r="CC9" s="115"/>
      <c r="CD9" s="115"/>
      <c r="CE9" s="115"/>
      <c r="CF9" s="115"/>
      <c r="CG9" s="115"/>
      <c r="CH9" s="115"/>
      <c r="CI9" s="115"/>
      <c r="CJ9" s="115"/>
      <c r="CK9" s="115"/>
      <c r="CL9" s="115"/>
      <c r="CM9" s="115"/>
      <c r="CN9" s="115"/>
    </row>
    <row r="10" ht="8" customHeight="1"/>
    <row r="11" ht="20" customHeight="1">
      <c r="B11" s="124">
        <f>DATE(Planungsjahr,1,1)</f>
        <v>46388</v>
      </c>
      <c r="C11" s="125"/>
      <c r="D11" s="125"/>
      <c r="E11" s="125"/>
      <c r="F11" s="125"/>
      <c r="G11" s="125"/>
      <c r="H11" s="125"/>
      <c r="I11" s="125"/>
      <c r="J11" s="125"/>
      <c r="K11" s="125"/>
      <c r="L11" s="125"/>
      <c r="M11" s="125"/>
      <c r="N11" s="125"/>
      <c r="O11" s="125"/>
      <c r="P11" s="125"/>
      <c r="Q11" s="125"/>
      <c r="R11" s="125"/>
      <c r="S11" s="125"/>
      <c r="T11" s="125"/>
      <c r="U11" s="125"/>
      <c r="V11" s="125"/>
      <c r="W11" s="125"/>
      <c r="Y11" s="124">
        <f>DATE(Planungsjahr,2,1)</f>
        <v>46419</v>
      </c>
      <c r="Z11" s="125"/>
      <c r="AA11" s="125"/>
      <c r="AB11" s="125"/>
      <c r="AC11" s="125"/>
      <c r="AD11" s="125"/>
      <c r="AE11" s="125"/>
      <c r="AF11" s="125"/>
      <c r="AG11" s="125"/>
      <c r="AH11" s="125"/>
      <c r="AI11" s="125"/>
      <c r="AJ11" s="125"/>
      <c r="AK11" s="125"/>
      <c r="AL11" s="125"/>
      <c r="AM11" s="125"/>
      <c r="AN11" s="125"/>
      <c r="AO11" s="125"/>
      <c r="AP11" s="125"/>
      <c r="AQ11" s="125"/>
      <c r="AR11" s="125"/>
      <c r="AS11" s="125"/>
      <c r="AT11" s="125"/>
      <c r="AV11" s="124">
        <f>DATE(Planungsjahr,3,1)</f>
        <v>46447</v>
      </c>
      <c r="AW11" s="125"/>
      <c r="AX11" s="125"/>
      <c r="AY11" s="125"/>
      <c r="AZ11" s="125"/>
      <c r="BA11" s="125"/>
      <c r="BB11" s="125"/>
      <c r="BC11" s="125"/>
      <c r="BD11" s="125"/>
      <c r="BE11" s="125"/>
      <c r="BF11" s="125"/>
      <c r="BG11" s="125"/>
      <c r="BH11" s="125"/>
      <c r="BI11" s="125"/>
      <c r="BJ11" s="125"/>
      <c r="BK11" s="125"/>
      <c r="BL11" s="125"/>
      <c r="BM11" s="125"/>
      <c r="BN11" s="125"/>
      <c r="BO11" s="125"/>
      <c r="BP11" s="125"/>
      <c r="BQ11" s="125"/>
      <c r="BS11" s="124">
        <f>DATE(Planungsjahr,4,1)</f>
        <v>46478</v>
      </c>
      <c r="BT11" s="125"/>
      <c r="BU11" s="125"/>
      <c r="BV11" s="125"/>
      <c r="BW11" s="125"/>
      <c r="BX11" s="125"/>
      <c r="BY11" s="125"/>
      <c r="BZ11" s="125"/>
      <c r="CA11" s="125"/>
      <c r="CB11" s="125"/>
      <c r="CC11" s="125"/>
      <c r="CD11" s="125"/>
      <c r="CE11" s="125"/>
      <c r="CF11" s="125"/>
      <c r="CG11" s="125"/>
      <c r="CH11" s="125"/>
      <c r="CI11" s="125"/>
      <c r="CJ11" s="125"/>
      <c r="CK11" s="125"/>
      <c r="CL11" s="125"/>
      <c r="CM11" s="125"/>
      <c r="CN11" s="125"/>
    </row>
    <row r="12" ht="14" customHeight="1">
      <c r="B12" s="127" t="s">
        <v>76</v>
      </c>
      <c r="C12" s="126" t="s">
        <v>77</v>
      </c>
      <c r="D12" s="126"/>
      <c r="E12" s="126"/>
      <c r="F12" s="126" t="s">
        <v>78</v>
      </c>
      <c r="G12" s="126"/>
      <c r="H12" s="126"/>
      <c r="I12" s="126" t="s">
        <v>79</v>
      </c>
      <c r="J12" s="126"/>
      <c r="K12" s="126"/>
      <c r="L12" s="126" t="s">
        <v>80</v>
      </c>
      <c r="M12" s="126"/>
      <c r="N12" s="126"/>
      <c r="O12" s="126" t="s">
        <v>81</v>
      </c>
      <c r="P12" s="126"/>
      <c r="Q12" s="126"/>
      <c r="R12" s="126" t="s">
        <v>82</v>
      </c>
      <c r="S12" s="126"/>
      <c r="T12" s="126"/>
      <c r="U12" s="126" t="s">
        <v>83</v>
      </c>
      <c r="V12" s="126"/>
      <c r="W12" s="126"/>
      <c r="Y12" s="127" t="s">
        <v>76</v>
      </c>
      <c r="Z12" s="126" t="s">
        <v>77</v>
      </c>
      <c r="AA12" s="126"/>
      <c r="AB12" s="126"/>
      <c r="AC12" s="126" t="s">
        <v>78</v>
      </c>
      <c r="AD12" s="126"/>
      <c r="AE12" s="126"/>
      <c r="AF12" s="126" t="s">
        <v>79</v>
      </c>
      <c r="AG12" s="126"/>
      <c r="AH12" s="126"/>
      <c r="AI12" s="126" t="s">
        <v>80</v>
      </c>
      <c r="AJ12" s="126"/>
      <c r="AK12" s="126"/>
      <c r="AL12" s="126" t="s">
        <v>81</v>
      </c>
      <c r="AM12" s="126"/>
      <c r="AN12" s="126"/>
      <c r="AO12" s="126" t="s">
        <v>82</v>
      </c>
      <c r="AP12" s="126"/>
      <c r="AQ12" s="126"/>
      <c r="AR12" s="126" t="s">
        <v>83</v>
      </c>
      <c r="AS12" s="126"/>
      <c r="AT12" s="126"/>
      <c r="AV12" s="127" t="s">
        <v>76</v>
      </c>
      <c r="AW12" s="126" t="s">
        <v>77</v>
      </c>
      <c r="AX12" s="126"/>
      <c r="AY12" s="126"/>
      <c r="AZ12" s="126" t="s">
        <v>78</v>
      </c>
      <c r="BA12" s="126"/>
      <c r="BB12" s="126"/>
      <c r="BC12" s="126" t="s">
        <v>79</v>
      </c>
      <c r="BD12" s="126"/>
      <c r="BE12" s="126"/>
      <c r="BF12" s="126" t="s">
        <v>80</v>
      </c>
      <c r="BG12" s="126"/>
      <c r="BH12" s="126"/>
      <c r="BI12" s="126" t="s">
        <v>81</v>
      </c>
      <c r="BJ12" s="126"/>
      <c r="BK12" s="126"/>
      <c r="BL12" s="126" t="s">
        <v>82</v>
      </c>
      <c r="BM12" s="126"/>
      <c r="BN12" s="126"/>
      <c r="BO12" s="126" t="s">
        <v>83</v>
      </c>
      <c r="BP12" s="126"/>
      <c r="BQ12" s="126"/>
      <c r="BS12" s="127" t="s">
        <v>76</v>
      </c>
      <c r="BT12" s="126" t="s">
        <v>77</v>
      </c>
      <c r="BU12" s="126"/>
      <c r="BV12" s="126"/>
      <c r="BW12" s="126" t="s">
        <v>78</v>
      </c>
      <c r="BX12" s="126"/>
      <c r="BY12" s="126"/>
      <c r="BZ12" s="126" t="s">
        <v>79</v>
      </c>
      <c r="CA12" s="126"/>
      <c r="CB12" s="126"/>
      <c r="CC12" s="126" t="s">
        <v>80</v>
      </c>
      <c r="CD12" s="126"/>
      <c r="CE12" s="126"/>
      <c r="CF12" s="126" t="s">
        <v>81</v>
      </c>
      <c r="CG12" s="126"/>
      <c r="CH12" s="126"/>
      <c r="CI12" s="126" t="s">
        <v>82</v>
      </c>
      <c r="CJ12" s="126"/>
      <c r="CK12" s="126"/>
      <c r="CL12" s="126" t="s">
        <v>83</v>
      </c>
      <c r="CM12" s="126"/>
      <c r="CN12" s="126"/>
    </row>
    <row r="13" ht="16" customHeight="1">
      <c r="B13" s="128">
        <f>IF(OR(ISNUMBER(C13),ISNUMBER(U13)),_xlfn.ISOWEEKNUM($B$11-WEEKDAY($B$11,2)+1),"")</f>
        <v>53</v>
      </c>
      <c r="C13" s="130" t="str">
        <f>IF(MONTH($B$11-WEEKDAY($B$11,2)+1)=MONTH($B$11),$B$11-WEEKDAY($B$11,2)+1,"")</f>
        <v/>
      </c>
      <c r="D13" s="130"/>
      <c r="E13" s="130"/>
      <c r="F13" s="130" t="str">
        <f>IF(MONTH($B$11-WEEKDAY($B$11,2)+2)=MONTH($B$11),$B$11-WEEKDAY($B$11,2)+2,"")</f>
        <v/>
      </c>
      <c r="G13" s="130"/>
      <c r="H13" s="130"/>
      <c r="I13" s="130" t="str">
        <f>IF(MONTH($B$11-WEEKDAY($B$11,2)+3)=MONTH($B$11),$B$11-WEEKDAY($B$11,2)+3,"")</f>
        <v/>
      </c>
      <c r="J13" s="130"/>
      <c r="K13" s="130"/>
      <c r="L13" s="130" t="str">
        <f>IF(MONTH($B$11-WEEKDAY($B$11,2)+4)=MONTH($B$11),$B$11-WEEKDAY($B$11,2)+4,"")</f>
        <v/>
      </c>
      <c r="M13" s="130"/>
      <c r="N13" s="130"/>
      <c r="O13" s="130">
        <f>IF(MONTH($B$11-WEEKDAY($B$11,2)+5)=MONTH($B$11),$B$11-WEEKDAY($B$11,2)+5,"")</f>
        <v>46388</v>
      </c>
      <c r="P13" s="130"/>
      <c r="Q13" s="130"/>
      <c r="R13" s="130">
        <f>IF(MONTH($B$11-WEEKDAY($B$11,2)+6)=MONTH($B$11),$B$11-WEEKDAY($B$11,2)+6,"")</f>
        <v>46389</v>
      </c>
      <c r="S13" s="130"/>
      <c r="T13" s="130"/>
      <c r="U13" s="130">
        <f>IF(MONTH($B$11-WEEKDAY($B$11,2)+7)=MONTH($B$11),$B$11-WEEKDAY($B$11,2)+7,"")</f>
        <v>46390</v>
      </c>
      <c r="V13" s="130"/>
      <c r="W13" s="130"/>
      <c r="Y13" s="128">
        <f>IF(OR(ISNUMBER(Z13),ISNUMBER(AR13)),_xlfn.ISOWEEKNUM($Y$11-WEEKDAY($Y$11,2)+1),"")</f>
        <v>5</v>
      </c>
      <c r="Z13" s="130">
        <f>IF(MONTH($Y$11-WEEKDAY($Y$11,2)+1)=MONTH($Y$11),$Y$11-WEEKDAY($Y$11,2)+1,"")</f>
        <v>46419</v>
      </c>
      <c r="AA13" s="130"/>
      <c r="AB13" s="130"/>
      <c r="AC13" s="130">
        <f>IF(MONTH($Y$11-WEEKDAY($Y$11,2)+2)=MONTH($Y$11),$Y$11-WEEKDAY($Y$11,2)+2,"")</f>
        <v>46420</v>
      </c>
      <c r="AD13" s="130"/>
      <c r="AE13" s="130"/>
      <c r="AF13" s="130">
        <f>IF(MONTH($Y$11-WEEKDAY($Y$11,2)+3)=MONTH($Y$11),$Y$11-WEEKDAY($Y$11,2)+3,"")</f>
        <v>46421</v>
      </c>
      <c r="AG13" s="130"/>
      <c r="AH13" s="130"/>
      <c r="AI13" s="130">
        <f>IF(MONTH($Y$11-WEEKDAY($Y$11,2)+4)=MONTH($Y$11),$Y$11-WEEKDAY($Y$11,2)+4,"")</f>
        <v>46422</v>
      </c>
      <c r="AJ13" s="130"/>
      <c r="AK13" s="130"/>
      <c r="AL13" s="130">
        <f>IF(MONTH($Y$11-WEEKDAY($Y$11,2)+5)=MONTH($Y$11),$Y$11-WEEKDAY($Y$11,2)+5,"")</f>
        <v>46423</v>
      </c>
      <c r="AM13" s="130"/>
      <c r="AN13" s="130"/>
      <c r="AO13" s="130">
        <f>IF(MONTH($Y$11-WEEKDAY($Y$11,2)+6)=MONTH($Y$11),$Y$11-WEEKDAY($Y$11,2)+6,"")</f>
        <v>46424</v>
      </c>
      <c r="AP13" s="130"/>
      <c r="AQ13" s="130"/>
      <c r="AR13" s="130">
        <f>IF(MONTH($Y$11-WEEKDAY($Y$11,2)+7)=MONTH($Y$11),$Y$11-WEEKDAY($Y$11,2)+7,"")</f>
        <v>46425</v>
      </c>
      <c r="AS13" s="130"/>
      <c r="AT13" s="130"/>
      <c r="AV13" s="128">
        <f>IF(OR(ISNUMBER(AW13),ISNUMBER(BO13)),_xlfn.ISOWEEKNUM($AV$11-WEEKDAY($AV$11,2)+1),"")</f>
        <v>9</v>
      </c>
      <c r="AW13" s="130">
        <f>IF(MONTH($AV$11-WEEKDAY($AV$11,2)+1)=MONTH($AV$11),$AV$11-WEEKDAY($AV$11,2)+1,"")</f>
        <v>46447</v>
      </c>
      <c r="AX13" s="130"/>
      <c r="AY13" s="130"/>
      <c r="AZ13" s="130">
        <f>IF(MONTH($AV$11-WEEKDAY($AV$11,2)+2)=MONTH($AV$11),$AV$11-WEEKDAY($AV$11,2)+2,"")</f>
        <v>46448</v>
      </c>
      <c r="BA13" s="130"/>
      <c r="BB13" s="130"/>
      <c r="BC13" s="130">
        <f>IF(MONTH($AV$11-WEEKDAY($AV$11,2)+3)=MONTH($AV$11),$AV$11-WEEKDAY($AV$11,2)+3,"")</f>
        <v>46449</v>
      </c>
      <c r="BD13" s="130"/>
      <c r="BE13" s="130"/>
      <c r="BF13" s="130">
        <f>IF(MONTH($AV$11-WEEKDAY($AV$11,2)+4)=MONTH($AV$11),$AV$11-WEEKDAY($AV$11,2)+4,"")</f>
        <v>46450</v>
      </c>
      <c r="BG13" s="130"/>
      <c r="BH13" s="130"/>
      <c r="BI13" s="130">
        <f>IF(MONTH($AV$11-WEEKDAY($AV$11,2)+5)=MONTH($AV$11),$AV$11-WEEKDAY($AV$11,2)+5,"")</f>
        <v>46451</v>
      </c>
      <c r="BJ13" s="130"/>
      <c r="BK13" s="130"/>
      <c r="BL13" s="130">
        <f>IF(MONTH($AV$11-WEEKDAY($AV$11,2)+6)=MONTH($AV$11),$AV$11-WEEKDAY($AV$11,2)+6,"")</f>
        <v>46452</v>
      </c>
      <c r="BM13" s="130"/>
      <c r="BN13" s="130"/>
      <c r="BO13" s="130">
        <f>IF(MONTH($AV$11-WEEKDAY($AV$11,2)+7)=MONTH($AV$11),$AV$11-WEEKDAY($AV$11,2)+7,"")</f>
        <v>46453</v>
      </c>
      <c r="BP13" s="130"/>
      <c r="BQ13" s="130"/>
      <c r="BS13" s="128">
        <f>IF(OR(ISNUMBER(BT13),ISNUMBER(CL13)),_xlfn.ISOWEEKNUM($BS$11-WEEKDAY($BS$11,2)+1),"")</f>
        <v>13</v>
      </c>
      <c r="BT13" s="130" t="str">
        <f>IF(MONTH($BS$11-WEEKDAY($BS$11,2)+1)=MONTH($BS$11),$BS$11-WEEKDAY($BS$11,2)+1,"")</f>
        <v/>
      </c>
      <c r="BU13" s="130"/>
      <c r="BV13" s="130"/>
      <c r="BW13" s="130" t="str">
        <f>IF(MONTH($BS$11-WEEKDAY($BS$11,2)+2)=MONTH($BS$11),$BS$11-WEEKDAY($BS$11,2)+2,"")</f>
        <v/>
      </c>
      <c r="BX13" s="130"/>
      <c r="BY13" s="130"/>
      <c r="BZ13" s="130" t="str">
        <f>IF(MONTH($BS$11-WEEKDAY($BS$11,2)+3)=MONTH($BS$11),$BS$11-WEEKDAY($BS$11,2)+3,"")</f>
        <v/>
      </c>
      <c r="CA13" s="130"/>
      <c r="CB13" s="130"/>
      <c r="CC13" s="130">
        <f>IF(MONTH($BS$11-WEEKDAY($BS$11,2)+4)=MONTH($BS$11),$BS$11-WEEKDAY($BS$11,2)+4,"")</f>
        <v>46478</v>
      </c>
      <c r="CD13" s="130"/>
      <c r="CE13" s="130"/>
      <c r="CF13" s="130">
        <f>IF(MONTH($BS$11-WEEKDAY($BS$11,2)+5)=MONTH($BS$11),$BS$11-WEEKDAY($BS$11,2)+5,"")</f>
        <v>46479</v>
      </c>
      <c r="CG13" s="130"/>
      <c r="CH13" s="130"/>
      <c r="CI13" s="130">
        <f>IF(MONTH($BS$11-WEEKDAY($BS$11,2)+6)=MONTH($BS$11),$BS$11-WEEKDAY($BS$11,2)+6,"")</f>
        <v>46480</v>
      </c>
      <c r="CJ13" s="130"/>
      <c r="CK13" s="130"/>
      <c r="CL13" s="130">
        <f>IF(MONTH($BS$11-WEEKDAY($BS$11,2)+7)=MONTH($BS$11),$BS$11-WEEKDAY($BS$11,2)+7,"")</f>
        <v>46481</v>
      </c>
      <c r="CM13" s="130"/>
      <c r="CN13" s="130"/>
    </row>
    <row r="14" ht="10.5" customHeight="1">
      <c r="B14" s="129"/>
      <c r="C14" s="131" t="str">
        <f>IF(ISNUMBER(C13),IF(COUNTIF(JP_StartSel,C13)&gt;0,"S",IF(COUNTIF(Feiertage,C13)&gt;0,"h","")),"")</f>
        <v/>
      </c>
      <c r="D14" s="131" t="str">
        <f>IF(ISNUMBER(C13),IF(COUNTIF(JP_StartInhalt,C13)&gt;0,"I",IF(COUNTIF(Feiertage,C13)&gt;0,"h","")),"")</f>
        <v/>
      </c>
      <c r="E14" s="131" t="str">
        <f>IF(ISNUMBER(C13),IF(COUNTIF(JP_PAL,C13)&gt;0,"P",IF(COUNTIF(Feiertage,C13)&gt;0,"h","")),"")</f>
        <v/>
      </c>
      <c r="F14" s="131" t="str">
        <f>IF(ISNUMBER(F13),IF(COUNTIF(JP_StartSel,F13)&gt;0,"S",IF(COUNTIF(Feiertage,F13)&gt;0,"h","")),"")</f>
        <v/>
      </c>
      <c r="G14" s="131" t="str">
        <f>IF(ISNUMBER(F13),IF(COUNTIF(JP_StartInhalt,F13)&gt;0,"I",IF(COUNTIF(Feiertage,F13)&gt;0,"h","")),"")</f>
        <v/>
      </c>
      <c r="H14" s="131" t="str">
        <f>IF(ISNUMBER(F13),IF(COUNTIF(JP_PAL,F13)&gt;0,"P",IF(COUNTIF(Feiertage,F13)&gt;0,"h","")),"")</f>
        <v/>
      </c>
      <c r="I14" s="131" t="str">
        <f>IF(ISNUMBER(I13),IF(COUNTIF(JP_StartSel,I13)&gt;0,"S",IF(COUNTIF(Feiertage,I13)&gt;0,"h","")),"")</f>
        <v/>
      </c>
      <c r="J14" s="131" t="str">
        <f>IF(ISNUMBER(I13),IF(COUNTIF(JP_StartInhalt,I13)&gt;0,"I",IF(COUNTIF(Feiertage,I13)&gt;0,"h","")),"")</f>
        <v/>
      </c>
      <c r="K14" s="131" t="str">
        <f>IF(ISNUMBER(I13),IF(COUNTIF(JP_PAL,I13)&gt;0,"P",IF(COUNTIF(Feiertage,I13)&gt;0,"h","")),"")</f>
        <v/>
      </c>
      <c r="L14" s="131" t="str">
        <f>IF(ISNUMBER(L13),IF(COUNTIF(JP_StartSel,L13)&gt;0,"S",IF(COUNTIF(Feiertage,L13)&gt;0,"h","")),"")</f>
        <v/>
      </c>
      <c r="M14" s="131" t="str">
        <f>IF(ISNUMBER(L13),IF(COUNTIF(JP_StartInhalt,L13)&gt;0,"I",IF(COUNTIF(Feiertage,L13)&gt;0,"h","")),"")</f>
        <v/>
      </c>
      <c r="N14" s="131" t="str">
        <f>IF(ISNUMBER(L13),IF(COUNTIF(JP_PAL,L13)&gt;0,"P",IF(COUNTIF(Feiertage,L13)&gt;0,"h","")),"")</f>
        <v/>
      </c>
      <c r="O14" s="131" t="str">
        <f>IF(ISNUMBER(O13),IF(COUNTIF(JP_StartSel,O13)&gt;0,"S",IF(COUNTIF(Feiertage,O13)&gt;0,"h","")),"")</f>
        <v>h</v>
      </c>
      <c r="P14" s="131" t="str">
        <f>IF(ISNUMBER(O13),IF(COUNTIF(JP_StartInhalt,O13)&gt;0,"I",IF(COUNTIF(Feiertage,O13)&gt;0,"h","")),"")</f>
        <v>h</v>
      </c>
      <c r="Q14" s="131" t="str">
        <f>IF(ISNUMBER(O13),IF(COUNTIF(JP_PAL,O13)&gt;0,"P",IF(COUNTIF(Feiertage,O13)&gt;0,"h","")),"")</f>
        <v>h</v>
      </c>
      <c r="R14" s="131" t="str">
        <f>IF(ISNUMBER(R13),IF(COUNTIF(JP_StartSel,R13)&gt;0,"S",IF(COUNTIF(Feiertage,R13)&gt;0,"h","w")),"")</f>
        <v>w</v>
      </c>
      <c r="S14" s="131" t="str">
        <f>IF(ISNUMBER(R13),IF(COUNTIF(JP_StartInhalt,R13)&gt;0,"I",IF(COUNTIF(Feiertage,R13)&gt;0,"h","w")),"")</f>
        <v>w</v>
      </c>
      <c r="T14" s="131" t="str">
        <f>IF(ISNUMBER(R13),IF(COUNTIF(JP_PAL,R13)&gt;0,"P",IF(COUNTIF(Feiertage,R13)&gt;0,"h","w")),"")</f>
        <v>w</v>
      </c>
      <c r="U14" s="131" t="str">
        <f>IF(ISNUMBER(U13),IF(COUNTIF(JP_StartSel,U13)&gt;0,"S",IF(COUNTIF(Feiertage,U13)&gt;0,"h","w")),"")</f>
        <v>w</v>
      </c>
      <c r="V14" s="131" t="str">
        <f>IF(ISNUMBER(U13),IF(COUNTIF(JP_StartInhalt,U13)&gt;0,"I",IF(COUNTIF(Feiertage,U13)&gt;0,"h","w")),"")</f>
        <v>w</v>
      </c>
      <c r="W14" s="131" t="str">
        <f>IF(ISNUMBER(U13),IF(COUNTIF(JP_PAL,U13)&gt;0,"P",IF(COUNTIF(Feiertage,U13)&gt;0,"h","w")),"")</f>
        <v>w</v>
      </c>
      <c r="Y14" s="129"/>
      <c r="Z14" s="131" t="str">
        <f>IF(ISNUMBER(Z13),IF(COUNTIF(JP_StartSel,Z13)&gt;0,"S",IF(COUNTIF(Feiertage,Z13)&gt;0,"h","")),"")</f>
        <v/>
      </c>
      <c r="AA14" s="131" t="str">
        <f>IF(ISNUMBER(Z13),IF(COUNTIF(JP_StartInhalt,Z13)&gt;0,"I",IF(COUNTIF(Feiertage,Z13)&gt;0,"h","")),"")</f>
        <v/>
      </c>
      <c r="AB14" s="131" t="str">
        <f>IF(ISNUMBER(Z13),IF(COUNTIF(JP_PAL,Z13)&gt;0,"P",IF(COUNTIF(Feiertage,Z13)&gt;0,"h","")),"")</f>
        <v/>
      </c>
      <c r="AC14" s="131" t="str">
        <f>IF(ISNUMBER(AC13),IF(COUNTIF(JP_StartSel,AC13)&gt;0,"S",IF(COUNTIF(Feiertage,AC13)&gt;0,"h","")),"")</f>
        <v/>
      </c>
      <c r="AD14" s="131" t="str">
        <f>IF(ISNUMBER(AC13),IF(COUNTIF(JP_StartInhalt,AC13)&gt;0,"I",IF(COUNTIF(Feiertage,AC13)&gt;0,"h","")),"")</f>
        <v/>
      </c>
      <c r="AE14" s="131" t="str">
        <f>IF(ISNUMBER(AC13),IF(COUNTIF(JP_PAL,AC13)&gt;0,"P",IF(COUNTIF(Feiertage,AC13)&gt;0,"h","")),"")</f>
        <v/>
      </c>
      <c r="AF14" s="131" t="str">
        <f>IF(ISNUMBER(AF13),IF(COUNTIF(JP_StartSel,AF13)&gt;0,"S",IF(COUNTIF(Feiertage,AF13)&gt;0,"h","")),"")</f>
        <v/>
      </c>
      <c r="AG14" s="131" t="str">
        <f>IF(ISNUMBER(AF13),IF(COUNTIF(JP_StartInhalt,AF13)&gt;0,"I",IF(COUNTIF(Feiertage,AF13)&gt;0,"h","")),"")</f>
        <v/>
      </c>
      <c r="AH14" s="131" t="str">
        <f>IF(ISNUMBER(AF13),IF(COUNTIF(JP_PAL,AF13)&gt;0,"P",IF(COUNTIF(Feiertage,AF13)&gt;0,"h","")),"")</f>
        <v/>
      </c>
      <c r="AI14" s="131" t="str">
        <f>IF(ISNUMBER(AI13),IF(COUNTIF(JP_StartSel,AI13)&gt;0,"S",IF(COUNTIF(Feiertage,AI13)&gt;0,"h","")),"")</f>
        <v/>
      </c>
      <c r="AJ14" s="131" t="str">
        <f>IF(ISNUMBER(AI13),IF(COUNTIF(JP_StartInhalt,AI13)&gt;0,"I",IF(COUNTIF(Feiertage,AI13)&gt;0,"h","")),"")</f>
        <v/>
      </c>
      <c r="AK14" s="131" t="str">
        <f>IF(ISNUMBER(AI13),IF(COUNTIF(JP_PAL,AI13)&gt;0,"P",IF(COUNTIF(Feiertage,AI13)&gt;0,"h","")),"")</f>
        <v/>
      </c>
      <c r="AL14" s="131" t="str">
        <f>IF(ISNUMBER(AL13),IF(COUNTIF(JP_StartSel,AL13)&gt;0,"S",IF(COUNTIF(Feiertage,AL13)&gt;0,"h","")),"")</f>
        <v/>
      </c>
      <c r="AM14" s="131" t="str">
        <f>IF(ISNUMBER(AL13),IF(COUNTIF(JP_StartInhalt,AL13)&gt;0,"I",IF(COUNTIF(Feiertage,AL13)&gt;0,"h","")),"")</f>
        <v/>
      </c>
      <c r="AN14" s="131" t="str">
        <f>IF(ISNUMBER(AL13),IF(COUNTIF(JP_PAL,AL13)&gt;0,"P",IF(COUNTIF(Feiertage,AL13)&gt;0,"h","")),"")</f>
        <v/>
      </c>
      <c r="AO14" s="131" t="str">
        <f>IF(ISNUMBER(AO13),IF(COUNTIF(JP_StartSel,AO13)&gt;0,"S",IF(COUNTIF(Feiertage,AO13)&gt;0,"h","w")),"")</f>
        <v>S</v>
      </c>
      <c r="AP14" s="131" t="str">
        <f>IF(ISNUMBER(AO13),IF(COUNTIF(JP_StartInhalt,AO13)&gt;0,"I",IF(COUNTIF(Feiertage,AO13)&gt;0,"h","w")),"")</f>
        <v>w</v>
      </c>
      <c r="AQ14" s="131" t="str">
        <f>IF(ISNUMBER(AO13),IF(COUNTIF(JP_PAL,AO13)&gt;0,"P",IF(COUNTIF(Feiertage,AO13)&gt;0,"h","w")),"")</f>
        <v>w</v>
      </c>
      <c r="AR14" s="131" t="str">
        <f>IF(ISNUMBER(AR13),IF(COUNTIF(JP_StartSel,AR13)&gt;0,"S",IF(COUNTIF(Feiertage,AR13)&gt;0,"h","w")),"")</f>
        <v>w</v>
      </c>
      <c r="AS14" s="131" t="str">
        <f>IF(ISNUMBER(AR13),IF(COUNTIF(JP_StartInhalt,AR13)&gt;0,"I",IF(COUNTIF(Feiertage,AR13)&gt;0,"h","w")),"")</f>
        <v>w</v>
      </c>
      <c r="AT14" s="131" t="str">
        <f>IF(ISNUMBER(AR13),IF(COUNTIF(JP_PAL,AR13)&gt;0,"P",IF(COUNTIF(Feiertage,AR13)&gt;0,"h","w")),"")</f>
        <v>w</v>
      </c>
      <c r="AV14" s="129"/>
      <c r="AW14" s="131" t="str">
        <f>IF(ISNUMBER(AW13),IF(COUNTIF(JP_StartSel,AW13)&gt;0,"S",IF(COUNTIF(Feiertage,AW13)&gt;0,"h","")),"")</f>
        <v/>
      </c>
      <c r="AX14" s="131" t="str">
        <f>IF(ISNUMBER(AW13),IF(COUNTIF(JP_StartInhalt,AW13)&gt;0,"I",IF(COUNTIF(Feiertage,AW13)&gt;0,"h","")),"")</f>
        <v/>
      </c>
      <c r="AY14" s="131" t="str">
        <f>IF(ISNUMBER(AW13),IF(COUNTIF(JP_PAL,AW13)&gt;0,"P",IF(COUNTIF(Feiertage,AW13)&gt;0,"h","")),"")</f>
        <v/>
      </c>
      <c r="AZ14" s="131" t="str">
        <f>IF(ISNUMBER(AZ13),IF(COUNTIF(JP_StartSel,AZ13)&gt;0,"S",IF(COUNTIF(Feiertage,AZ13)&gt;0,"h","")),"")</f>
        <v/>
      </c>
      <c r="BA14" s="131" t="str">
        <f>IF(ISNUMBER(AZ13),IF(COUNTIF(JP_StartInhalt,AZ13)&gt;0,"I",IF(COUNTIF(Feiertage,AZ13)&gt;0,"h","")),"")</f>
        <v/>
      </c>
      <c r="BB14" s="131" t="str">
        <f>IF(ISNUMBER(AZ13),IF(COUNTIF(JP_PAL,AZ13)&gt;0,"P",IF(COUNTIF(Feiertage,AZ13)&gt;0,"h","")),"")</f>
        <v/>
      </c>
      <c r="BC14" s="131" t="str">
        <f>IF(ISNUMBER(BC13),IF(COUNTIF(JP_StartSel,BC13)&gt;0,"S",IF(COUNTIF(Feiertage,BC13)&gt;0,"h","")),"")</f>
        <v/>
      </c>
      <c r="BD14" s="131" t="str">
        <f>IF(ISNUMBER(BC13),IF(COUNTIF(JP_StartInhalt,BC13)&gt;0,"I",IF(COUNTIF(Feiertage,BC13)&gt;0,"h","")),"")</f>
        <v/>
      </c>
      <c r="BE14" s="131" t="str">
        <f>IF(ISNUMBER(BC13),IF(COUNTIF(JP_PAL,BC13)&gt;0,"P",IF(COUNTIF(Feiertage,BC13)&gt;0,"h","")),"")</f>
        <v/>
      </c>
      <c r="BF14" s="131" t="str">
        <f>IF(ISNUMBER(BF13),IF(COUNTIF(JP_StartSel,BF13)&gt;0,"S",IF(COUNTIF(Feiertage,BF13)&gt;0,"h","")),"")</f>
        <v/>
      </c>
      <c r="BG14" s="131" t="str">
        <f>IF(ISNUMBER(BF13),IF(COUNTIF(JP_StartInhalt,BF13)&gt;0,"I",IF(COUNTIF(Feiertage,BF13)&gt;0,"h","")),"")</f>
        <v/>
      </c>
      <c r="BH14" s="131" t="str">
        <f>IF(ISNUMBER(BF13),IF(COUNTIF(JP_PAL,BF13)&gt;0,"P",IF(COUNTIF(Feiertage,BF13)&gt;0,"h","")),"")</f>
        <v/>
      </c>
      <c r="BI14" s="131" t="str">
        <f>IF(ISNUMBER(BI13),IF(COUNTIF(JP_StartSel,BI13)&gt;0,"S",IF(COUNTIF(Feiertage,BI13)&gt;0,"h","")),"")</f>
        <v/>
      </c>
      <c r="BJ14" s="131" t="str">
        <f>IF(ISNUMBER(BI13),IF(COUNTIF(JP_StartInhalt,BI13)&gt;0,"I",IF(COUNTIF(Feiertage,BI13)&gt;0,"h","")),"")</f>
        <v/>
      </c>
      <c r="BK14" s="131" t="str">
        <f>IF(ISNUMBER(BI13),IF(COUNTIF(JP_PAL,BI13)&gt;0,"P",IF(COUNTIF(Feiertage,BI13)&gt;0,"h","")),"")</f>
        <v/>
      </c>
      <c r="BL14" s="131" t="str">
        <f>IF(ISNUMBER(BL13),IF(COUNTIF(JP_StartSel,BL13)&gt;0,"S",IF(COUNTIF(Feiertage,BL13)&gt;0,"h","w")),"")</f>
        <v>w</v>
      </c>
      <c r="BM14" s="131" t="str">
        <f>IF(ISNUMBER(BL13),IF(COUNTIF(JP_StartInhalt,BL13)&gt;0,"I",IF(COUNTIF(Feiertage,BL13)&gt;0,"h","w")),"")</f>
        <v>w</v>
      </c>
      <c r="BN14" s="131" t="str">
        <f>IF(ISNUMBER(BL13),IF(COUNTIF(JP_PAL,BL13)&gt;0,"P",IF(COUNTIF(Feiertage,BL13)&gt;0,"h","w")),"")</f>
        <v>w</v>
      </c>
      <c r="BO14" s="131" t="str">
        <f>IF(ISNUMBER(BO13),IF(COUNTIF(JP_StartSel,BO13)&gt;0,"S",IF(COUNTIF(Feiertage,BO13)&gt;0,"h","w")),"")</f>
        <v>w</v>
      </c>
      <c r="BP14" s="131" t="str">
        <f>IF(ISNUMBER(BO13),IF(COUNTIF(JP_StartInhalt,BO13)&gt;0,"I",IF(COUNTIF(Feiertage,BO13)&gt;0,"h","w")),"")</f>
        <v>w</v>
      </c>
      <c r="BQ14" s="131" t="str">
        <f>IF(ISNUMBER(BO13),IF(COUNTIF(JP_PAL,BO13)&gt;0,"P",IF(COUNTIF(Feiertage,BO13)&gt;0,"h","w")),"")</f>
        <v>w</v>
      </c>
      <c r="BS14" s="129"/>
      <c r="BT14" s="131" t="str">
        <f>IF(ISNUMBER(BT13),IF(COUNTIF(JP_StartSel,BT13)&gt;0,"S",IF(COUNTIF(Feiertage,BT13)&gt;0,"h","")),"")</f>
        <v/>
      </c>
      <c r="BU14" s="131" t="str">
        <f>IF(ISNUMBER(BT13),IF(COUNTIF(JP_StartInhalt,BT13)&gt;0,"I",IF(COUNTIF(Feiertage,BT13)&gt;0,"h","")),"")</f>
        <v/>
      </c>
      <c r="BV14" s="131" t="str">
        <f>IF(ISNUMBER(BT13),IF(COUNTIF(JP_PAL,BT13)&gt;0,"P",IF(COUNTIF(Feiertage,BT13)&gt;0,"h","")),"")</f>
        <v/>
      </c>
      <c r="BW14" s="131" t="str">
        <f>IF(ISNUMBER(BW13),IF(COUNTIF(JP_StartSel,BW13)&gt;0,"S",IF(COUNTIF(Feiertage,BW13)&gt;0,"h","")),"")</f>
        <v/>
      </c>
      <c r="BX14" s="131" t="str">
        <f>IF(ISNUMBER(BW13),IF(COUNTIF(JP_StartInhalt,BW13)&gt;0,"I",IF(COUNTIF(Feiertage,BW13)&gt;0,"h","")),"")</f>
        <v/>
      </c>
      <c r="BY14" s="131" t="str">
        <f>IF(ISNUMBER(BW13),IF(COUNTIF(JP_PAL,BW13)&gt;0,"P",IF(COUNTIF(Feiertage,BW13)&gt;0,"h","")),"")</f>
        <v/>
      </c>
      <c r="BZ14" s="131" t="str">
        <f>IF(ISNUMBER(BZ13),IF(COUNTIF(JP_StartSel,BZ13)&gt;0,"S",IF(COUNTIF(Feiertage,BZ13)&gt;0,"h","")),"")</f>
        <v/>
      </c>
      <c r="CA14" s="131" t="str">
        <f>IF(ISNUMBER(BZ13),IF(COUNTIF(JP_StartInhalt,BZ13)&gt;0,"I",IF(COUNTIF(Feiertage,BZ13)&gt;0,"h","")),"")</f>
        <v/>
      </c>
      <c r="CB14" s="131" t="str">
        <f>IF(ISNUMBER(BZ13),IF(COUNTIF(JP_PAL,BZ13)&gt;0,"P",IF(COUNTIF(Feiertage,BZ13)&gt;0,"h","")),"")</f>
        <v/>
      </c>
      <c r="CC14" s="131" t="str">
        <f>IF(ISNUMBER(CC13),IF(COUNTIF(JP_StartSel,CC13)&gt;0,"S",IF(COUNTIF(Feiertage,CC13)&gt;0,"h","")),"")</f>
        <v/>
      </c>
      <c r="CD14" s="131" t="str">
        <f>IF(ISNUMBER(CC13),IF(COUNTIF(JP_StartInhalt,CC13)&gt;0,"I",IF(COUNTIF(Feiertage,CC13)&gt;0,"h","")),"")</f>
        <v/>
      </c>
      <c r="CE14" s="131" t="str">
        <f>IF(ISNUMBER(CC13),IF(COUNTIF(JP_PAL,CC13)&gt;0,"P",IF(COUNTIF(Feiertage,CC13)&gt;0,"h","")),"")</f>
        <v/>
      </c>
      <c r="CF14" s="131" t="str">
        <f>IF(ISNUMBER(CF13),IF(COUNTIF(JP_StartSel,CF13)&gt;0,"S",IF(COUNTIF(Feiertage,CF13)&gt;0,"h","")),"")</f>
        <v/>
      </c>
      <c r="CG14" s="131" t="str">
        <f>IF(ISNUMBER(CF13),IF(COUNTIF(JP_StartInhalt,CF13)&gt;0,"I",IF(COUNTIF(Feiertage,CF13)&gt;0,"h","")),"")</f>
        <v/>
      </c>
      <c r="CH14" s="131" t="str">
        <f>IF(ISNUMBER(CF13),IF(COUNTIF(JP_PAL,CF13)&gt;0,"P",IF(COUNTIF(Feiertage,CF13)&gt;0,"h","")),"")</f>
        <v/>
      </c>
      <c r="CI14" s="131" t="str">
        <f>IF(ISNUMBER(CI13),IF(COUNTIF(JP_StartSel,CI13)&gt;0,"S",IF(COUNTIF(Feiertage,CI13)&gt;0,"h","w")),"")</f>
        <v>w</v>
      </c>
      <c r="CJ14" s="131" t="str">
        <f>IF(ISNUMBER(CI13),IF(COUNTIF(JP_StartInhalt,CI13)&gt;0,"I",IF(COUNTIF(Feiertage,CI13)&gt;0,"h","w")),"")</f>
        <v>w</v>
      </c>
      <c r="CK14" s="131" t="str">
        <f>IF(ISNUMBER(CI13),IF(COUNTIF(JP_PAL,CI13)&gt;0,"P",IF(COUNTIF(Feiertage,CI13)&gt;0,"h","w")),"")</f>
        <v>w</v>
      </c>
      <c r="CL14" s="131" t="str">
        <f>IF(ISNUMBER(CL13),IF(COUNTIF(JP_StartSel,CL13)&gt;0,"S",IF(COUNTIF(Feiertage,CL13)&gt;0,"h","w")),"")</f>
        <v>S</v>
      </c>
      <c r="CM14" s="131" t="str">
        <f>IF(ISNUMBER(CL13),IF(COUNTIF(JP_StartInhalt,CL13)&gt;0,"I",IF(COUNTIF(Feiertage,CL13)&gt;0,"h","w")),"")</f>
        <v>w</v>
      </c>
      <c r="CN14" s="131" t="str">
        <f>IF(ISNUMBER(CL13),IF(COUNTIF(JP_PAL,CL13)&gt;0,"P",IF(COUNTIF(Feiertage,CL13)&gt;0,"h","w")),"")</f>
        <v>w</v>
      </c>
    </row>
    <row r="15" ht="16" customHeight="1">
      <c r="B15" s="128">
        <f>IF(OR(ISNUMBER(C15),ISNUMBER(U15)),_xlfn.ISOWEEKNUM($B$11-WEEKDAY($B$11,2)+8),"")</f>
        <v>1</v>
      </c>
      <c r="C15" s="130">
        <f>IF(MONTH($B$11-WEEKDAY($B$11,2)+8)=MONTH($B$11),$B$11-WEEKDAY($B$11,2)+8,"")</f>
        <v>46391</v>
      </c>
      <c r="D15" s="130"/>
      <c r="E15" s="130"/>
      <c r="F15" s="130">
        <f>IF(MONTH($B$11-WEEKDAY($B$11,2)+9)=MONTH($B$11),$B$11-WEEKDAY($B$11,2)+9,"")</f>
        <v>46392</v>
      </c>
      <c r="G15" s="130"/>
      <c r="H15" s="130"/>
      <c r="I15" s="130">
        <f>IF(MONTH($B$11-WEEKDAY($B$11,2)+10)=MONTH($B$11),$B$11-WEEKDAY($B$11,2)+10,"")</f>
        <v>46393</v>
      </c>
      <c r="J15" s="130"/>
      <c r="K15" s="130"/>
      <c r="L15" s="130">
        <f>IF(MONTH($B$11-WEEKDAY($B$11,2)+11)=MONTH($B$11),$B$11-WEEKDAY($B$11,2)+11,"")</f>
        <v>46394</v>
      </c>
      <c r="M15" s="130"/>
      <c r="N15" s="130"/>
      <c r="O15" s="130">
        <f>IF(MONTH($B$11-WEEKDAY($B$11,2)+12)=MONTH($B$11),$B$11-WEEKDAY($B$11,2)+12,"")</f>
        <v>46395</v>
      </c>
      <c r="P15" s="130"/>
      <c r="Q15" s="130"/>
      <c r="R15" s="130">
        <f>IF(MONTH($B$11-WEEKDAY($B$11,2)+13)=MONTH($B$11),$B$11-WEEKDAY($B$11,2)+13,"")</f>
        <v>46396</v>
      </c>
      <c r="S15" s="130"/>
      <c r="T15" s="130"/>
      <c r="U15" s="130">
        <f>IF(MONTH($B$11-WEEKDAY($B$11,2)+14)=MONTH($B$11),$B$11-WEEKDAY($B$11,2)+14,"")</f>
        <v>46397</v>
      </c>
      <c r="V15" s="130"/>
      <c r="W15" s="130"/>
      <c r="Y15" s="128">
        <f>IF(OR(ISNUMBER(Z15),ISNUMBER(AR15)),_xlfn.ISOWEEKNUM($Y$11-WEEKDAY($Y$11,2)+8),"")</f>
        <v>6</v>
      </c>
      <c r="Z15" s="130">
        <f>IF(MONTH($Y$11-WEEKDAY($Y$11,2)+8)=MONTH($Y$11),$Y$11-WEEKDAY($Y$11,2)+8,"")</f>
        <v>46426</v>
      </c>
      <c r="AA15" s="130"/>
      <c r="AB15" s="130"/>
      <c r="AC15" s="130">
        <f>IF(MONTH($Y$11-WEEKDAY($Y$11,2)+9)=MONTH($Y$11),$Y$11-WEEKDAY($Y$11,2)+9,"")</f>
        <v>46427</v>
      </c>
      <c r="AD15" s="130"/>
      <c r="AE15" s="130"/>
      <c r="AF15" s="130">
        <f>IF(MONTH($Y$11-WEEKDAY($Y$11,2)+10)=MONTH($Y$11),$Y$11-WEEKDAY($Y$11,2)+10,"")</f>
        <v>46428</v>
      </c>
      <c r="AG15" s="130"/>
      <c r="AH15" s="130"/>
      <c r="AI15" s="130">
        <f>IF(MONTH($Y$11-WEEKDAY($Y$11,2)+11)=MONTH($Y$11),$Y$11-WEEKDAY($Y$11,2)+11,"")</f>
        <v>46429</v>
      </c>
      <c r="AJ15" s="130"/>
      <c r="AK15" s="130"/>
      <c r="AL15" s="130">
        <f>IF(MONTH($Y$11-WEEKDAY($Y$11,2)+12)=MONTH($Y$11),$Y$11-WEEKDAY($Y$11,2)+12,"")</f>
        <v>46430</v>
      </c>
      <c r="AM15" s="130"/>
      <c r="AN15" s="130"/>
      <c r="AO15" s="130">
        <f>IF(MONTH($Y$11-WEEKDAY($Y$11,2)+13)=MONTH($Y$11),$Y$11-WEEKDAY($Y$11,2)+13,"")</f>
        <v>46431</v>
      </c>
      <c r="AP15" s="130"/>
      <c r="AQ15" s="130"/>
      <c r="AR15" s="130">
        <f>IF(MONTH($Y$11-WEEKDAY($Y$11,2)+14)=MONTH($Y$11),$Y$11-WEEKDAY($Y$11,2)+14,"")</f>
        <v>46432</v>
      </c>
      <c r="AS15" s="130"/>
      <c r="AT15" s="130"/>
      <c r="AV15" s="128">
        <f>IF(OR(ISNUMBER(AW15),ISNUMBER(BO15)),_xlfn.ISOWEEKNUM($AV$11-WEEKDAY($AV$11,2)+8),"")</f>
        <v>10</v>
      </c>
      <c r="AW15" s="130">
        <f>IF(MONTH($AV$11-WEEKDAY($AV$11,2)+8)=MONTH($AV$11),$AV$11-WEEKDAY($AV$11,2)+8,"")</f>
        <v>46454</v>
      </c>
      <c r="AX15" s="130"/>
      <c r="AY15" s="130"/>
      <c r="AZ15" s="130">
        <f>IF(MONTH($AV$11-WEEKDAY($AV$11,2)+9)=MONTH($AV$11),$AV$11-WEEKDAY($AV$11,2)+9,"")</f>
        <v>46455</v>
      </c>
      <c r="BA15" s="130"/>
      <c r="BB15" s="130"/>
      <c r="BC15" s="130">
        <f>IF(MONTH($AV$11-WEEKDAY($AV$11,2)+10)=MONTH($AV$11),$AV$11-WEEKDAY($AV$11,2)+10,"")</f>
        <v>46456</v>
      </c>
      <c r="BD15" s="130"/>
      <c r="BE15" s="130"/>
      <c r="BF15" s="130">
        <f>IF(MONTH($AV$11-WEEKDAY($AV$11,2)+11)=MONTH($AV$11),$AV$11-WEEKDAY($AV$11,2)+11,"")</f>
        <v>46457</v>
      </c>
      <c r="BG15" s="130"/>
      <c r="BH15" s="130"/>
      <c r="BI15" s="130">
        <f>IF(MONTH($AV$11-WEEKDAY($AV$11,2)+12)=MONTH($AV$11),$AV$11-WEEKDAY($AV$11,2)+12,"")</f>
        <v>46458</v>
      </c>
      <c r="BJ15" s="130"/>
      <c r="BK15" s="130"/>
      <c r="BL15" s="130">
        <f>IF(MONTH($AV$11-WEEKDAY($AV$11,2)+13)=MONTH($AV$11),$AV$11-WEEKDAY($AV$11,2)+13,"")</f>
        <v>46459</v>
      </c>
      <c r="BM15" s="130"/>
      <c r="BN15" s="130"/>
      <c r="BO15" s="130">
        <f>IF(MONTH($AV$11-WEEKDAY($AV$11,2)+14)=MONTH($AV$11),$AV$11-WEEKDAY($AV$11,2)+14,"")</f>
        <v>46460</v>
      </c>
      <c r="BP15" s="130"/>
      <c r="BQ15" s="130"/>
      <c r="BS15" s="128">
        <f>IF(OR(ISNUMBER(BT15),ISNUMBER(CL15)),_xlfn.ISOWEEKNUM($BS$11-WEEKDAY($BS$11,2)+8),"")</f>
        <v>14</v>
      </c>
      <c r="BT15" s="130">
        <f>IF(MONTH($BS$11-WEEKDAY($BS$11,2)+8)=MONTH($BS$11),$BS$11-WEEKDAY($BS$11,2)+8,"")</f>
        <v>46482</v>
      </c>
      <c r="BU15" s="130"/>
      <c r="BV15" s="130"/>
      <c r="BW15" s="130">
        <f>IF(MONTH($BS$11-WEEKDAY($BS$11,2)+9)=MONTH($BS$11),$BS$11-WEEKDAY($BS$11,2)+9,"")</f>
        <v>46483</v>
      </c>
      <c r="BX15" s="130"/>
      <c r="BY15" s="130"/>
      <c r="BZ15" s="130">
        <f>IF(MONTH($BS$11-WEEKDAY($BS$11,2)+10)=MONTH($BS$11),$BS$11-WEEKDAY($BS$11,2)+10,"")</f>
        <v>46484</v>
      </c>
      <c r="CA15" s="130"/>
      <c r="CB15" s="130"/>
      <c r="CC15" s="130">
        <f>IF(MONTH($BS$11-WEEKDAY($BS$11,2)+11)=MONTH($BS$11),$BS$11-WEEKDAY($BS$11,2)+11,"")</f>
        <v>46485</v>
      </c>
      <c r="CD15" s="130"/>
      <c r="CE15" s="130"/>
      <c r="CF15" s="130">
        <f>IF(MONTH($BS$11-WEEKDAY($BS$11,2)+12)=MONTH($BS$11),$BS$11-WEEKDAY($BS$11,2)+12,"")</f>
        <v>46486</v>
      </c>
      <c r="CG15" s="130"/>
      <c r="CH15" s="130"/>
      <c r="CI15" s="130">
        <f>IF(MONTH($BS$11-WEEKDAY($BS$11,2)+13)=MONTH($BS$11),$BS$11-WEEKDAY($BS$11,2)+13,"")</f>
        <v>46487</v>
      </c>
      <c r="CJ15" s="130"/>
      <c r="CK15" s="130"/>
      <c r="CL15" s="130">
        <f>IF(MONTH($BS$11-WEEKDAY($BS$11,2)+14)=MONTH($BS$11),$BS$11-WEEKDAY($BS$11,2)+14,"")</f>
        <v>46488</v>
      </c>
      <c r="CM15" s="130"/>
      <c r="CN15" s="130"/>
    </row>
    <row r="16" ht="10.5" customHeight="1">
      <c r="B16" s="129"/>
      <c r="C16" s="131" t="str">
        <f>IF(ISNUMBER(C15),IF(COUNTIF(JP_StartSel,C15)&gt;0,"S",IF(COUNTIF(Feiertage,C15)&gt;0,"h","")),"")</f>
        <v/>
      </c>
      <c r="D16" s="131" t="str">
        <f>IF(ISNUMBER(C15),IF(COUNTIF(JP_StartInhalt,C15)&gt;0,"I",IF(COUNTIF(Feiertage,C15)&gt;0,"h","")),"")</f>
        <v/>
      </c>
      <c r="E16" s="131" t="str">
        <f>IF(ISNUMBER(C15),IF(COUNTIF(JP_PAL,C15)&gt;0,"P",IF(COUNTIF(Feiertage,C15)&gt;0,"h","")),"")</f>
        <v/>
      </c>
      <c r="F16" s="131" t="str">
        <f>IF(ISNUMBER(F15),IF(COUNTIF(JP_StartSel,F15)&gt;0,"S",IF(COUNTIF(Feiertage,F15)&gt;0,"h","")),"")</f>
        <v/>
      </c>
      <c r="G16" s="131" t="str">
        <f>IF(ISNUMBER(F15),IF(COUNTIF(JP_StartInhalt,F15)&gt;0,"I",IF(COUNTIF(Feiertage,F15)&gt;0,"h","")),"")</f>
        <v/>
      </c>
      <c r="H16" s="131" t="str">
        <f>IF(ISNUMBER(F15),IF(COUNTIF(JP_PAL,F15)&gt;0,"P",IF(COUNTIF(Feiertage,F15)&gt;0,"h","")),"")</f>
        <v/>
      </c>
      <c r="I16" s="131" t="str">
        <f>IF(ISNUMBER(I15),IF(COUNTIF(JP_StartSel,I15)&gt;0,"S",IF(COUNTIF(Feiertage,I15)&gt;0,"h","")),"")</f>
        <v/>
      </c>
      <c r="J16" s="131" t="str">
        <f>IF(ISNUMBER(I15),IF(COUNTIF(JP_StartInhalt,I15)&gt;0,"I",IF(COUNTIF(Feiertage,I15)&gt;0,"h","")),"")</f>
        <v/>
      </c>
      <c r="K16" s="131" t="str">
        <f>IF(ISNUMBER(I15),IF(COUNTIF(JP_PAL,I15)&gt;0,"P",IF(COUNTIF(Feiertage,I15)&gt;0,"h","")),"")</f>
        <v/>
      </c>
      <c r="L16" s="131" t="str">
        <f>IF(ISNUMBER(L15),IF(COUNTIF(JP_StartSel,L15)&gt;0,"S",IF(COUNTIF(Feiertage,L15)&gt;0,"h","")),"")</f>
        <v/>
      </c>
      <c r="M16" s="131" t="str">
        <f>IF(ISNUMBER(L15),IF(COUNTIF(JP_StartInhalt,L15)&gt;0,"I",IF(COUNTIF(Feiertage,L15)&gt;0,"h","")),"")</f>
        <v/>
      </c>
      <c r="N16" s="131" t="str">
        <f>IF(ISNUMBER(L15),IF(COUNTIF(JP_PAL,L15)&gt;0,"P",IF(COUNTIF(Feiertage,L15)&gt;0,"h","")),"")</f>
        <v/>
      </c>
      <c r="O16" s="131" t="str">
        <f>IF(ISNUMBER(O15),IF(COUNTIF(JP_StartSel,O15)&gt;0,"S",IF(COUNTIF(Feiertage,O15)&gt;0,"h","")),"")</f>
        <v/>
      </c>
      <c r="P16" s="131" t="str">
        <f>IF(ISNUMBER(O15),IF(COUNTIF(JP_StartInhalt,O15)&gt;0,"I",IF(COUNTIF(Feiertage,O15)&gt;0,"h","")),"")</f>
        <v/>
      </c>
      <c r="Q16" s="131" t="str">
        <f>IF(ISNUMBER(O15),IF(COUNTIF(JP_PAL,O15)&gt;0,"P",IF(COUNTIF(Feiertage,O15)&gt;0,"h","")),"")</f>
        <v/>
      </c>
      <c r="R16" s="131" t="str">
        <f>IF(ISNUMBER(R15),IF(COUNTIF(JP_StartSel,R15)&gt;0,"S",IF(COUNTIF(Feiertage,R15)&gt;0,"h","w")),"")</f>
        <v>w</v>
      </c>
      <c r="S16" s="131" t="str">
        <f>IF(ISNUMBER(R15),IF(COUNTIF(JP_StartInhalt,R15)&gt;0,"I",IF(COUNTIF(Feiertage,R15)&gt;0,"h","w")),"")</f>
        <v>w</v>
      </c>
      <c r="T16" s="131" t="str">
        <f>IF(ISNUMBER(R15),IF(COUNTIF(JP_PAL,R15)&gt;0,"P",IF(COUNTIF(Feiertage,R15)&gt;0,"h","w")),"")</f>
        <v>w</v>
      </c>
      <c r="U16" s="131" t="str">
        <f>IF(ISNUMBER(U15),IF(COUNTIF(JP_StartSel,U15)&gt;0,"S",IF(COUNTIF(Feiertage,U15)&gt;0,"h","w")),"")</f>
        <v>w</v>
      </c>
      <c r="V16" s="131" t="str">
        <f>IF(ISNUMBER(U15),IF(COUNTIF(JP_StartInhalt,U15)&gt;0,"I",IF(COUNTIF(Feiertage,U15)&gt;0,"h","w")),"")</f>
        <v>w</v>
      </c>
      <c r="W16" s="131" t="str">
        <f>IF(ISNUMBER(U15),IF(COUNTIF(JP_PAL,U15)&gt;0,"P",IF(COUNTIF(Feiertage,U15)&gt;0,"h","w")),"")</f>
        <v>w</v>
      </c>
      <c r="Y16" s="129"/>
      <c r="Z16" s="131" t="str">
        <f>IF(ISNUMBER(Z15),IF(COUNTIF(JP_StartSel,Z15)&gt;0,"S",IF(COUNTIF(Feiertage,Z15)&gt;0,"h","")),"")</f>
        <v/>
      </c>
      <c r="AA16" s="131" t="str">
        <f>IF(ISNUMBER(Z15),IF(COUNTIF(JP_StartInhalt,Z15)&gt;0,"I",IF(COUNTIF(Feiertage,Z15)&gt;0,"h","")),"")</f>
        <v/>
      </c>
      <c r="AB16" s="131" t="str">
        <f>IF(ISNUMBER(Z15),IF(COUNTIF(JP_PAL,Z15)&gt;0,"P",IF(COUNTIF(Feiertage,Z15)&gt;0,"h","")),"")</f>
        <v/>
      </c>
      <c r="AC16" s="131" t="str">
        <f>IF(ISNUMBER(AC15),IF(COUNTIF(JP_StartSel,AC15)&gt;0,"S",IF(COUNTIF(Feiertage,AC15)&gt;0,"h","")),"")</f>
        <v/>
      </c>
      <c r="AD16" s="131" t="str">
        <f>IF(ISNUMBER(AC15),IF(COUNTIF(JP_StartInhalt,AC15)&gt;0,"I",IF(COUNTIF(Feiertage,AC15)&gt;0,"h","")),"")</f>
        <v/>
      </c>
      <c r="AE16" s="131" t="str">
        <f>IF(ISNUMBER(AC15),IF(COUNTIF(JP_PAL,AC15)&gt;0,"P",IF(COUNTIF(Feiertage,AC15)&gt;0,"h","")),"")</f>
        <v/>
      </c>
      <c r="AF16" s="131" t="str">
        <f>IF(ISNUMBER(AF15),IF(COUNTIF(JP_StartSel,AF15)&gt;0,"S",IF(COUNTIF(Feiertage,AF15)&gt;0,"h","")),"")</f>
        <v/>
      </c>
      <c r="AG16" s="131" t="str">
        <f>IF(ISNUMBER(AF15),IF(COUNTIF(JP_StartInhalt,AF15)&gt;0,"I",IF(COUNTIF(Feiertage,AF15)&gt;0,"h","")),"")</f>
        <v/>
      </c>
      <c r="AH16" s="131" t="str">
        <f>IF(ISNUMBER(AF15),IF(COUNTIF(JP_PAL,AF15)&gt;0,"P",IF(COUNTIF(Feiertage,AF15)&gt;0,"h","")),"")</f>
        <v/>
      </c>
      <c r="AI16" s="131" t="str">
        <f>IF(ISNUMBER(AI15),IF(COUNTIF(JP_StartSel,AI15)&gt;0,"S",IF(COUNTIF(Feiertage,AI15)&gt;0,"h","")),"")</f>
        <v/>
      </c>
      <c r="AJ16" s="131" t="str">
        <f>IF(ISNUMBER(AI15),IF(COUNTIF(JP_StartInhalt,AI15)&gt;0,"I",IF(COUNTIF(Feiertage,AI15)&gt;0,"h","")),"")</f>
        <v/>
      </c>
      <c r="AK16" s="131" t="str">
        <f>IF(ISNUMBER(AI15),IF(COUNTIF(JP_PAL,AI15)&gt;0,"P",IF(COUNTIF(Feiertage,AI15)&gt;0,"h","")),"")</f>
        <v/>
      </c>
      <c r="AL16" s="131" t="str">
        <f>IF(ISNUMBER(AL15),IF(COUNTIF(JP_StartSel,AL15)&gt;0,"S",IF(COUNTIF(Feiertage,AL15)&gt;0,"h","")),"")</f>
        <v/>
      </c>
      <c r="AM16" s="131" t="str">
        <f>IF(ISNUMBER(AL15),IF(COUNTIF(JP_StartInhalt,AL15)&gt;0,"I",IF(COUNTIF(Feiertage,AL15)&gt;0,"h","")),"")</f>
        <v/>
      </c>
      <c r="AN16" s="131" t="str">
        <f>IF(ISNUMBER(AL15),IF(COUNTIF(JP_PAL,AL15)&gt;0,"P",IF(COUNTIF(Feiertage,AL15)&gt;0,"h","")),"")</f>
        <v/>
      </c>
      <c r="AO16" s="131" t="str">
        <f>IF(ISNUMBER(AO15),IF(COUNTIF(JP_StartSel,AO15)&gt;0,"S",IF(COUNTIF(Feiertage,AO15)&gt;0,"h","w")),"")</f>
        <v>w</v>
      </c>
      <c r="AP16" s="131" t="str">
        <f>IF(ISNUMBER(AO15),IF(COUNTIF(JP_StartInhalt,AO15)&gt;0,"I",IF(COUNTIF(Feiertage,AO15)&gt;0,"h","w")),"")</f>
        <v>w</v>
      </c>
      <c r="AQ16" s="131" t="str">
        <f>IF(ISNUMBER(AO15),IF(COUNTIF(JP_PAL,AO15)&gt;0,"P",IF(COUNTIF(Feiertage,AO15)&gt;0,"h","w")),"")</f>
        <v>w</v>
      </c>
      <c r="AR16" s="131" t="str">
        <f>IF(ISNUMBER(AR15),IF(COUNTIF(JP_StartSel,AR15)&gt;0,"S",IF(COUNTIF(Feiertage,AR15)&gt;0,"h","w")),"")</f>
        <v>w</v>
      </c>
      <c r="AS16" s="131" t="str">
        <f>IF(ISNUMBER(AR15),IF(COUNTIF(JP_StartInhalt,AR15)&gt;0,"I",IF(COUNTIF(Feiertage,AR15)&gt;0,"h","w")),"")</f>
        <v>w</v>
      </c>
      <c r="AT16" s="131" t="str">
        <f>IF(ISNUMBER(AR15),IF(COUNTIF(JP_PAL,AR15)&gt;0,"P",IF(COUNTIF(Feiertage,AR15)&gt;0,"h","w")),"")</f>
        <v>w</v>
      </c>
      <c r="AV16" s="129"/>
      <c r="AW16" s="131" t="str">
        <f>IF(ISNUMBER(AW15),IF(COUNTIF(JP_StartSel,AW15)&gt;0,"S",IF(COUNTIF(Feiertage,AW15)&gt;0,"h","")),"")</f>
        <v/>
      </c>
      <c r="AX16" s="131" t="str">
        <f>IF(ISNUMBER(AW15),IF(COUNTIF(JP_StartInhalt,AW15)&gt;0,"I",IF(COUNTIF(Feiertage,AW15)&gt;0,"h","")),"")</f>
        <v/>
      </c>
      <c r="AY16" s="131" t="str">
        <f>IF(ISNUMBER(AW15),IF(COUNTIF(JP_PAL,AW15)&gt;0,"P",IF(COUNTIF(Feiertage,AW15)&gt;0,"h","")),"")</f>
        <v/>
      </c>
      <c r="AZ16" s="131" t="str">
        <f>IF(ISNUMBER(AZ15),IF(COUNTIF(JP_StartSel,AZ15)&gt;0,"S",IF(COUNTIF(Feiertage,AZ15)&gt;0,"h","")),"")</f>
        <v/>
      </c>
      <c r="BA16" s="131" t="str">
        <f>IF(ISNUMBER(AZ15),IF(COUNTIF(JP_StartInhalt,AZ15)&gt;0,"I",IF(COUNTIF(Feiertage,AZ15)&gt;0,"h","")),"")</f>
        <v/>
      </c>
      <c r="BB16" s="131" t="str">
        <f>IF(ISNUMBER(AZ15),IF(COUNTIF(JP_PAL,AZ15)&gt;0,"P",IF(COUNTIF(Feiertage,AZ15)&gt;0,"h","")),"")</f>
        <v/>
      </c>
      <c r="BC16" s="131" t="str">
        <f>IF(ISNUMBER(BC15),IF(COUNTIF(JP_StartSel,BC15)&gt;0,"S",IF(COUNTIF(Feiertage,BC15)&gt;0,"h","")),"")</f>
        <v/>
      </c>
      <c r="BD16" s="131" t="str">
        <f>IF(ISNUMBER(BC15),IF(COUNTIF(JP_StartInhalt,BC15)&gt;0,"I",IF(COUNTIF(Feiertage,BC15)&gt;0,"h","")),"")</f>
        <v/>
      </c>
      <c r="BE16" s="131" t="str">
        <f>IF(ISNUMBER(BC15),IF(COUNTIF(JP_PAL,BC15)&gt;0,"P",IF(COUNTIF(Feiertage,BC15)&gt;0,"h","")),"")</f>
        <v/>
      </c>
      <c r="BF16" s="131" t="str">
        <f>IF(ISNUMBER(BF15),IF(COUNTIF(JP_StartSel,BF15)&gt;0,"S",IF(COUNTIF(Feiertage,BF15)&gt;0,"h","")),"")</f>
        <v/>
      </c>
      <c r="BG16" s="131" t="str">
        <f>IF(ISNUMBER(BF15),IF(COUNTIF(JP_StartInhalt,BF15)&gt;0,"I",IF(COUNTIF(Feiertage,BF15)&gt;0,"h","")),"")</f>
        <v/>
      </c>
      <c r="BH16" s="131" t="str">
        <f>IF(ISNUMBER(BF15),IF(COUNTIF(JP_PAL,BF15)&gt;0,"P",IF(COUNTIF(Feiertage,BF15)&gt;0,"h","")),"")</f>
        <v/>
      </c>
      <c r="BI16" s="131" t="str">
        <f>IF(ISNUMBER(BI15),IF(COUNTIF(JP_StartSel,BI15)&gt;0,"S",IF(COUNTIF(Feiertage,BI15)&gt;0,"h","")),"")</f>
        <v/>
      </c>
      <c r="BJ16" s="131" t="str">
        <f>IF(ISNUMBER(BI15),IF(COUNTIF(JP_StartInhalt,BI15)&gt;0,"I",IF(COUNTIF(Feiertage,BI15)&gt;0,"h","")),"")</f>
        <v/>
      </c>
      <c r="BK16" s="131" t="str">
        <f>IF(ISNUMBER(BI15),IF(COUNTIF(JP_PAL,BI15)&gt;0,"P",IF(COUNTIF(Feiertage,BI15)&gt;0,"h","")),"")</f>
        <v/>
      </c>
      <c r="BL16" s="131" t="str">
        <f>IF(ISNUMBER(BL15),IF(COUNTIF(JP_StartSel,BL15)&gt;0,"S",IF(COUNTIF(Feiertage,BL15)&gt;0,"h","w")),"")</f>
        <v>w</v>
      </c>
      <c r="BM16" s="131" t="str">
        <f>IF(ISNUMBER(BL15),IF(COUNTIF(JP_StartInhalt,BL15)&gt;0,"I",IF(COUNTIF(Feiertage,BL15)&gt;0,"h","w")),"")</f>
        <v>w</v>
      </c>
      <c r="BN16" s="131" t="str">
        <f>IF(ISNUMBER(BL15),IF(COUNTIF(JP_PAL,BL15)&gt;0,"P",IF(COUNTIF(Feiertage,BL15)&gt;0,"h","w")),"")</f>
        <v>w</v>
      </c>
      <c r="BO16" s="131" t="str">
        <f>IF(ISNUMBER(BO15),IF(COUNTIF(JP_StartSel,BO15)&gt;0,"S",IF(COUNTIF(Feiertage,BO15)&gt;0,"h","w")),"")</f>
        <v>w</v>
      </c>
      <c r="BP16" s="131" t="str">
        <f>IF(ISNUMBER(BO15),IF(COUNTIF(JP_StartInhalt,BO15)&gt;0,"I",IF(COUNTIF(Feiertage,BO15)&gt;0,"h","w")),"")</f>
        <v>w</v>
      </c>
      <c r="BQ16" s="131" t="str">
        <f>IF(ISNUMBER(BO15),IF(COUNTIF(JP_PAL,BO15)&gt;0,"P",IF(COUNTIF(Feiertage,BO15)&gt;0,"h","w")),"")</f>
        <v>w</v>
      </c>
      <c r="BS16" s="129"/>
      <c r="BT16" s="131" t="str">
        <f>IF(ISNUMBER(BT15),IF(COUNTIF(JP_StartSel,BT15)&gt;0,"S",IF(COUNTIF(Feiertage,BT15)&gt;0,"h","")),"")</f>
        <v/>
      </c>
      <c r="BU16" s="131" t="str">
        <f>IF(ISNUMBER(BT15),IF(COUNTIF(JP_StartInhalt,BT15)&gt;0,"I",IF(COUNTIF(Feiertage,BT15)&gt;0,"h","")),"")</f>
        <v/>
      </c>
      <c r="BV16" s="131" t="str">
        <f>IF(ISNUMBER(BT15),IF(COUNTIF(JP_PAL,BT15)&gt;0,"P",IF(COUNTIF(Feiertage,BT15)&gt;0,"h","")),"")</f>
        <v/>
      </c>
      <c r="BW16" s="131" t="str">
        <f>IF(ISNUMBER(BW15),IF(COUNTIF(JP_StartSel,BW15)&gt;0,"S",IF(COUNTIF(Feiertage,BW15)&gt;0,"h","")),"")</f>
        <v/>
      </c>
      <c r="BX16" s="131" t="str">
        <f>IF(ISNUMBER(BW15),IF(COUNTIF(JP_StartInhalt,BW15)&gt;0,"I",IF(COUNTIF(Feiertage,BW15)&gt;0,"h","")),"")</f>
        <v/>
      </c>
      <c r="BY16" s="131" t="str">
        <f>IF(ISNUMBER(BW15),IF(COUNTIF(JP_PAL,BW15)&gt;0,"P",IF(COUNTIF(Feiertage,BW15)&gt;0,"h","")),"")</f>
        <v/>
      </c>
      <c r="BZ16" s="131" t="str">
        <f>IF(ISNUMBER(BZ15),IF(COUNTIF(JP_StartSel,BZ15)&gt;0,"S",IF(COUNTIF(Feiertage,BZ15)&gt;0,"h","")),"")</f>
        <v/>
      </c>
      <c r="CA16" s="131" t="str">
        <f>IF(ISNUMBER(BZ15),IF(COUNTIF(JP_StartInhalt,BZ15)&gt;0,"I",IF(COUNTIF(Feiertage,BZ15)&gt;0,"h","")),"")</f>
        <v/>
      </c>
      <c r="CB16" s="131" t="str">
        <f>IF(ISNUMBER(BZ15),IF(COUNTIF(JP_PAL,BZ15)&gt;0,"P",IF(COUNTIF(Feiertage,BZ15)&gt;0,"h","")),"")</f>
        <v/>
      </c>
      <c r="CC16" s="131" t="str">
        <f>IF(ISNUMBER(CC15),IF(COUNTIF(JP_StartSel,CC15)&gt;0,"S",IF(COUNTIF(Feiertage,CC15)&gt;0,"h","")),"")</f>
        <v/>
      </c>
      <c r="CD16" s="131" t="str">
        <f>IF(ISNUMBER(CC15),IF(COUNTIF(JP_StartInhalt,CC15)&gt;0,"I",IF(COUNTIF(Feiertage,CC15)&gt;0,"h","")),"")</f>
        <v/>
      </c>
      <c r="CE16" s="131" t="str">
        <f>IF(ISNUMBER(CC15),IF(COUNTIF(JP_PAL,CC15)&gt;0,"P",IF(COUNTIF(Feiertage,CC15)&gt;0,"h","")),"")</f>
        <v/>
      </c>
      <c r="CF16" s="131" t="str">
        <f>IF(ISNUMBER(CF15),IF(COUNTIF(JP_StartSel,CF15)&gt;0,"S",IF(COUNTIF(Feiertage,CF15)&gt;0,"h","")),"")</f>
        <v/>
      </c>
      <c r="CG16" s="131" t="str">
        <f>IF(ISNUMBER(CF15),IF(COUNTIF(JP_StartInhalt,CF15)&gt;0,"I",IF(COUNTIF(Feiertage,CF15)&gt;0,"h","")),"")</f>
        <v/>
      </c>
      <c r="CH16" s="131" t="str">
        <f>IF(ISNUMBER(CF15),IF(COUNTIF(JP_PAL,CF15)&gt;0,"P",IF(COUNTIF(Feiertage,CF15)&gt;0,"h","")),"")</f>
        <v/>
      </c>
      <c r="CI16" s="131" t="str">
        <f>IF(ISNUMBER(CI15),IF(COUNTIF(JP_StartSel,CI15)&gt;0,"S",IF(COUNTIF(Feiertage,CI15)&gt;0,"h","w")),"")</f>
        <v>w</v>
      </c>
      <c r="CJ16" s="131" t="str">
        <f>IF(ISNUMBER(CI15),IF(COUNTIF(JP_StartInhalt,CI15)&gt;0,"I",IF(COUNTIF(Feiertage,CI15)&gt;0,"h","w")),"")</f>
        <v>w</v>
      </c>
      <c r="CK16" s="131" t="str">
        <f>IF(ISNUMBER(CI15),IF(COUNTIF(JP_PAL,CI15)&gt;0,"P",IF(COUNTIF(Feiertage,CI15)&gt;0,"h","w")),"")</f>
        <v>w</v>
      </c>
      <c r="CL16" s="131" t="str">
        <f>IF(ISNUMBER(CL15),IF(COUNTIF(JP_StartSel,CL15)&gt;0,"S",IF(COUNTIF(Feiertage,CL15)&gt;0,"h","w")),"")</f>
        <v>w</v>
      </c>
      <c r="CM16" s="131" t="str">
        <f>IF(ISNUMBER(CL15),IF(COUNTIF(JP_StartInhalt,CL15)&gt;0,"I",IF(COUNTIF(Feiertage,CL15)&gt;0,"h","w")),"")</f>
        <v>w</v>
      </c>
      <c r="CN16" s="131" t="str">
        <f>IF(ISNUMBER(CL15),IF(COUNTIF(JP_PAL,CL15)&gt;0,"P",IF(COUNTIF(Feiertage,CL15)&gt;0,"h","w")),"")</f>
        <v>w</v>
      </c>
    </row>
    <row r="17" ht="16" customHeight="1">
      <c r="B17" s="128">
        <f>IF(OR(ISNUMBER(C17),ISNUMBER(U17)),_xlfn.ISOWEEKNUM($B$11-WEEKDAY($B$11,2)+15),"")</f>
        <v>2</v>
      </c>
      <c r="C17" s="130">
        <f>IF(MONTH($B$11-WEEKDAY($B$11,2)+15)=MONTH($B$11),$B$11-WEEKDAY($B$11,2)+15,"")</f>
        <v>46398</v>
      </c>
      <c r="D17" s="130"/>
      <c r="E17" s="130"/>
      <c r="F17" s="130">
        <f>IF(MONTH($B$11-WEEKDAY($B$11,2)+16)=MONTH($B$11),$B$11-WEEKDAY($B$11,2)+16,"")</f>
        <v>46399</v>
      </c>
      <c r="G17" s="130"/>
      <c r="H17" s="130"/>
      <c r="I17" s="130">
        <f>IF(MONTH($B$11-WEEKDAY($B$11,2)+17)=MONTH($B$11),$B$11-WEEKDAY($B$11,2)+17,"")</f>
        <v>46400</v>
      </c>
      <c r="J17" s="130"/>
      <c r="K17" s="130"/>
      <c r="L17" s="130">
        <f>IF(MONTH($B$11-WEEKDAY($B$11,2)+18)=MONTH($B$11),$B$11-WEEKDAY($B$11,2)+18,"")</f>
        <v>46401</v>
      </c>
      <c r="M17" s="130"/>
      <c r="N17" s="130"/>
      <c r="O17" s="130">
        <f>IF(MONTH($B$11-WEEKDAY($B$11,2)+19)=MONTH($B$11),$B$11-WEEKDAY($B$11,2)+19,"")</f>
        <v>46402</v>
      </c>
      <c r="P17" s="130"/>
      <c r="Q17" s="130"/>
      <c r="R17" s="130">
        <f>IF(MONTH($B$11-WEEKDAY($B$11,2)+20)=MONTH($B$11),$B$11-WEEKDAY($B$11,2)+20,"")</f>
        <v>46403</v>
      </c>
      <c r="S17" s="130"/>
      <c r="T17" s="130"/>
      <c r="U17" s="130">
        <f>IF(MONTH($B$11-WEEKDAY($B$11,2)+21)=MONTH($B$11),$B$11-WEEKDAY($B$11,2)+21,"")</f>
        <v>46404</v>
      </c>
      <c r="V17" s="130"/>
      <c r="W17" s="130"/>
      <c r="Y17" s="128">
        <f>IF(OR(ISNUMBER(Z17),ISNUMBER(AR17)),_xlfn.ISOWEEKNUM($Y$11-WEEKDAY($Y$11,2)+15),"")</f>
        <v>7</v>
      </c>
      <c r="Z17" s="130">
        <f>IF(MONTH($Y$11-WEEKDAY($Y$11,2)+15)=MONTH($Y$11),$Y$11-WEEKDAY($Y$11,2)+15,"")</f>
        <v>46433</v>
      </c>
      <c r="AA17" s="130"/>
      <c r="AB17" s="130"/>
      <c r="AC17" s="130">
        <f>IF(MONTH($Y$11-WEEKDAY($Y$11,2)+16)=MONTH($Y$11),$Y$11-WEEKDAY($Y$11,2)+16,"")</f>
        <v>46434</v>
      </c>
      <c r="AD17" s="130"/>
      <c r="AE17" s="130"/>
      <c r="AF17" s="130">
        <f>IF(MONTH($Y$11-WEEKDAY($Y$11,2)+17)=MONTH($Y$11),$Y$11-WEEKDAY($Y$11,2)+17,"")</f>
        <v>46435</v>
      </c>
      <c r="AG17" s="130"/>
      <c r="AH17" s="130"/>
      <c r="AI17" s="130">
        <f>IF(MONTH($Y$11-WEEKDAY($Y$11,2)+18)=MONTH($Y$11),$Y$11-WEEKDAY($Y$11,2)+18,"")</f>
        <v>46436</v>
      </c>
      <c r="AJ17" s="130"/>
      <c r="AK17" s="130"/>
      <c r="AL17" s="130">
        <f>IF(MONTH($Y$11-WEEKDAY($Y$11,2)+19)=MONTH($Y$11),$Y$11-WEEKDAY($Y$11,2)+19,"")</f>
        <v>46437</v>
      </c>
      <c r="AM17" s="130"/>
      <c r="AN17" s="130"/>
      <c r="AO17" s="130">
        <f>IF(MONTH($Y$11-WEEKDAY($Y$11,2)+20)=MONTH($Y$11),$Y$11-WEEKDAY($Y$11,2)+20,"")</f>
        <v>46438</v>
      </c>
      <c r="AP17" s="130"/>
      <c r="AQ17" s="130"/>
      <c r="AR17" s="130">
        <f>IF(MONTH($Y$11-WEEKDAY($Y$11,2)+21)=MONTH($Y$11),$Y$11-WEEKDAY($Y$11,2)+21,"")</f>
        <v>46439</v>
      </c>
      <c r="AS17" s="130"/>
      <c r="AT17" s="130"/>
      <c r="AV17" s="128">
        <f>IF(OR(ISNUMBER(AW17),ISNUMBER(BO17)),_xlfn.ISOWEEKNUM($AV$11-WEEKDAY($AV$11,2)+15),"")</f>
        <v>11</v>
      </c>
      <c r="AW17" s="130">
        <f>IF(MONTH($AV$11-WEEKDAY($AV$11,2)+15)=MONTH($AV$11),$AV$11-WEEKDAY($AV$11,2)+15,"")</f>
        <v>46461</v>
      </c>
      <c r="AX17" s="130"/>
      <c r="AY17" s="130"/>
      <c r="AZ17" s="130">
        <f>IF(MONTH($AV$11-WEEKDAY($AV$11,2)+16)=MONTH($AV$11),$AV$11-WEEKDAY($AV$11,2)+16,"")</f>
        <v>46462</v>
      </c>
      <c r="BA17" s="130"/>
      <c r="BB17" s="130"/>
      <c r="BC17" s="130">
        <f>IF(MONTH($AV$11-WEEKDAY($AV$11,2)+17)=MONTH($AV$11),$AV$11-WEEKDAY($AV$11,2)+17,"")</f>
        <v>46463</v>
      </c>
      <c r="BD17" s="130"/>
      <c r="BE17" s="130"/>
      <c r="BF17" s="130">
        <f>IF(MONTH($AV$11-WEEKDAY($AV$11,2)+18)=MONTH($AV$11),$AV$11-WEEKDAY($AV$11,2)+18,"")</f>
        <v>46464</v>
      </c>
      <c r="BG17" s="130"/>
      <c r="BH17" s="130"/>
      <c r="BI17" s="130">
        <f>IF(MONTH($AV$11-WEEKDAY($AV$11,2)+19)=MONTH($AV$11),$AV$11-WEEKDAY($AV$11,2)+19,"")</f>
        <v>46465</v>
      </c>
      <c r="BJ17" s="130"/>
      <c r="BK17" s="130"/>
      <c r="BL17" s="130">
        <f>IF(MONTH($AV$11-WEEKDAY($AV$11,2)+20)=MONTH($AV$11),$AV$11-WEEKDAY($AV$11,2)+20,"")</f>
        <v>46466</v>
      </c>
      <c r="BM17" s="130"/>
      <c r="BN17" s="130"/>
      <c r="BO17" s="130">
        <f>IF(MONTH($AV$11-WEEKDAY($AV$11,2)+21)=MONTH($AV$11),$AV$11-WEEKDAY($AV$11,2)+21,"")</f>
        <v>46467</v>
      </c>
      <c r="BP17" s="130"/>
      <c r="BQ17" s="130"/>
      <c r="BS17" s="128">
        <f>IF(OR(ISNUMBER(BT17),ISNUMBER(CL17)),_xlfn.ISOWEEKNUM($BS$11-WEEKDAY($BS$11,2)+15),"")</f>
        <v>15</v>
      </c>
      <c r="BT17" s="130">
        <f>IF(MONTH($BS$11-WEEKDAY($BS$11,2)+15)=MONTH($BS$11),$BS$11-WEEKDAY($BS$11,2)+15,"")</f>
        <v>46489</v>
      </c>
      <c r="BU17" s="130"/>
      <c r="BV17" s="130"/>
      <c r="BW17" s="130">
        <f>IF(MONTH($BS$11-WEEKDAY($BS$11,2)+16)=MONTH($BS$11),$BS$11-WEEKDAY($BS$11,2)+16,"")</f>
        <v>46490</v>
      </c>
      <c r="BX17" s="130"/>
      <c r="BY17" s="130"/>
      <c r="BZ17" s="130">
        <f>IF(MONTH($BS$11-WEEKDAY($BS$11,2)+17)=MONTH($BS$11),$BS$11-WEEKDAY($BS$11,2)+17,"")</f>
        <v>46491</v>
      </c>
      <c r="CA17" s="130"/>
      <c r="CB17" s="130"/>
      <c r="CC17" s="130">
        <f>IF(MONTH($BS$11-WEEKDAY($BS$11,2)+18)=MONTH($BS$11),$BS$11-WEEKDAY($BS$11,2)+18,"")</f>
        <v>46492</v>
      </c>
      <c r="CD17" s="130"/>
      <c r="CE17" s="130"/>
      <c r="CF17" s="130">
        <f>IF(MONTH($BS$11-WEEKDAY($BS$11,2)+19)=MONTH($BS$11),$BS$11-WEEKDAY($BS$11,2)+19,"")</f>
        <v>46493</v>
      </c>
      <c r="CG17" s="130"/>
      <c r="CH17" s="130"/>
      <c r="CI17" s="130">
        <f>IF(MONTH($BS$11-WEEKDAY($BS$11,2)+20)=MONTH($BS$11),$BS$11-WEEKDAY($BS$11,2)+20,"")</f>
        <v>46494</v>
      </c>
      <c r="CJ17" s="130"/>
      <c r="CK17" s="130"/>
      <c r="CL17" s="130">
        <f>IF(MONTH($BS$11-WEEKDAY($BS$11,2)+21)=MONTH($BS$11),$BS$11-WEEKDAY($BS$11,2)+21,"")</f>
        <v>46495</v>
      </c>
      <c r="CM17" s="130"/>
      <c r="CN17" s="130"/>
    </row>
    <row r="18" ht="10.5" customHeight="1">
      <c r="B18" s="129"/>
      <c r="C18" s="131" t="str">
        <f>IF(ISNUMBER(C17),IF(COUNTIF(JP_StartSel,C17)&gt;0,"S",IF(COUNTIF(Feiertage,C17)&gt;0,"h","")),"")</f>
        <v/>
      </c>
      <c r="D18" s="131" t="str">
        <f>IF(ISNUMBER(C17),IF(COUNTIF(JP_StartInhalt,C17)&gt;0,"I",IF(COUNTIF(Feiertage,C17)&gt;0,"h","")),"")</f>
        <v/>
      </c>
      <c r="E18" s="131" t="str">
        <f>IF(ISNUMBER(C17),IF(COUNTIF(JP_PAL,C17)&gt;0,"P",IF(COUNTIF(Feiertage,C17)&gt;0,"h","")),"")</f>
        <v/>
      </c>
      <c r="F18" s="131" t="str">
        <f>IF(ISNUMBER(F17),IF(COUNTIF(JP_StartSel,F17)&gt;0,"S",IF(COUNTIF(Feiertage,F17)&gt;0,"h","")),"")</f>
        <v/>
      </c>
      <c r="G18" s="131" t="str">
        <f>IF(ISNUMBER(F17),IF(COUNTIF(JP_StartInhalt,F17)&gt;0,"I",IF(COUNTIF(Feiertage,F17)&gt;0,"h","")),"")</f>
        <v/>
      </c>
      <c r="H18" s="131" t="str">
        <f>IF(ISNUMBER(F17),IF(COUNTIF(JP_PAL,F17)&gt;0,"P",IF(COUNTIF(Feiertage,F17)&gt;0,"h","")),"")</f>
        <v/>
      </c>
      <c r="I18" s="131" t="str">
        <f>IF(ISNUMBER(I17),IF(COUNTIF(JP_StartSel,I17)&gt;0,"S",IF(COUNTIF(Feiertage,I17)&gt;0,"h","")),"")</f>
        <v/>
      </c>
      <c r="J18" s="131" t="str">
        <f>IF(ISNUMBER(I17),IF(COUNTIF(JP_StartInhalt,I17)&gt;0,"I",IF(COUNTIF(Feiertage,I17)&gt;0,"h","")),"")</f>
        <v/>
      </c>
      <c r="K18" s="131" t="str">
        <f>IF(ISNUMBER(I17),IF(COUNTIF(JP_PAL,I17)&gt;0,"P",IF(COUNTIF(Feiertage,I17)&gt;0,"h","")),"")</f>
        <v/>
      </c>
      <c r="L18" s="131" t="str">
        <f>IF(ISNUMBER(L17),IF(COUNTIF(JP_StartSel,L17)&gt;0,"S",IF(COUNTIF(Feiertage,L17)&gt;0,"h","")),"")</f>
        <v/>
      </c>
      <c r="M18" s="131" t="str">
        <f>IF(ISNUMBER(L17),IF(COUNTIF(JP_StartInhalt,L17)&gt;0,"I",IF(COUNTIF(Feiertage,L17)&gt;0,"h","")),"")</f>
        <v/>
      </c>
      <c r="N18" s="131" t="str">
        <f>IF(ISNUMBER(L17),IF(COUNTIF(JP_PAL,L17)&gt;0,"P",IF(COUNTIF(Feiertage,L17)&gt;0,"h","")),"")</f>
        <v/>
      </c>
      <c r="O18" s="131" t="str">
        <f>IF(ISNUMBER(O17),IF(COUNTIF(JP_StartSel,O17)&gt;0,"S",IF(COUNTIF(Feiertage,O17)&gt;0,"h","")),"")</f>
        <v/>
      </c>
      <c r="P18" s="131" t="str">
        <f>IF(ISNUMBER(O17),IF(COUNTIF(JP_StartInhalt,O17)&gt;0,"I",IF(COUNTIF(Feiertage,O17)&gt;0,"h","")),"")</f>
        <v/>
      </c>
      <c r="Q18" s="131" t="str">
        <f>IF(ISNUMBER(O17),IF(COUNTIF(JP_PAL,O17)&gt;0,"P",IF(COUNTIF(Feiertage,O17)&gt;0,"h","")),"")</f>
        <v/>
      </c>
      <c r="R18" s="131" t="str">
        <f>IF(ISNUMBER(R17),IF(COUNTIF(JP_StartSel,R17)&gt;0,"S",IF(COUNTIF(Feiertage,R17)&gt;0,"h","w")),"")</f>
        <v>w</v>
      </c>
      <c r="S18" s="131" t="str">
        <f>IF(ISNUMBER(R17),IF(COUNTIF(JP_StartInhalt,R17)&gt;0,"I",IF(COUNTIF(Feiertage,R17)&gt;0,"h","w")),"")</f>
        <v>w</v>
      </c>
      <c r="T18" s="131" t="str">
        <f>IF(ISNUMBER(R17),IF(COUNTIF(JP_PAL,R17)&gt;0,"P",IF(COUNTIF(Feiertage,R17)&gt;0,"h","w")),"")</f>
        <v>w</v>
      </c>
      <c r="U18" s="131" t="str">
        <f>IF(ISNUMBER(U17),IF(COUNTIF(JP_StartSel,U17)&gt;0,"S",IF(COUNTIF(Feiertage,U17)&gt;0,"h","w")),"")</f>
        <v>w</v>
      </c>
      <c r="V18" s="131" t="str">
        <f>IF(ISNUMBER(U17),IF(COUNTIF(JP_StartInhalt,U17)&gt;0,"I",IF(COUNTIF(Feiertage,U17)&gt;0,"h","w")),"")</f>
        <v>w</v>
      </c>
      <c r="W18" s="131" t="str">
        <f>IF(ISNUMBER(U17),IF(COUNTIF(JP_PAL,U17)&gt;0,"P",IF(COUNTIF(Feiertage,U17)&gt;0,"h","w")),"")</f>
        <v>w</v>
      </c>
      <c r="Y18" s="129"/>
      <c r="Z18" s="131" t="str">
        <f>IF(ISNUMBER(Z17),IF(COUNTIF(JP_StartSel,Z17)&gt;0,"S",IF(COUNTIF(Feiertage,Z17)&gt;0,"h","")),"")</f>
        <v/>
      </c>
      <c r="AA18" s="131" t="str">
        <f>IF(ISNUMBER(Z17),IF(COUNTIF(JP_StartInhalt,Z17)&gt;0,"I",IF(COUNTIF(Feiertage,Z17)&gt;0,"h","")),"")</f>
        <v/>
      </c>
      <c r="AB18" s="131" t="str">
        <f>IF(ISNUMBER(Z17),IF(COUNTIF(JP_PAL,Z17)&gt;0,"P",IF(COUNTIF(Feiertage,Z17)&gt;0,"h","")),"")</f>
        <v/>
      </c>
      <c r="AC18" s="131" t="str">
        <f>IF(ISNUMBER(AC17),IF(COUNTIF(JP_StartSel,AC17)&gt;0,"S",IF(COUNTIF(Feiertage,AC17)&gt;0,"h","")),"")</f>
        <v/>
      </c>
      <c r="AD18" s="131" t="str">
        <f>IF(ISNUMBER(AC17),IF(COUNTIF(JP_StartInhalt,AC17)&gt;0,"I",IF(COUNTIF(Feiertage,AC17)&gt;0,"h","")),"")</f>
        <v/>
      </c>
      <c r="AE18" s="131" t="str">
        <f>IF(ISNUMBER(AC17),IF(COUNTIF(JP_PAL,AC17)&gt;0,"P",IF(COUNTIF(Feiertage,AC17)&gt;0,"h","")),"")</f>
        <v/>
      </c>
      <c r="AF18" s="131" t="str">
        <f>IF(ISNUMBER(AF17),IF(COUNTIF(JP_StartSel,AF17)&gt;0,"S",IF(COUNTIF(Feiertage,AF17)&gt;0,"h","")),"")</f>
        <v/>
      </c>
      <c r="AG18" s="131" t="str">
        <f>IF(ISNUMBER(AF17),IF(COUNTIF(JP_StartInhalt,AF17)&gt;0,"I",IF(COUNTIF(Feiertage,AF17)&gt;0,"h","")),"")</f>
        <v/>
      </c>
      <c r="AH18" s="131" t="str">
        <f>IF(ISNUMBER(AF17),IF(COUNTIF(JP_PAL,AF17)&gt;0,"P",IF(COUNTIF(Feiertage,AF17)&gt;0,"h","")),"")</f>
        <v/>
      </c>
      <c r="AI18" s="131" t="str">
        <f>IF(ISNUMBER(AI17),IF(COUNTIF(JP_StartSel,AI17)&gt;0,"S",IF(COUNTIF(Feiertage,AI17)&gt;0,"h","")),"")</f>
        <v/>
      </c>
      <c r="AJ18" s="131" t="str">
        <f>IF(ISNUMBER(AI17),IF(COUNTIF(JP_StartInhalt,AI17)&gt;0,"I",IF(COUNTIF(Feiertage,AI17)&gt;0,"h","")),"")</f>
        <v/>
      </c>
      <c r="AK18" s="131" t="str">
        <f>IF(ISNUMBER(AI17),IF(COUNTIF(JP_PAL,AI17)&gt;0,"P",IF(COUNTIF(Feiertage,AI17)&gt;0,"h","")),"")</f>
        <v/>
      </c>
      <c r="AL18" s="131" t="str">
        <f>IF(ISNUMBER(AL17),IF(COUNTIF(JP_StartSel,AL17)&gt;0,"S",IF(COUNTIF(Feiertage,AL17)&gt;0,"h","")),"")</f>
        <v/>
      </c>
      <c r="AM18" s="131" t="str">
        <f>IF(ISNUMBER(AL17),IF(COUNTIF(JP_StartInhalt,AL17)&gt;0,"I",IF(COUNTIF(Feiertage,AL17)&gt;0,"h","")),"")</f>
        <v/>
      </c>
      <c r="AN18" s="131" t="str">
        <f>IF(ISNUMBER(AL17),IF(COUNTIF(JP_PAL,AL17)&gt;0,"P",IF(COUNTIF(Feiertage,AL17)&gt;0,"h","")),"")</f>
        <v>P</v>
      </c>
      <c r="AO18" s="131" t="str">
        <f>IF(ISNUMBER(AO17),IF(COUNTIF(JP_StartSel,AO17)&gt;0,"S",IF(COUNTIF(Feiertage,AO17)&gt;0,"h","w")),"")</f>
        <v>w</v>
      </c>
      <c r="AP18" s="131" t="str">
        <f>IF(ISNUMBER(AO17),IF(COUNTIF(JP_StartInhalt,AO17)&gt;0,"I",IF(COUNTIF(Feiertage,AO17)&gt;0,"h","w")),"")</f>
        <v>w</v>
      </c>
      <c r="AQ18" s="131" t="str">
        <f>IF(ISNUMBER(AO17),IF(COUNTIF(JP_PAL,AO17)&gt;0,"P",IF(COUNTIF(Feiertage,AO17)&gt;0,"h","w")),"")</f>
        <v>w</v>
      </c>
      <c r="AR18" s="131" t="str">
        <f>IF(ISNUMBER(AR17),IF(COUNTIF(JP_StartSel,AR17)&gt;0,"S",IF(COUNTIF(Feiertage,AR17)&gt;0,"h","w")),"")</f>
        <v>w</v>
      </c>
      <c r="AS18" s="131" t="str">
        <f>IF(ISNUMBER(AR17),IF(COUNTIF(JP_StartInhalt,AR17)&gt;0,"I",IF(COUNTIF(Feiertage,AR17)&gt;0,"h","w")),"")</f>
        <v>w</v>
      </c>
      <c r="AT18" s="131" t="str">
        <f>IF(ISNUMBER(AR17),IF(COUNTIF(JP_PAL,AR17)&gt;0,"P",IF(COUNTIF(Feiertage,AR17)&gt;0,"h","w")),"")</f>
        <v>w</v>
      </c>
      <c r="AV18" s="129"/>
      <c r="AW18" s="131" t="str">
        <f>IF(ISNUMBER(AW17),IF(COUNTIF(JP_StartSel,AW17)&gt;0,"S",IF(COUNTIF(Feiertage,AW17)&gt;0,"h","")),"")</f>
        <v/>
      </c>
      <c r="AX18" s="131" t="str">
        <f>IF(ISNUMBER(AW17),IF(COUNTIF(JP_StartInhalt,AW17)&gt;0,"I",IF(COUNTIF(Feiertage,AW17)&gt;0,"h","")),"")</f>
        <v/>
      </c>
      <c r="AY18" s="131" t="str">
        <f>IF(ISNUMBER(AW17),IF(COUNTIF(JP_PAL,AW17)&gt;0,"P",IF(COUNTIF(Feiertage,AW17)&gt;0,"h","")),"")</f>
        <v/>
      </c>
      <c r="AZ18" s="131" t="str">
        <f>IF(ISNUMBER(AZ17),IF(COUNTIF(JP_StartSel,AZ17)&gt;0,"S",IF(COUNTIF(Feiertage,AZ17)&gt;0,"h","")),"")</f>
        <v/>
      </c>
      <c r="BA18" s="131" t="str">
        <f>IF(ISNUMBER(AZ17),IF(COUNTIF(JP_StartInhalt,AZ17)&gt;0,"I",IF(COUNTIF(Feiertage,AZ17)&gt;0,"h","")),"")</f>
        <v/>
      </c>
      <c r="BB18" s="131" t="str">
        <f>IF(ISNUMBER(AZ17),IF(COUNTIF(JP_PAL,AZ17)&gt;0,"P",IF(COUNTIF(Feiertage,AZ17)&gt;0,"h","")),"")</f>
        <v/>
      </c>
      <c r="BC18" s="131" t="str">
        <f>IF(ISNUMBER(BC17),IF(COUNTIF(JP_StartSel,BC17)&gt;0,"S",IF(COUNTIF(Feiertage,BC17)&gt;0,"h","")),"")</f>
        <v/>
      </c>
      <c r="BD18" s="131" t="str">
        <f>IF(ISNUMBER(BC17),IF(COUNTIF(JP_StartInhalt,BC17)&gt;0,"I",IF(COUNTIF(Feiertage,BC17)&gt;0,"h","")),"")</f>
        <v/>
      </c>
      <c r="BE18" s="131" t="str">
        <f>IF(ISNUMBER(BC17),IF(COUNTIF(JP_PAL,BC17)&gt;0,"P",IF(COUNTIF(Feiertage,BC17)&gt;0,"h","")),"")</f>
        <v/>
      </c>
      <c r="BF18" s="131" t="str">
        <f>IF(ISNUMBER(BF17),IF(COUNTIF(JP_StartSel,BF17)&gt;0,"S",IF(COUNTIF(Feiertage,BF17)&gt;0,"h","")),"")</f>
        <v/>
      </c>
      <c r="BG18" s="131" t="str">
        <f>IF(ISNUMBER(BF17),IF(COUNTIF(JP_StartInhalt,BF17)&gt;0,"I",IF(COUNTIF(Feiertage,BF17)&gt;0,"h","")),"")</f>
        <v/>
      </c>
      <c r="BH18" s="131" t="str">
        <f>IF(ISNUMBER(BF17),IF(COUNTIF(JP_PAL,BF17)&gt;0,"P",IF(COUNTIF(Feiertage,BF17)&gt;0,"h","")),"")</f>
        <v/>
      </c>
      <c r="BI18" s="131" t="str">
        <f>IF(ISNUMBER(BI17),IF(COUNTIF(JP_StartSel,BI17)&gt;0,"S",IF(COUNTIF(Feiertage,BI17)&gt;0,"h","")),"")</f>
        <v/>
      </c>
      <c r="BJ18" s="131" t="str">
        <f>IF(ISNUMBER(BI17),IF(COUNTIF(JP_StartInhalt,BI17)&gt;0,"I",IF(COUNTIF(Feiertage,BI17)&gt;0,"h","")),"")</f>
        <v/>
      </c>
      <c r="BK18" s="131" t="str">
        <f>IF(ISNUMBER(BI17),IF(COUNTIF(JP_PAL,BI17)&gt;0,"P",IF(COUNTIF(Feiertage,BI17)&gt;0,"h","")),"")</f>
        <v/>
      </c>
      <c r="BL18" s="131" t="str">
        <f>IF(ISNUMBER(BL17),IF(COUNTIF(JP_StartSel,BL17)&gt;0,"S",IF(COUNTIF(Feiertage,BL17)&gt;0,"h","w")),"")</f>
        <v>w</v>
      </c>
      <c r="BM18" s="131" t="str">
        <f>IF(ISNUMBER(BL17),IF(COUNTIF(JP_StartInhalt,BL17)&gt;0,"I",IF(COUNTIF(Feiertage,BL17)&gt;0,"h","w")),"")</f>
        <v>w</v>
      </c>
      <c r="BN18" s="131" t="str">
        <f>IF(ISNUMBER(BL17),IF(COUNTIF(JP_PAL,BL17)&gt;0,"P",IF(COUNTIF(Feiertage,BL17)&gt;0,"h","w")),"")</f>
        <v>w</v>
      </c>
      <c r="BO18" s="131" t="str">
        <f>IF(ISNUMBER(BO17),IF(COUNTIF(JP_StartSel,BO17)&gt;0,"S",IF(COUNTIF(Feiertage,BO17)&gt;0,"h","w")),"")</f>
        <v>w</v>
      </c>
      <c r="BP18" s="131" t="str">
        <f>IF(ISNUMBER(BO17),IF(COUNTIF(JP_StartInhalt,BO17)&gt;0,"I",IF(COUNTIF(Feiertage,BO17)&gt;0,"h","w")),"")</f>
        <v>w</v>
      </c>
      <c r="BQ18" s="131" t="str">
        <f>IF(ISNUMBER(BO17),IF(COUNTIF(JP_PAL,BO17)&gt;0,"P",IF(COUNTIF(Feiertage,BO17)&gt;0,"h","w")),"")</f>
        <v>w</v>
      </c>
      <c r="BS18" s="129"/>
      <c r="BT18" s="131" t="str">
        <f>IF(ISNUMBER(BT17),IF(COUNTIF(JP_StartSel,BT17)&gt;0,"S",IF(COUNTIF(Feiertage,BT17)&gt;0,"h","")),"")</f>
        <v/>
      </c>
      <c r="BU18" s="131" t="str">
        <f>IF(ISNUMBER(BT17),IF(COUNTIF(JP_StartInhalt,BT17)&gt;0,"I",IF(COUNTIF(Feiertage,BT17)&gt;0,"h","")),"")</f>
        <v/>
      </c>
      <c r="BV18" s="131" t="str">
        <f>IF(ISNUMBER(BT17),IF(COUNTIF(JP_PAL,BT17)&gt;0,"P",IF(COUNTIF(Feiertage,BT17)&gt;0,"h","")),"")</f>
        <v/>
      </c>
      <c r="BW18" s="131" t="str">
        <f>IF(ISNUMBER(BW17),IF(COUNTIF(JP_StartSel,BW17)&gt;0,"S",IF(COUNTIF(Feiertage,BW17)&gt;0,"h","")),"")</f>
        <v/>
      </c>
      <c r="BX18" s="131" t="str">
        <f>IF(ISNUMBER(BW17),IF(COUNTIF(JP_StartInhalt,BW17)&gt;0,"I",IF(COUNTIF(Feiertage,BW17)&gt;0,"h","")),"")</f>
        <v/>
      </c>
      <c r="BY18" s="131" t="str">
        <f>IF(ISNUMBER(BW17),IF(COUNTIF(JP_PAL,BW17)&gt;0,"P",IF(COUNTIF(Feiertage,BW17)&gt;0,"h","")),"")</f>
        <v/>
      </c>
      <c r="BZ18" s="131" t="str">
        <f>IF(ISNUMBER(BZ17),IF(COUNTIF(JP_StartSel,BZ17)&gt;0,"S",IF(COUNTIF(Feiertage,BZ17)&gt;0,"h","")),"")</f>
        <v/>
      </c>
      <c r="CA18" s="131" t="str">
        <f>IF(ISNUMBER(BZ17),IF(COUNTIF(JP_StartInhalt,BZ17)&gt;0,"I",IF(COUNTIF(Feiertage,BZ17)&gt;0,"h","")),"")</f>
        <v/>
      </c>
      <c r="CB18" s="131" t="str">
        <f>IF(ISNUMBER(BZ17),IF(COUNTIF(JP_PAL,BZ17)&gt;0,"P",IF(COUNTIF(Feiertage,BZ17)&gt;0,"h","")),"")</f>
        <v/>
      </c>
      <c r="CC18" s="131" t="str">
        <f>IF(ISNUMBER(CC17),IF(COUNTIF(JP_StartSel,CC17)&gt;0,"S",IF(COUNTIF(Feiertage,CC17)&gt;0,"h","")),"")</f>
        <v/>
      </c>
      <c r="CD18" s="131" t="str">
        <f>IF(ISNUMBER(CC17),IF(COUNTIF(JP_StartInhalt,CC17)&gt;0,"I",IF(COUNTIF(Feiertage,CC17)&gt;0,"h","")),"")</f>
        <v/>
      </c>
      <c r="CE18" s="131" t="str">
        <f>IF(ISNUMBER(CC17),IF(COUNTIF(JP_PAL,CC17)&gt;0,"P",IF(COUNTIF(Feiertage,CC17)&gt;0,"h","")),"")</f>
        <v/>
      </c>
      <c r="CF18" s="131" t="str">
        <f>IF(ISNUMBER(CF17),IF(COUNTIF(JP_StartSel,CF17)&gt;0,"S",IF(COUNTIF(Feiertage,CF17)&gt;0,"h","")),"")</f>
        <v/>
      </c>
      <c r="CG18" s="131" t="str">
        <f>IF(ISNUMBER(CF17),IF(COUNTIF(JP_StartInhalt,CF17)&gt;0,"I",IF(COUNTIF(Feiertage,CF17)&gt;0,"h","")),"")</f>
        <v/>
      </c>
      <c r="CH18" s="131" t="str">
        <f>IF(ISNUMBER(CF17),IF(COUNTIF(JP_PAL,CF17)&gt;0,"P",IF(COUNTIF(Feiertage,CF17)&gt;0,"h","")),"")</f>
        <v/>
      </c>
      <c r="CI18" s="131" t="str">
        <f>IF(ISNUMBER(CI17),IF(COUNTIF(JP_StartSel,CI17)&gt;0,"S",IF(COUNTIF(Feiertage,CI17)&gt;0,"h","w")),"")</f>
        <v>w</v>
      </c>
      <c r="CJ18" s="131" t="str">
        <f>IF(ISNUMBER(CI17),IF(COUNTIF(JP_StartInhalt,CI17)&gt;0,"I",IF(COUNTIF(Feiertage,CI17)&gt;0,"h","w")),"")</f>
        <v>w</v>
      </c>
      <c r="CK18" s="131" t="str">
        <f>IF(ISNUMBER(CI17),IF(COUNTIF(JP_PAL,CI17)&gt;0,"P",IF(COUNTIF(Feiertage,CI17)&gt;0,"h","w")),"")</f>
        <v>w</v>
      </c>
      <c r="CL18" s="131" t="str">
        <f>IF(ISNUMBER(CL17),IF(COUNTIF(JP_StartSel,CL17)&gt;0,"S",IF(COUNTIF(Feiertage,CL17)&gt;0,"h","w")),"")</f>
        <v>w</v>
      </c>
      <c r="CM18" s="131" t="str">
        <f>IF(ISNUMBER(CL17),IF(COUNTIF(JP_StartInhalt,CL17)&gt;0,"I",IF(COUNTIF(Feiertage,CL17)&gt;0,"h","w")),"")</f>
        <v>w</v>
      </c>
      <c r="CN18" s="131" t="str">
        <f>IF(ISNUMBER(CL17),IF(COUNTIF(JP_PAL,CL17)&gt;0,"P",IF(COUNTIF(Feiertage,CL17)&gt;0,"h","w")),"")</f>
        <v>w</v>
      </c>
    </row>
    <row r="19" ht="16" customHeight="1">
      <c r="B19" s="128">
        <f>IF(OR(ISNUMBER(C19),ISNUMBER(U19)),_xlfn.ISOWEEKNUM($B$11-WEEKDAY($B$11,2)+22),"")</f>
        <v>3</v>
      </c>
      <c r="C19" s="130">
        <f>IF(MONTH($B$11-WEEKDAY($B$11,2)+22)=MONTH($B$11),$B$11-WEEKDAY($B$11,2)+22,"")</f>
        <v>46405</v>
      </c>
      <c r="D19" s="130"/>
      <c r="E19" s="130"/>
      <c r="F19" s="130">
        <f>IF(MONTH($B$11-WEEKDAY($B$11,2)+23)=MONTH($B$11),$B$11-WEEKDAY($B$11,2)+23,"")</f>
        <v>46406</v>
      </c>
      <c r="G19" s="130"/>
      <c r="H19" s="130"/>
      <c r="I19" s="130">
        <f>IF(MONTH($B$11-WEEKDAY($B$11,2)+24)=MONTH($B$11),$B$11-WEEKDAY($B$11,2)+24,"")</f>
        <v>46407</v>
      </c>
      <c r="J19" s="130"/>
      <c r="K19" s="130"/>
      <c r="L19" s="130">
        <f>IF(MONTH($B$11-WEEKDAY($B$11,2)+25)=MONTH($B$11),$B$11-WEEKDAY($B$11,2)+25,"")</f>
        <v>46408</v>
      </c>
      <c r="M19" s="130"/>
      <c r="N19" s="130"/>
      <c r="O19" s="130">
        <f>IF(MONTH($B$11-WEEKDAY($B$11,2)+26)=MONTH($B$11),$B$11-WEEKDAY($B$11,2)+26,"")</f>
        <v>46409</v>
      </c>
      <c r="P19" s="130"/>
      <c r="Q19" s="130"/>
      <c r="R19" s="130">
        <f>IF(MONTH($B$11-WEEKDAY($B$11,2)+27)=MONTH($B$11),$B$11-WEEKDAY($B$11,2)+27,"")</f>
        <v>46410</v>
      </c>
      <c r="S19" s="130"/>
      <c r="T19" s="130"/>
      <c r="U19" s="130">
        <f>IF(MONTH($B$11-WEEKDAY($B$11,2)+28)=MONTH($B$11),$B$11-WEEKDAY($B$11,2)+28,"")</f>
        <v>46411</v>
      </c>
      <c r="V19" s="130"/>
      <c r="W19" s="130"/>
      <c r="Y19" s="128">
        <f>IF(OR(ISNUMBER(Z19),ISNUMBER(AR19)),_xlfn.ISOWEEKNUM($Y$11-WEEKDAY($Y$11,2)+22),"")</f>
        <v>8</v>
      </c>
      <c r="Z19" s="130">
        <f>IF(MONTH($Y$11-WEEKDAY($Y$11,2)+22)=MONTH($Y$11),$Y$11-WEEKDAY($Y$11,2)+22,"")</f>
        <v>46440</v>
      </c>
      <c r="AA19" s="130"/>
      <c r="AB19" s="130"/>
      <c r="AC19" s="130">
        <f>IF(MONTH($Y$11-WEEKDAY($Y$11,2)+23)=MONTH($Y$11),$Y$11-WEEKDAY($Y$11,2)+23,"")</f>
        <v>46441</v>
      </c>
      <c r="AD19" s="130"/>
      <c r="AE19" s="130"/>
      <c r="AF19" s="130">
        <f>IF(MONTH($Y$11-WEEKDAY($Y$11,2)+24)=MONTH($Y$11),$Y$11-WEEKDAY($Y$11,2)+24,"")</f>
        <v>46442</v>
      </c>
      <c r="AG19" s="130"/>
      <c r="AH19" s="130"/>
      <c r="AI19" s="130">
        <f>IF(MONTH($Y$11-WEEKDAY($Y$11,2)+25)=MONTH($Y$11),$Y$11-WEEKDAY($Y$11,2)+25,"")</f>
        <v>46443</v>
      </c>
      <c r="AJ19" s="130"/>
      <c r="AK19" s="130"/>
      <c r="AL19" s="130">
        <f>IF(MONTH($Y$11-WEEKDAY($Y$11,2)+26)=MONTH($Y$11),$Y$11-WEEKDAY($Y$11,2)+26,"")</f>
        <v>46444</v>
      </c>
      <c r="AM19" s="130"/>
      <c r="AN19" s="130"/>
      <c r="AO19" s="130">
        <f>IF(MONTH($Y$11-WEEKDAY($Y$11,2)+27)=MONTH($Y$11),$Y$11-WEEKDAY($Y$11,2)+27,"")</f>
        <v>46445</v>
      </c>
      <c r="AP19" s="130"/>
      <c r="AQ19" s="130"/>
      <c r="AR19" s="130">
        <f>IF(MONTH($Y$11-WEEKDAY($Y$11,2)+28)=MONTH($Y$11),$Y$11-WEEKDAY($Y$11,2)+28,"")</f>
        <v>46446</v>
      </c>
      <c r="AS19" s="130"/>
      <c r="AT19" s="130"/>
      <c r="AV19" s="128">
        <f>IF(OR(ISNUMBER(AW19),ISNUMBER(BO19)),_xlfn.ISOWEEKNUM($AV$11-WEEKDAY($AV$11,2)+22),"")</f>
        <v>12</v>
      </c>
      <c r="AW19" s="130">
        <f>IF(MONTH($AV$11-WEEKDAY($AV$11,2)+22)=MONTH($AV$11),$AV$11-WEEKDAY($AV$11,2)+22,"")</f>
        <v>46468</v>
      </c>
      <c r="AX19" s="130"/>
      <c r="AY19" s="130"/>
      <c r="AZ19" s="130">
        <f>IF(MONTH($AV$11-WEEKDAY($AV$11,2)+23)=MONTH($AV$11),$AV$11-WEEKDAY($AV$11,2)+23,"")</f>
        <v>46469</v>
      </c>
      <c r="BA19" s="130"/>
      <c r="BB19" s="130"/>
      <c r="BC19" s="130">
        <f>IF(MONTH($AV$11-WEEKDAY($AV$11,2)+24)=MONTH($AV$11),$AV$11-WEEKDAY($AV$11,2)+24,"")</f>
        <v>46470</v>
      </c>
      <c r="BD19" s="130"/>
      <c r="BE19" s="130"/>
      <c r="BF19" s="130">
        <f>IF(MONTH($AV$11-WEEKDAY($AV$11,2)+25)=MONTH($AV$11),$AV$11-WEEKDAY($AV$11,2)+25,"")</f>
        <v>46471</v>
      </c>
      <c r="BG19" s="130"/>
      <c r="BH19" s="130"/>
      <c r="BI19" s="130">
        <f>IF(MONTH($AV$11-WEEKDAY($AV$11,2)+26)=MONTH($AV$11),$AV$11-WEEKDAY($AV$11,2)+26,"")</f>
        <v>46472</v>
      </c>
      <c r="BJ19" s="130"/>
      <c r="BK19" s="130"/>
      <c r="BL19" s="130">
        <f>IF(MONTH($AV$11-WEEKDAY($AV$11,2)+27)=MONTH($AV$11),$AV$11-WEEKDAY($AV$11,2)+27,"")</f>
        <v>46473</v>
      </c>
      <c r="BM19" s="130"/>
      <c r="BN19" s="130"/>
      <c r="BO19" s="130">
        <f>IF(MONTH($AV$11-WEEKDAY($AV$11,2)+28)=MONTH($AV$11),$AV$11-WEEKDAY($AV$11,2)+28,"")</f>
        <v>46474</v>
      </c>
      <c r="BP19" s="130"/>
      <c r="BQ19" s="130"/>
      <c r="BS19" s="128">
        <f>IF(OR(ISNUMBER(BT19),ISNUMBER(CL19)),_xlfn.ISOWEEKNUM($BS$11-WEEKDAY($BS$11,2)+22),"")</f>
        <v>16</v>
      </c>
      <c r="BT19" s="130">
        <f>IF(MONTH($BS$11-WEEKDAY($BS$11,2)+22)=MONTH($BS$11),$BS$11-WEEKDAY($BS$11,2)+22,"")</f>
        <v>46496</v>
      </c>
      <c r="BU19" s="130"/>
      <c r="BV19" s="130"/>
      <c r="BW19" s="130">
        <f>IF(MONTH($BS$11-WEEKDAY($BS$11,2)+23)=MONTH($BS$11),$BS$11-WEEKDAY($BS$11,2)+23,"")</f>
        <v>46497</v>
      </c>
      <c r="BX19" s="130"/>
      <c r="BY19" s="130"/>
      <c r="BZ19" s="130">
        <f>IF(MONTH($BS$11-WEEKDAY($BS$11,2)+24)=MONTH($BS$11),$BS$11-WEEKDAY($BS$11,2)+24,"")</f>
        <v>46498</v>
      </c>
      <c r="CA19" s="130"/>
      <c r="CB19" s="130"/>
      <c r="CC19" s="130">
        <f>IF(MONTH($BS$11-WEEKDAY($BS$11,2)+25)=MONTH($BS$11),$BS$11-WEEKDAY($BS$11,2)+25,"")</f>
        <v>46499</v>
      </c>
      <c r="CD19" s="130"/>
      <c r="CE19" s="130"/>
      <c r="CF19" s="130">
        <f>IF(MONTH($BS$11-WEEKDAY($BS$11,2)+26)=MONTH($BS$11),$BS$11-WEEKDAY($BS$11,2)+26,"")</f>
        <v>46500</v>
      </c>
      <c r="CG19" s="130"/>
      <c r="CH19" s="130"/>
      <c r="CI19" s="130">
        <f>IF(MONTH($BS$11-WEEKDAY($BS$11,2)+27)=MONTH($BS$11),$BS$11-WEEKDAY($BS$11,2)+27,"")</f>
        <v>46501</v>
      </c>
      <c r="CJ19" s="130"/>
      <c r="CK19" s="130"/>
      <c r="CL19" s="130">
        <f>IF(MONTH($BS$11-WEEKDAY($BS$11,2)+28)=MONTH($BS$11),$BS$11-WEEKDAY($BS$11,2)+28,"")</f>
        <v>46502</v>
      </c>
      <c r="CM19" s="130"/>
      <c r="CN19" s="130"/>
    </row>
    <row r="20" ht="10.5" customHeight="1">
      <c r="B20" s="129"/>
      <c r="C20" s="131" t="str">
        <f>IF(ISNUMBER(C19),IF(COUNTIF(JP_StartSel,C19)&gt;0,"S",IF(COUNTIF(Feiertage,C19)&gt;0,"h","")),"")</f>
        <v/>
      </c>
      <c r="D20" s="131" t="str">
        <f>IF(ISNUMBER(C19),IF(COUNTIF(JP_StartInhalt,C19)&gt;0,"I",IF(COUNTIF(Feiertage,C19)&gt;0,"h","")),"")</f>
        <v/>
      </c>
      <c r="E20" s="131" t="str">
        <f>IF(ISNUMBER(C19),IF(COUNTIF(JP_PAL,C19)&gt;0,"P",IF(COUNTIF(Feiertage,C19)&gt;0,"h","")),"")</f>
        <v/>
      </c>
      <c r="F20" s="131" t="str">
        <f>IF(ISNUMBER(F19),IF(COUNTIF(JP_StartSel,F19)&gt;0,"S",IF(COUNTIF(Feiertage,F19)&gt;0,"h","")),"")</f>
        <v/>
      </c>
      <c r="G20" s="131" t="str">
        <f>IF(ISNUMBER(F19),IF(COUNTIF(JP_StartInhalt,F19)&gt;0,"I",IF(COUNTIF(Feiertage,F19)&gt;0,"h","")),"")</f>
        <v/>
      </c>
      <c r="H20" s="131" t="str">
        <f>IF(ISNUMBER(F19),IF(COUNTIF(JP_PAL,F19)&gt;0,"P",IF(COUNTIF(Feiertage,F19)&gt;0,"h","")),"")</f>
        <v/>
      </c>
      <c r="I20" s="131" t="str">
        <f>IF(ISNUMBER(I19),IF(COUNTIF(JP_StartSel,I19)&gt;0,"S",IF(COUNTIF(Feiertage,I19)&gt;0,"h","")),"")</f>
        <v/>
      </c>
      <c r="J20" s="131" t="str">
        <f>IF(ISNUMBER(I19),IF(COUNTIF(JP_StartInhalt,I19)&gt;0,"I",IF(COUNTIF(Feiertage,I19)&gt;0,"h","")),"")</f>
        <v/>
      </c>
      <c r="K20" s="131" t="str">
        <f>IF(ISNUMBER(I19),IF(COUNTIF(JP_PAL,I19)&gt;0,"P",IF(COUNTIF(Feiertage,I19)&gt;0,"h","")),"")</f>
        <v/>
      </c>
      <c r="L20" s="131" t="str">
        <f>IF(ISNUMBER(L19),IF(COUNTIF(JP_StartSel,L19)&gt;0,"S",IF(COUNTIF(Feiertage,L19)&gt;0,"h","")),"")</f>
        <v/>
      </c>
      <c r="M20" s="131" t="str">
        <f>IF(ISNUMBER(L19),IF(COUNTIF(JP_StartInhalt,L19)&gt;0,"I",IF(COUNTIF(Feiertage,L19)&gt;0,"h","")),"")</f>
        <v/>
      </c>
      <c r="N20" s="131" t="str">
        <f>IF(ISNUMBER(L19),IF(COUNTIF(JP_PAL,L19)&gt;0,"P",IF(COUNTIF(Feiertage,L19)&gt;0,"h","")),"")</f>
        <v/>
      </c>
      <c r="O20" s="131" t="str">
        <f>IF(ISNUMBER(O19),IF(COUNTIF(JP_StartSel,O19)&gt;0,"S",IF(COUNTIF(Feiertage,O19)&gt;0,"h","")),"")</f>
        <v/>
      </c>
      <c r="P20" s="131" t="str">
        <f>IF(ISNUMBER(O19),IF(COUNTIF(JP_StartInhalt,O19)&gt;0,"I",IF(COUNTIF(Feiertage,O19)&gt;0,"h","")),"")</f>
        <v/>
      </c>
      <c r="Q20" s="131" t="str">
        <f>IF(ISNUMBER(O19),IF(COUNTIF(JP_PAL,O19)&gt;0,"P",IF(COUNTIF(Feiertage,O19)&gt;0,"h","")),"")</f>
        <v/>
      </c>
      <c r="R20" s="131" t="str">
        <f>IF(ISNUMBER(R19),IF(COUNTIF(JP_StartSel,R19)&gt;0,"S",IF(COUNTIF(Feiertage,R19)&gt;0,"h","w")),"")</f>
        <v>w</v>
      </c>
      <c r="S20" s="131" t="str">
        <f>IF(ISNUMBER(R19),IF(COUNTIF(JP_StartInhalt,R19)&gt;0,"I",IF(COUNTIF(Feiertage,R19)&gt;0,"h","w")),"")</f>
        <v>w</v>
      </c>
      <c r="T20" s="131" t="str">
        <f>IF(ISNUMBER(R19),IF(COUNTIF(JP_PAL,R19)&gt;0,"P",IF(COUNTIF(Feiertage,R19)&gt;0,"h","w")),"")</f>
        <v>w</v>
      </c>
      <c r="U20" s="131" t="str">
        <f>IF(ISNUMBER(U19),IF(COUNTIF(JP_StartSel,U19)&gt;0,"S",IF(COUNTIF(Feiertage,U19)&gt;0,"h","w")),"")</f>
        <v>w</v>
      </c>
      <c r="V20" s="131" t="str">
        <f>IF(ISNUMBER(U19),IF(COUNTIF(JP_StartInhalt,U19)&gt;0,"I",IF(COUNTIF(Feiertage,U19)&gt;0,"h","w")),"")</f>
        <v>w</v>
      </c>
      <c r="W20" s="131" t="str">
        <f>IF(ISNUMBER(U19),IF(COUNTIF(JP_PAL,U19)&gt;0,"P",IF(COUNTIF(Feiertage,U19)&gt;0,"h","w")),"")</f>
        <v>w</v>
      </c>
      <c r="Y20" s="129"/>
      <c r="Z20" s="131" t="str">
        <f>IF(ISNUMBER(Z19),IF(COUNTIF(JP_StartSel,Z19)&gt;0,"S",IF(COUNTIF(Feiertage,Z19)&gt;0,"h","")),"")</f>
        <v/>
      </c>
      <c r="AA20" s="131" t="str">
        <f>IF(ISNUMBER(Z19),IF(COUNTIF(JP_StartInhalt,Z19)&gt;0,"I",IF(COUNTIF(Feiertage,Z19)&gt;0,"h","")),"")</f>
        <v/>
      </c>
      <c r="AB20" s="131" t="str">
        <f>IF(ISNUMBER(Z19),IF(COUNTIF(JP_PAL,Z19)&gt;0,"P",IF(COUNTIF(Feiertage,Z19)&gt;0,"h","")),"")</f>
        <v/>
      </c>
      <c r="AC20" s="131" t="str">
        <f>IF(ISNUMBER(AC19),IF(COUNTIF(JP_StartSel,AC19)&gt;0,"S",IF(COUNTIF(Feiertage,AC19)&gt;0,"h","")),"")</f>
        <v/>
      </c>
      <c r="AD20" s="131" t="str">
        <f>IF(ISNUMBER(AC19),IF(COUNTIF(JP_StartInhalt,AC19)&gt;0,"I",IF(COUNTIF(Feiertage,AC19)&gt;0,"h","")),"")</f>
        <v/>
      </c>
      <c r="AE20" s="131" t="str">
        <f>IF(ISNUMBER(AC19),IF(COUNTIF(JP_PAL,AC19)&gt;0,"P",IF(COUNTIF(Feiertage,AC19)&gt;0,"h","")),"")</f>
        <v/>
      </c>
      <c r="AF20" s="131" t="str">
        <f>IF(ISNUMBER(AF19),IF(COUNTIF(JP_StartSel,AF19)&gt;0,"S",IF(COUNTIF(Feiertage,AF19)&gt;0,"h","")),"")</f>
        <v/>
      </c>
      <c r="AG20" s="131" t="str">
        <f>IF(ISNUMBER(AF19),IF(COUNTIF(JP_StartInhalt,AF19)&gt;0,"I",IF(COUNTIF(Feiertage,AF19)&gt;0,"h","")),"")</f>
        <v>I</v>
      </c>
      <c r="AH20" s="131" t="str">
        <f>IF(ISNUMBER(AF19),IF(COUNTIF(JP_PAL,AF19)&gt;0,"P",IF(COUNTIF(Feiertage,AF19)&gt;0,"h","")),"")</f>
        <v/>
      </c>
      <c r="AI20" s="131" t="str">
        <f>IF(ISNUMBER(AI19),IF(COUNTIF(JP_StartSel,AI19)&gt;0,"S",IF(COUNTIF(Feiertage,AI19)&gt;0,"h","")),"")</f>
        <v/>
      </c>
      <c r="AJ20" s="131" t="str">
        <f>IF(ISNUMBER(AI19),IF(COUNTIF(JP_StartInhalt,AI19)&gt;0,"I",IF(COUNTIF(Feiertage,AI19)&gt;0,"h","")),"")</f>
        <v/>
      </c>
      <c r="AK20" s="131" t="str">
        <f>IF(ISNUMBER(AI19),IF(COUNTIF(JP_PAL,AI19)&gt;0,"P",IF(COUNTIF(Feiertage,AI19)&gt;0,"h","")),"")</f>
        <v/>
      </c>
      <c r="AL20" s="131" t="str">
        <f>IF(ISNUMBER(AL19),IF(COUNTIF(JP_StartSel,AL19)&gt;0,"S",IF(COUNTIF(Feiertage,AL19)&gt;0,"h","")),"")</f>
        <v/>
      </c>
      <c r="AM20" s="131" t="str">
        <f>IF(ISNUMBER(AL19),IF(COUNTIF(JP_StartInhalt,AL19)&gt;0,"I",IF(COUNTIF(Feiertage,AL19)&gt;0,"h","")),"")</f>
        <v/>
      </c>
      <c r="AN20" s="131" t="str">
        <f>IF(ISNUMBER(AL19),IF(COUNTIF(JP_PAL,AL19)&gt;0,"P",IF(COUNTIF(Feiertage,AL19)&gt;0,"h","")),"")</f>
        <v/>
      </c>
      <c r="AO20" s="131" t="str">
        <f>IF(ISNUMBER(AO19),IF(COUNTIF(JP_StartSel,AO19)&gt;0,"S",IF(COUNTIF(Feiertage,AO19)&gt;0,"h","w")),"")</f>
        <v>w</v>
      </c>
      <c r="AP20" s="131" t="str">
        <f>IF(ISNUMBER(AO19),IF(COUNTIF(JP_StartInhalt,AO19)&gt;0,"I",IF(COUNTIF(Feiertage,AO19)&gt;0,"h","w")),"")</f>
        <v>w</v>
      </c>
      <c r="AQ20" s="131" t="str">
        <f>IF(ISNUMBER(AO19),IF(COUNTIF(JP_PAL,AO19)&gt;0,"P",IF(COUNTIF(Feiertage,AO19)&gt;0,"h","w")),"")</f>
        <v>w</v>
      </c>
      <c r="AR20" s="131" t="str">
        <f>IF(ISNUMBER(AR19),IF(COUNTIF(JP_StartSel,AR19)&gt;0,"S",IF(COUNTIF(Feiertage,AR19)&gt;0,"h","w")),"")</f>
        <v>w</v>
      </c>
      <c r="AS20" s="131" t="str">
        <f>IF(ISNUMBER(AR19),IF(COUNTIF(JP_StartInhalt,AR19)&gt;0,"I",IF(COUNTIF(Feiertage,AR19)&gt;0,"h","w")),"")</f>
        <v>w</v>
      </c>
      <c r="AT20" s="131" t="str">
        <f>IF(ISNUMBER(AR19),IF(COUNTIF(JP_PAL,AR19)&gt;0,"P",IF(COUNTIF(Feiertage,AR19)&gt;0,"h","w")),"")</f>
        <v>w</v>
      </c>
      <c r="AV20" s="129"/>
      <c r="AW20" s="131" t="str">
        <f>IF(ISNUMBER(AW19),IF(COUNTIF(JP_StartSel,AW19)&gt;0,"S",IF(COUNTIF(Feiertage,AW19)&gt;0,"h","")),"")</f>
        <v/>
      </c>
      <c r="AX20" s="131" t="str">
        <f>IF(ISNUMBER(AW19),IF(COUNTIF(JP_StartInhalt,AW19)&gt;0,"I",IF(COUNTIF(Feiertage,AW19)&gt;0,"h","")),"")</f>
        <v/>
      </c>
      <c r="AY20" s="131" t="str">
        <f>IF(ISNUMBER(AW19),IF(COUNTIF(JP_PAL,AW19)&gt;0,"P",IF(COUNTIF(Feiertage,AW19)&gt;0,"h","")),"")</f>
        <v/>
      </c>
      <c r="AZ20" s="131" t="str">
        <f>IF(ISNUMBER(AZ19),IF(COUNTIF(JP_StartSel,AZ19)&gt;0,"S",IF(COUNTIF(Feiertage,AZ19)&gt;0,"h","")),"")</f>
        <v/>
      </c>
      <c r="BA20" s="131" t="str">
        <f>IF(ISNUMBER(AZ19),IF(COUNTIF(JP_StartInhalt,AZ19)&gt;0,"I",IF(COUNTIF(Feiertage,AZ19)&gt;0,"h","")),"")</f>
        <v/>
      </c>
      <c r="BB20" s="131" t="str">
        <f>IF(ISNUMBER(AZ19),IF(COUNTIF(JP_PAL,AZ19)&gt;0,"P",IF(COUNTIF(Feiertage,AZ19)&gt;0,"h","")),"")</f>
        <v/>
      </c>
      <c r="BC20" s="131" t="str">
        <f>IF(ISNUMBER(BC19),IF(COUNTIF(JP_StartSel,BC19)&gt;0,"S",IF(COUNTIF(Feiertage,BC19)&gt;0,"h","")),"")</f>
        <v/>
      </c>
      <c r="BD20" s="131" t="str">
        <f>IF(ISNUMBER(BC19),IF(COUNTIF(JP_StartInhalt,BC19)&gt;0,"I",IF(COUNTIF(Feiertage,BC19)&gt;0,"h","")),"")</f>
        <v/>
      </c>
      <c r="BE20" s="131" t="str">
        <f>IF(ISNUMBER(BC19),IF(COUNTIF(JP_PAL,BC19)&gt;0,"P",IF(COUNTIF(Feiertage,BC19)&gt;0,"h","")),"")</f>
        <v/>
      </c>
      <c r="BF20" s="131" t="str">
        <f>IF(ISNUMBER(BF19),IF(COUNTIF(JP_StartSel,BF19)&gt;0,"S",IF(COUNTIF(Feiertage,BF19)&gt;0,"h","")),"")</f>
        <v/>
      </c>
      <c r="BG20" s="131" t="str">
        <f>IF(ISNUMBER(BF19),IF(COUNTIF(JP_StartInhalt,BF19)&gt;0,"I",IF(COUNTIF(Feiertage,BF19)&gt;0,"h","")),"")</f>
        <v/>
      </c>
      <c r="BH20" s="131" t="str">
        <f>IF(ISNUMBER(BF19),IF(COUNTIF(JP_PAL,BF19)&gt;0,"P",IF(COUNTIF(Feiertage,BF19)&gt;0,"h","")),"")</f>
        <v/>
      </c>
      <c r="BI20" s="131" t="str">
        <f>IF(ISNUMBER(BI19),IF(COUNTIF(JP_StartSel,BI19)&gt;0,"S",IF(COUNTIF(Feiertage,BI19)&gt;0,"h","")),"")</f>
        <v>h</v>
      </c>
      <c r="BJ20" s="131" t="str">
        <f>IF(ISNUMBER(BI19),IF(COUNTIF(JP_StartInhalt,BI19)&gt;0,"I",IF(COUNTIF(Feiertage,BI19)&gt;0,"h","")),"")</f>
        <v>h</v>
      </c>
      <c r="BK20" s="131" t="str">
        <f>IF(ISNUMBER(BI19),IF(COUNTIF(JP_PAL,BI19)&gt;0,"P",IF(COUNTIF(Feiertage,BI19)&gt;0,"h","")),"")</f>
        <v>h</v>
      </c>
      <c r="BL20" s="131" t="str">
        <f>IF(ISNUMBER(BL19),IF(COUNTIF(JP_StartSel,BL19)&gt;0,"S",IF(COUNTIF(Feiertage,BL19)&gt;0,"h","w")),"")</f>
        <v>w</v>
      </c>
      <c r="BM20" s="131" t="str">
        <f>IF(ISNUMBER(BL19),IF(COUNTIF(JP_StartInhalt,BL19)&gt;0,"I",IF(COUNTIF(Feiertage,BL19)&gt;0,"h","w")),"")</f>
        <v>w</v>
      </c>
      <c r="BN20" s="131" t="str">
        <f>IF(ISNUMBER(BL19),IF(COUNTIF(JP_PAL,BL19)&gt;0,"P",IF(COUNTIF(Feiertage,BL19)&gt;0,"h","w")),"")</f>
        <v>w</v>
      </c>
      <c r="BO20" s="131" t="str">
        <f>IF(ISNUMBER(BO19),IF(COUNTIF(JP_StartSel,BO19)&gt;0,"S",IF(COUNTIF(Feiertage,BO19)&gt;0,"h","w")),"")</f>
        <v>w</v>
      </c>
      <c r="BP20" s="131" t="str">
        <f>IF(ISNUMBER(BO19),IF(COUNTIF(JP_StartInhalt,BO19)&gt;0,"I",IF(COUNTIF(Feiertage,BO19)&gt;0,"h","w")),"")</f>
        <v>w</v>
      </c>
      <c r="BQ20" s="131" t="str">
        <f>IF(ISNUMBER(BO19),IF(COUNTIF(JP_PAL,BO19)&gt;0,"P",IF(COUNTIF(Feiertage,BO19)&gt;0,"h","w")),"")</f>
        <v>w</v>
      </c>
      <c r="BS20" s="129"/>
      <c r="BT20" s="131" t="str">
        <f>IF(ISNUMBER(BT19),IF(COUNTIF(JP_StartSel,BT19)&gt;0,"S",IF(COUNTIF(Feiertage,BT19)&gt;0,"h","")),"")</f>
        <v/>
      </c>
      <c r="BU20" s="131" t="str">
        <f>IF(ISNUMBER(BT19),IF(COUNTIF(JP_StartInhalt,BT19)&gt;0,"I",IF(COUNTIF(Feiertage,BT19)&gt;0,"h","")),"")</f>
        <v/>
      </c>
      <c r="BV20" s="131" t="str">
        <f>IF(ISNUMBER(BT19),IF(COUNTIF(JP_PAL,BT19)&gt;0,"P",IF(COUNTIF(Feiertage,BT19)&gt;0,"h","")),"")</f>
        <v/>
      </c>
      <c r="BW20" s="131" t="str">
        <f>IF(ISNUMBER(BW19),IF(COUNTIF(JP_StartSel,BW19)&gt;0,"S",IF(COUNTIF(Feiertage,BW19)&gt;0,"h","")),"")</f>
        <v/>
      </c>
      <c r="BX20" s="131" t="str">
        <f>IF(ISNUMBER(BW19),IF(COUNTIF(JP_StartInhalt,BW19)&gt;0,"I",IF(COUNTIF(Feiertage,BW19)&gt;0,"h","")),"")</f>
        <v/>
      </c>
      <c r="BY20" s="131" t="str">
        <f>IF(ISNUMBER(BW19),IF(COUNTIF(JP_PAL,BW19)&gt;0,"P",IF(COUNTIF(Feiertage,BW19)&gt;0,"h","")),"")</f>
        <v/>
      </c>
      <c r="BZ20" s="131" t="str">
        <f>IF(ISNUMBER(BZ19),IF(COUNTIF(JP_StartSel,BZ19)&gt;0,"S",IF(COUNTIF(Feiertage,BZ19)&gt;0,"h","")),"")</f>
        <v/>
      </c>
      <c r="CA20" s="131" t="str">
        <f>IF(ISNUMBER(BZ19),IF(COUNTIF(JP_StartInhalt,BZ19)&gt;0,"I",IF(COUNTIF(Feiertage,BZ19)&gt;0,"h","")),"")</f>
        <v/>
      </c>
      <c r="CB20" s="131" t="str">
        <f>IF(ISNUMBER(BZ19),IF(COUNTIF(JP_PAL,BZ19)&gt;0,"P",IF(COUNTIF(Feiertage,BZ19)&gt;0,"h","")),"")</f>
        <v/>
      </c>
      <c r="CC20" s="131" t="str">
        <f>IF(ISNUMBER(CC19),IF(COUNTIF(JP_StartSel,CC19)&gt;0,"S",IF(COUNTIF(Feiertage,CC19)&gt;0,"h","")),"")</f>
        <v/>
      </c>
      <c r="CD20" s="131" t="str">
        <f>IF(ISNUMBER(CC19),IF(COUNTIF(JP_StartInhalt,CC19)&gt;0,"I",IF(COUNTIF(Feiertage,CC19)&gt;0,"h","")),"")</f>
        <v>I</v>
      </c>
      <c r="CE20" s="131" t="str">
        <f>IF(ISNUMBER(CC19),IF(COUNTIF(JP_PAL,CC19)&gt;0,"P",IF(COUNTIF(Feiertage,CC19)&gt;0,"h","")),"")</f>
        <v/>
      </c>
      <c r="CF20" s="131" t="str">
        <f>IF(ISNUMBER(CF19),IF(COUNTIF(JP_StartSel,CF19)&gt;0,"S",IF(COUNTIF(Feiertage,CF19)&gt;0,"h","")),"")</f>
        <v/>
      </c>
      <c r="CG20" s="131" t="str">
        <f>IF(ISNUMBER(CF19),IF(COUNTIF(JP_StartInhalt,CF19)&gt;0,"I",IF(COUNTIF(Feiertage,CF19)&gt;0,"h","")),"")</f>
        <v/>
      </c>
      <c r="CH20" s="131" t="str">
        <f>IF(ISNUMBER(CF19),IF(COUNTIF(JP_PAL,CF19)&gt;0,"P",IF(COUNTIF(Feiertage,CF19)&gt;0,"h","")),"")</f>
        <v>P</v>
      </c>
      <c r="CI20" s="131" t="str">
        <f>IF(ISNUMBER(CI19),IF(COUNTIF(JP_StartSel,CI19)&gt;0,"S",IF(COUNTIF(Feiertage,CI19)&gt;0,"h","w")),"")</f>
        <v>w</v>
      </c>
      <c r="CJ20" s="131" t="str">
        <f>IF(ISNUMBER(CI19),IF(COUNTIF(JP_StartInhalt,CI19)&gt;0,"I",IF(COUNTIF(Feiertage,CI19)&gt;0,"h","w")),"")</f>
        <v>w</v>
      </c>
      <c r="CK20" s="131" t="str">
        <f>IF(ISNUMBER(CI19),IF(COUNTIF(JP_PAL,CI19)&gt;0,"P",IF(COUNTIF(Feiertage,CI19)&gt;0,"h","w")),"")</f>
        <v>w</v>
      </c>
      <c r="CL20" s="131" t="str">
        <f>IF(ISNUMBER(CL19),IF(COUNTIF(JP_StartSel,CL19)&gt;0,"S",IF(COUNTIF(Feiertage,CL19)&gt;0,"h","w")),"")</f>
        <v>w</v>
      </c>
      <c r="CM20" s="131" t="str">
        <f>IF(ISNUMBER(CL19),IF(COUNTIF(JP_StartInhalt,CL19)&gt;0,"I",IF(COUNTIF(Feiertage,CL19)&gt;0,"h","w")),"")</f>
        <v>w</v>
      </c>
      <c r="CN20" s="131" t="str">
        <f>IF(ISNUMBER(CL19),IF(COUNTIF(JP_PAL,CL19)&gt;0,"P",IF(COUNTIF(Feiertage,CL19)&gt;0,"h","w")),"")</f>
        <v>w</v>
      </c>
    </row>
    <row r="21" ht="16" customHeight="1">
      <c r="B21" s="128">
        <f>IF(OR(ISNUMBER(C21),ISNUMBER(U21)),_xlfn.ISOWEEKNUM($B$11-WEEKDAY($B$11,2)+29),"")</f>
        <v>4</v>
      </c>
      <c r="C21" s="130">
        <f>IF(MONTH($B$11-WEEKDAY($B$11,2)+29)=MONTH($B$11),$B$11-WEEKDAY($B$11,2)+29,"")</f>
        <v>46412</v>
      </c>
      <c r="D21" s="130"/>
      <c r="E21" s="130"/>
      <c r="F21" s="130">
        <f>IF(MONTH($B$11-WEEKDAY($B$11,2)+30)=MONTH($B$11),$B$11-WEEKDAY($B$11,2)+30,"")</f>
        <v>46413</v>
      </c>
      <c r="G21" s="130"/>
      <c r="H21" s="130"/>
      <c r="I21" s="130">
        <f>IF(MONTH($B$11-WEEKDAY($B$11,2)+31)=MONTH($B$11),$B$11-WEEKDAY($B$11,2)+31,"")</f>
        <v>46414</v>
      </c>
      <c r="J21" s="130"/>
      <c r="K21" s="130"/>
      <c r="L21" s="130">
        <f>IF(MONTH($B$11-WEEKDAY($B$11,2)+32)=MONTH($B$11),$B$11-WEEKDAY($B$11,2)+32,"")</f>
        <v>46415</v>
      </c>
      <c r="M21" s="130"/>
      <c r="N21" s="130"/>
      <c r="O21" s="130">
        <f>IF(MONTH($B$11-WEEKDAY($B$11,2)+33)=MONTH($B$11),$B$11-WEEKDAY($B$11,2)+33,"")</f>
        <v>46416</v>
      </c>
      <c r="P21" s="130"/>
      <c r="Q21" s="130"/>
      <c r="R21" s="130">
        <f>IF(MONTH($B$11-WEEKDAY($B$11,2)+34)=MONTH($B$11),$B$11-WEEKDAY($B$11,2)+34,"")</f>
        <v>46417</v>
      </c>
      <c r="S21" s="130"/>
      <c r="T21" s="130"/>
      <c r="U21" s="130">
        <f>IF(MONTH($B$11-WEEKDAY($B$11,2)+35)=MONTH($B$11),$B$11-WEEKDAY($B$11,2)+35,"")</f>
        <v>46418</v>
      </c>
      <c r="V21" s="130"/>
      <c r="W21" s="130"/>
      <c r="Y21" s="128" t="str">
        <f>IF(OR(ISNUMBER(Z21),ISNUMBER(AR21)),_xlfn.ISOWEEKNUM($Y$11-WEEKDAY($Y$11,2)+29),"")</f>
        <v/>
      </c>
      <c r="Z21" s="130" t="str">
        <f>IF(MONTH($Y$11-WEEKDAY($Y$11,2)+29)=MONTH($Y$11),$Y$11-WEEKDAY($Y$11,2)+29,"")</f>
        <v/>
      </c>
      <c r="AA21" s="130"/>
      <c r="AB21" s="130"/>
      <c r="AC21" s="130" t="str">
        <f>IF(MONTH($Y$11-WEEKDAY($Y$11,2)+30)=MONTH($Y$11),$Y$11-WEEKDAY($Y$11,2)+30,"")</f>
        <v/>
      </c>
      <c r="AD21" s="130"/>
      <c r="AE21" s="130"/>
      <c r="AF21" s="130" t="str">
        <f>IF(MONTH($Y$11-WEEKDAY($Y$11,2)+31)=MONTH($Y$11),$Y$11-WEEKDAY($Y$11,2)+31,"")</f>
        <v/>
      </c>
      <c r="AG21" s="130"/>
      <c r="AH21" s="130"/>
      <c r="AI21" s="130" t="str">
        <f>IF(MONTH($Y$11-WEEKDAY($Y$11,2)+32)=MONTH($Y$11),$Y$11-WEEKDAY($Y$11,2)+32,"")</f>
        <v/>
      </c>
      <c r="AJ21" s="130"/>
      <c r="AK21" s="130"/>
      <c r="AL21" s="130" t="str">
        <f>IF(MONTH($Y$11-WEEKDAY($Y$11,2)+33)=MONTH($Y$11),$Y$11-WEEKDAY($Y$11,2)+33,"")</f>
        <v/>
      </c>
      <c r="AM21" s="130"/>
      <c r="AN21" s="130"/>
      <c r="AO21" s="130" t="str">
        <f>IF(MONTH($Y$11-WEEKDAY($Y$11,2)+34)=MONTH($Y$11),$Y$11-WEEKDAY($Y$11,2)+34,"")</f>
        <v/>
      </c>
      <c r="AP21" s="130"/>
      <c r="AQ21" s="130"/>
      <c r="AR21" s="130" t="str">
        <f>IF(MONTH($Y$11-WEEKDAY($Y$11,2)+35)=MONTH($Y$11),$Y$11-WEEKDAY($Y$11,2)+35,"")</f>
        <v/>
      </c>
      <c r="AS21" s="130"/>
      <c r="AT21" s="130"/>
      <c r="AV21" s="128">
        <f>IF(OR(ISNUMBER(AW21),ISNUMBER(BO21)),_xlfn.ISOWEEKNUM($AV$11-WEEKDAY($AV$11,2)+29),"")</f>
        <v>13</v>
      </c>
      <c r="AW21" s="130">
        <f>IF(MONTH($AV$11-WEEKDAY($AV$11,2)+29)=MONTH($AV$11),$AV$11-WEEKDAY($AV$11,2)+29,"")</f>
        <v>46475</v>
      </c>
      <c r="AX21" s="130"/>
      <c r="AY21" s="130"/>
      <c r="AZ21" s="130">
        <f>IF(MONTH($AV$11-WEEKDAY($AV$11,2)+30)=MONTH($AV$11),$AV$11-WEEKDAY($AV$11,2)+30,"")</f>
        <v>46476</v>
      </c>
      <c r="BA21" s="130"/>
      <c r="BB21" s="130"/>
      <c r="BC21" s="130">
        <f>IF(MONTH($AV$11-WEEKDAY($AV$11,2)+31)=MONTH($AV$11),$AV$11-WEEKDAY($AV$11,2)+31,"")</f>
        <v>46477</v>
      </c>
      <c r="BD21" s="130"/>
      <c r="BE21" s="130"/>
      <c r="BF21" s="130" t="str">
        <f>IF(MONTH($AV$11-WEEKDAY($AV$11,2)+32)=MONTH($AV$11),$AV$11-WEEKDAY($AV$11,2)+32,"")</f>
        <v/>
      </c>
      <c r="BG21" s="130"/>
      <c r="BH21" s="130"/>
      <c r="BI21" s="130" t="str">
        <f>IF(MONTH($AV$11-WEEKDAY($AV$11,2)+33)=MONTH($AV$11),$AV$11-WEEKDAY($AV$11,2)+33,"")</f>
        <v/>
      </c>
      <c r="BJ21" s="130"/>
      <c r="BK21" s="130"/>
      <c r="BL21" s="130" t="str">
        <f>IF(MONTH($AV$11-WEEKDAY($AV$11,2)+34)=MONTH($AV$11),$AV$11-WEEKDAY($AV$11,2)+34,"")</f>
        <v/>
      </c>
      <c r="BM21" s="130"/>
      <c r="BN21" s="130"/>
      <c r="BO21" s="130" t="str">
        <f>IF(MONTH($AV$11-WEEKDAY($AV$11,2)+35)=MONTH($AV$11),$AV$11-WEEKDAY($AV$11,2)+35,"")</f>
        <v/>
      </c>
      <c r="BP21" s="130"/>
      <c r="BQ21" s="130"/>
      <c r="BS21" s="128">
        <f>IF(OR(ISNUMBER(BT21),ISNUMBER(CL21)),_xlfn.ISOWEEKNUM($BS$11-WEEKDAY($BS$11,2)+29),"")</f>
        <v>17</v>
      </c>
      <c r="BT21" s="130">
        <f>IF(MONTH($BS$11-WEEKDAY($BS$11,2)+29)=MONTH($BS$11),$BS$11-WEEKDAY($BS$11,2)+29,"")</f>
        <v>46503</v>
      </c>
      <c r="BU21" s="130"/>
      <c r="BV21" s="130"/>
      <c r="BW21" s="130">
        <f>IF(MONTH($BS$11-WEEKDAY($BS$11,2)+30)=MONTH($BS$11),$BS$11-WEEKDAY($BS$11,2)+30,"")</f>
        <v>46504</v>
      </c>
      <c r="BX21" s="130"/>
      <c r="BY21" s="130"/>
      <c r="BZ21" s="130">
        <f>IF(MONTH($BS$11-WEEKDAY($BS$11,2)+31)=MONTH($BS$11),$BS$11-WEEKDAY($BS$11,2)+31,"")</f>
        <v>46505</v>
      </c>
      <c r="CA21" s="130"/>
      <c r="CB21" s="130"/>
      <c r="CC21" s="130">
        <f>IF(MONTH($BS$11-WEEKDAY($BS$11,2)+32)=MONTH($BS$11),$BS$11-WEEKDAY($BS$11,2)+32,"")</f>
        <v>46506</v>
      </c>
      <c r="CD21" s="130"/>
      <c r="CE21" s="130"/>
      <c r="CF21" s="130">
        <f>IF(MONTH($BS$11-WEEKDAY($BS$11,2)+33)=MONTH($BS$11),$BS$11-WEEKDAY($BS$11,2)+33,"")</f>
        <v>46507</v>
      </c>
      <c r="CG21" s="130"/>
      <c r="CH21" s="130"/>
      <c r="CI21" s="130" t="str">
        <f>IF(MONTH($BS$11-WEEKDAY($BS$11,2)+34)=MONTH($BS$11),$BS$11-WEEKDAY($BS$11,2)+34,"")</f>
        <v/>
      </c>
      <c r="CJ21" s="130"/>
      <c r="CK21" s="130"/>
      <c r="CL21" s="130" t="str">
        <f>IF(MONTH($BS$11-WEEKDAY($BS$11,2)+35)=MONTH($BS$11),$BS$11-WEEKDAY($BS$11,2)+35,"")</f>
        <v/>
      </c>
      <c r="CM21" s="130"/>
      <c r="CN21" s="130"/>
    </row>
    <row r="22" ht="10.5" customHeight="1">
      <c r="B22" s="129"/>
      <c r="C22" s="131" t="str">
        <f>IF(ISNUMBER(C21),IF(COUNTIF(JP_StartSel,C21)&gt;0,"S",IF(COUNTIF(Feiertage,C21)&gt;0,"h","")),"")</f>
        <v/>
      </c>
      <c r="D22" s="131" t="str">
        <f>IF(ISNUMBER(C21),IF(COUNTIF(JP_StartInhalt,C21)&gt;0,"I",IF(COUNTIF(Feiertage,C21)&gt;0,"h","")),"")</f>
        <v/>
      </c>
      <c r="E22" s="131" t="str">
        <f>IF(ISNUMBER(C21),IF(COUNTIF(JP_PAL,C21)&gt;0,"P",IF(COUNTIF(Feiertage,C21)&gt;0,"h","")),"")</f>
        <v/>
      </c>
      <c r="F22" s="131" t="str">
        <f>IF(ISNUMBER(F21),IF(COUNTIF(JP_StartSel,F21)&gt;0,"S",IF(COUNTIF(Feiertage,F21)&gt;0,"h","")),"")</f>
        <v/>
      </c>
      <c r="G22" s="131" t="str">
        <f>IF(ISNUMBER(F21),IF(COUNTIF(JP_StartInhalt,F21)&gt;0,"I",IF(COUNTIF(Feiertage,F21)&gt;0,"h","")),"")</f>
        <v/>
      </c>
      <c r="H22" s="131" t="str">
        <f>IF(ISNUMBER(F21),IF(COUNTIF(JP_PAL,F21)&gt;0,"P",IF(COUNTIF(Feiertage,F21)&gt;0,"h","")),"")</f>
        <v/>
      </c>
      <c r="I22" s="131" t="str">
        <f>IF(ISNUMBER(I21),IF(COUNTIF(JP_StartSel,I21)&gt;0,"S",IF(COUNTIF(Feiertage,I21)&gt;0,"h","")),"")</f>
        <v/>
      </c>
      <c r="J22" s="131" t="str">
        <f>IF(ISNUMBER(I21),IF(COUNTIF(JP_StartInhalt,I21)&gt;0,"I",IF(COUNTIF(Feiertage,I21)&gt;0,"h","")),"")</f>
        <v/>
      </c>
      <c r="K22" s="131" t="str">
        <f>IF(ISNUMBER(I21),IF(COUNTIF(JP_PAL,I21)&gt;0,"P",IF(COUNTIF(Feiertage,I21)&gt;0,"h","")),"")</f>
        <v/>
      </c>
      <c r="L22" s="131" t="str">
        <f>IF(ISNUMBER(L21),IF(COUNTIF(JP_StartSel,L21)&gt;0,"S",IF(COUNTIF(Feiertage,L21)&gt;0,"h","")),"")</f>
        <v/>
      </c>
      <c r="M22" s="131" t="str">
        <f>IF(ISNUMBER(L21),IF(COUNTIF(JP_StartInhalt,L21)&gt;0,"I",IF(COUNTIF(Feiertage,L21)&gt;0,"h","")),"")</f>
        <v/>
      </c>
      <c r="N22" s="131" t="str">
        <f>IF(ISNUMBER(L21),IF(COUNTIF(JP_PAL,L21)&gt;0,"P",IF(COUNTIF(Feiertage,L21)&gt;0,"h","")),"")</f>
        <v/>
      </c>
      <c r="O22" s="131" t="str">
        <f>IF(ISNUMBER(O21),IF(COUNTIF(JP_StartSel,O21)&gt;0,"S",IF(COUNTIF(Feiertage,O21)&gt;0,"h","")),"")</f>
        <v/>
      </c>
      <c r="P22" s="131" t="str">
        <f>IF(ISNUMBER(O21),IF(COUNTIF(JP_StartInhalt,O21)&gt;0,"I",IF(COUNTIF(Feiertage,O21)&gt;0,"h","")),"")</f>
        <v/>
      </c>
      <c r="Q22" s="131" t="str">
        <f>IF(ISNUMBER(O21),IF(COUNTIF(JP_PAL,O21)&gt;0,"P",IF(COUNTIF(Feiertage,O21)&gt;0,"h","")),"")</f>
        <v>P</v>
      </c>
      <c r="R22" s="131" t="str">
        <f>IF(ISNUMBER(R21),IF(COUNTIF(JP_StartSel,R21)&gt;0,"S",IF(COUNTIF(Feiertage,R21)&gt;0,"h","w")),"")</f>
        <v>w</v>
      </c>
      <c r="S22" s="131" t="str">
        <f>IF(ISNUMBER(R21),IF(COUNTIF(JP_StartInhalt,R21)&gt;0,"I",IF(COUNTIF(Feiertage,R21)&gt;0,"h","w")),"")</f>
        <v>w</v>
      </c>
      <c r="T22" s="131" t="str">
        <f>IF(ISNUMBER(R21),IF(COUNTIF(JP_PAL,R21)&gt;0,"P",IF(COUNTIF(Feiertage,R21)&gt;0,"h","w")),"")</f>
        <v>w</v>
      </c>
      <c r="U22" s="131" t="str">
        <f>IF(ISNUMBER(U21),IF(COUNTIF(JP_StartSel,U21)&gt;0,"S",IF(COUNTIF(Feiertage,U21)&gt;0,"h","w")),"")</f>
        <v>w</v>
      </c>
      <c r="V22" s="131" t="str">
        <f>IF(ISNUMBER(U21),IF(COUNTIF(JP_StartInhalt,U21)&gt;0,"I",IF(COUNTIF(Feiertage,U21)&gt;0,"h","w")),"")</f>
        <v>w</v>
      </c>
      <c r="W22" s="131" t="str">
        <f>IF(ISNUMBER(U21),IF(COUNTIF(JP_PAL,U21)&gt;0,"P",IF(COUNTIF(Feiertage,U21)&gt;0,"h","w")),"")</f>
        <v>w</v>
      </c>
      <c r="Y22" s="129"/>
      <c r="Z22" s="131" t="str">
        <f>IF(ISNUMBER(Z21),IF(COUNTIF(JP_StartSel,Z21)&gt;0,"S",IF(COUNTIF(Feiertage,Z21)&gt;0,"h","")),"")</f>
        <v/>
      </c>
      <c r="AA22" s="131" t="str">
        <f>IF(ISNUMBER(Z21),IF(COUNTIF(JP_StartInhalt,Z21)&gt;0,"I",IF(COUNTIF(Feiertage,Z21)&gt;0,"h","")),"")</f>
        <v/>
      </c>
      <c r="AB22" s="131" t="str">
        <f>IF(ISNUMBER(Z21),IF(COUNTIF(JP_PAL,Z21)&gt;0,"P",IF(COUNTIF(Feiertage,Z21)&gt;0,"h","")),"")</f>
        <v/>
      </c>
      <c r="AC22" s="131" t="str">
        <f>IF(ISNUMBER(AC21),IF(COUNTIF(JP_StartSel,AC21)&gt;0,"S",IF(COUNTIF(Feiertage,AC21)&gt;0,"h","")),"")</f>
        <v/>
      </c>
      <c r="AD22" s="131" t="str">
        <f>IF(ISNUMBER(AC21),IF(COUNTIF(JP_StartInhalt,AC21)&gt;0,"I",IF(COUNTIF(Feiertage,AC21)&gt;0,"h","")),"")</f>
        <v/>
      </c>
      <c r="AE22" s="131" t="str">
        <f>IF(ISNUMBER(AC21),IF(COUNTIF(JP_PAL,AC21)&gt;0,"P",IF(COUNTIF(Feiertage,AC21)&gt;0,"h","")),"")</f>
        <v/>
      </c>
      <c r="AF22" s="131" t="str">
        <f>IF(ISNUMBER(AF21),IF(COUNTIF(JP_StartSel,AF21)&gt;0,"S",IF(COUNTIF(Feiertage,AF21)&gt;0,"h","")),"")</f>
        <v/>
      </c>
      <c r="AG22" s="131" t="str">
        <f>IF(ISNUMBER(AF21),IF(COUNTIF(JP_StartInhalt,AF21)&gt;0,"I",IF(COUNTIF(Feiertage,AF21)&gt;0,"h","")),"")</f>
        <v/>
      </c>
      <c r="AH22" s="131" t="str">
        <f>IF(ISNUMBER(AF21),IF(COUNTIF(JP_PAL,AF21)&gt;0,"P",IF(COUNTIF(Feiertage,AF21)&gt;0,"h","")),"")</f>
        <v/>
      </c>
      <c r="AI22" s="131" t="str">
        <f>IF(ISNUMBER(AI21),IF(COUNTIF(JP_StartSel,AI21)&gt;0,"S",IF(COUNTIF(Feiertage,AI21)&gt;0,"h","")),"")</f>
        <v/>
      </c>
      <c r="AJ22" s="131" t="str">
        <f>IF(ISNUMBER(AI21),IF(COUNTIF(JP_StartInhalt,AI21)&gt;0,"I",IF(COUNTIF(Feiertage,AI21)&gt;0,"h","")),"")</f>
        <v/>
      </c>
      <c r="AK22" s="131" t="str">
        <f>IF(ISNUMBER(AI21),IF(COUNTIF(JP_PAL,AI21)&gt;0,"P",IF(COUNTIF(Feiertage,AI21)&gt;0,"h","")),"")</f>
        <v/>
      </c>
      <c r="AL22" s="131" t="str">
        <f>IF(ISNUMBER(AL21),IF(COUNTIF(JP_StartSel,AL21)&gt;0,"S",IF(COUNTIF(Feiertage,AL21)&gt;0,"h","")),"")</f>
        <v/>
      </c>
      <c r="AM22" s="131" t="str">
        <f>IF(ISNUMBER(AL21),IF(COUNTIF(JP_StartInhalt,AL21)&gt;0,"I",IF(COUNTIF(Feiertage,AL21)&gt;0,"h","")),"")</f>
        <v/>
      </c>
      <c r="AN22" s="131" t="str">
        <f>IF(ISNUMBER(AL21),IF(COUNTIF(JP_PAL,AL21)&gt;0,"P",IF(COUNTIF(Feiertage,AL21)&gt;0,"h","")),"")</f>
        <v/>
      </c>
      <c r="AO22" s="131" t="str">
        <f>IF(ISNUMBER(AO21),IF(COUNTIF(JP_StartSel,AO21)&gt;0,"S",IF(COUNTIF(Feiertage,AO21)&gt;0,"h","w")),"")</f>
        <v/>
      </c>
      <c r="AP22" s="131" t="str">
        <f>IF(ISNUMBER(AO21),IF(COUNTIF(JP_StartInhalt,AO21)&gt;0,"I",IF(COUNTIF(Feiertage,AO21)&gt;0,"h","w")),"")</f>
        <v/>
      </c>
      <c r="AQ22" s="131" t="str">
        <f>IF(ISNUMBER(AO21),IF(COUNTIF(JP_PAL,AO21)&gt;0,"P",IF(COUNTIF(Feiertage,AO21)&gt;0,"h","w")),"")</f>
        <v/>
      </c>
      <c r="AR22" s="131" t="str">
        <f>IF(ISNUMBER(AR21),IF(COUNTIF(JP_StartSel,AR21)&gt;0,"S",IF(COUNTIF(Feiertage,AR21)&gt;0,"h","w")),"")</f>
        <v/>
      </c>
      <c r="AS22" s="131" t="str">
        <f>IF(ISNUMBER(AR21),IF(COUNTIF(JP_StartInhalt,AR21)&gt;0,"I",IF(COUNTIF(Feiertage,AR21)&gt;0,"h","w")),"")</f>
        <v/>
      </c>
      <c r="AT22" s="131" t="str">
        <f>IF(ISNUMBER(AR21),IF(COUNTIF(JP_PAL,AR21)&gt;0,"P",IF(COUNTIF(Feiertage,AR21)&gt;0,"h","w")),"")</f>
        <v/>
      </c>
      <c r="AV22" s="129"/>
      <c r="AW22" s="131" t="str">
        <f>IF(ISNUMBER(AW21),IF(COUNTIF(JP_StartSel,AW21)&gt;0,"S",IF(COUNTIF(Feiertage,AW21)&gt;0,"h","")),"")</f>
        <v>h</v>
      </c>
      <c r="AX22" s="131" t="str">
        <f>IF(ISNUMBER(AW21),IF(COUNTIF(JP_StartInhalt,AW21)&gt;0,"I",IF(COUNTIF(Feiertage,AW21)&gt;0,"h","")),"")</f>
        <v>h</v>
      </c>
      <c r="AY22" s="131" t="str">
        <f>IF(ISNUMBER(AW21),IF(COUNTIF(JP_PAL,AW21)&gt;0,"P",IF(COUNTIF(Feiertage,AW21)&gt;0,"h","")),"")</f>
        <v>h</v>
      </c>
      <c r="AZ22" s="131" t="str">
        <f>IF(ISNUMBER(AZ21),IF(COUNTIF(JP_StartSel,AZ21)&gt;0,"S",IF(COUNTIF(Feiertage,AZ21)&gt;0,"h","")),"")</f>
        <v/>
      </c>
      <c r="BA22" s="131" t="str">
        <f>IF(ISNUMBER(AZ21),IF(COUNTIF(JP_StartInhalt,AZ21)&gt;0,"I",IF(COUNTIF(Feiertage,AZ21)&gt;0,"h","")),"")</f>
        <v/>
      </c>
      <c r="BB22" s="131" t="str">
        <f>IF(ISNUMBER(AZ21),IF(COUNTIF(JP_PAL,AZ21)&gt;0,"P",IF(COUNTIF(Feiertage,AZ21)&gt;0,"h","")),"")</f>
        <v/>
      </c>
      <c r="BC22" s="131" t="str">
        <f>IF(ISNUMBER(BC21),IF(COUNTIF(JP_StartSel,BC21)&gt;0,"S",IF(COUNTIF(Feiertage,BC21)&gt;0,"h","")),"")</f>
        <v/>
      </c>
      <c r="BD22" s="131" t="str">
        <f>IF(ISNUMBER(BC21),IF(COUNTIF(JP_StartInhalt,BC21)&gt;0,"I",IF(COUNTIF(Feiertage,BC21)&gt;0,"h","")),"")</f>
        <v/>
      </c>
      <c r="BE22" s="131" t="str">
        <f>IF(ISNUMBER(BC21),IF(COUNTIF(JP_PAL,BC21)&gt;0,"P",IF(COUNTIF(Feiertage,BC21)&gt;0,"h","")),"")</f>
        <v/>
      </c>
      <c r="BF22" s="131" t="str">
        <f>IF(ISNUMBER(BF21),IF(COUNTIF(JP_StartSel,BF21)&gt;0,"S",IF(COUNTIF(Feiertage,BF21)&gt;0,"h","")),"")</f>
        <v/>
      </c>
      <c r="BG22" s="131" t="str">
        <f>IF(ISNUMBER(BF21),IF(COUNTIF(JP_StartInhalt,BF21)&gt;0,"I",IF(COUNTIF(Feiertage,BF21)&gt;0,"h","")),"")</f>
        <v/>
      </c>
      <c r="BH22" s="131" t="str">
        <f>IF(ISNUMBER(BF21),IF(COUNTIF(JP_PAL,BF21)&gt;0,"P",IF(COUNTIF(Feiertage,BF21)&gt;0,"h","")),"")</f>
        <v/>
      </c>
      <c r="BI22" s="131" t="str">
        <f>IF(ISNUMBER(BI21),IF(COUNTIF(JP_StartSel,BI21)&gt;0,"S",IF(COUNTIF(Feiertage,BI21)&gt;0,"h","")),"")</f>
        <v/>
      </c>
      <c r="BJ22" s="131" t="str">
        <f>IF(ISNUMBER(BI21),IF(COUNTIF(JP_StartInhalt,BI21)&gt;0,"I",IF(COUNTIF(Feiertage,BI21)&gt;0,"h","")),"")</f>
        <v/>
      </c>
      <c r="BK22" s="131" t="str">
        <f>IF(ISNUMBER(BI21),IF(COUNTIF(JP_PAL,BI21)&gt;0,"P",IF(COUNTIF(Feiertage,BI21)&gt;0,"h","")),"")</f>
        <v/>
      </c>
      <c r="BL22" s="131" t="str">
        <f>IF(ISNUMBER(BL21),IF(COUNTIF(JP_StartSel,BL21)&gt;0,"S",IF(COUNTIF(Feiertage,BL21)&gt;0,"h","w")),"")</f>
        <v/>
      </c>
      <c r="BM22" s="131" t="str">
        <f>IF(ISNUMBER(BL21),IF(COUNTIF(JP_StartInhalt,BL21)&gt;0,"I",IF(COUNTIF(Feiertage,BL21)&gt;0,"h","w")),"")</f>
        <v/>
      </c>
      <c r="BN22" s="131" t="str">
        <f>IF(ISNUMBER(BL21),IF(COUNTIF(JP_PAL,BL21)&gt;0,"P",IF(COUNTIF(Feiertage,BL21)&gt;0,"h","w")),"")</f>
        <v/>
      </c>
      <c r="BO22" s="131" t="str">
        <f>IF(ISNUMBER(BO21),IF(COUNTIF(JP_StartSel,BO21)&gt;0,"S",IF(COUNTIF(Feiertage,BO21)&gt;0,"h","w")),"")</f>
        <v/>
      </c>
      <c r="BP22" s="131" t="str">
        <f>IF(ISNUMBER(BO21),IF(COUNTIF(JP_StartInhalt,BO21)&gt;0,"I",IF(COUNTIF(Feiertage,BO21)&gt;0,"h","w")),"")</f>
        <v/>
      </c>
      <c r="BQ22" s="131" t="str">
        <f>IF(ISNUMBER(BO21),IF(COUNTIF(JP_PAL,BO21)&gt;0,"P",IF(COUNTIF(Feiertage,BO21)&gt;0,"h","w")),"")</f>
        <v/>
      </c>
      <c r="BS22" s="129"/>
      <c r="BT22" s="131" t="str">
        <f>IF(ISNUMBER(BT21),IF(COUNTIF(JP_StartSel,BT21)&gt;0,"S",IF(COUNTIF(Feiertage,BT21)&gt;0,"h","")),"")</f>
        <v/>
      </c>
      <c r="BU22" s="131" t="str">
        <f>IF(ISNUMBER(BT21),IF(COUNTIF(JP_StartInhalt,BT21)&gt;0,"I",IF(COUNTIF(Feiertage,BT21)&gt;0,"h","")),"")</f>
        <v/>
      </c>
      <c r="BV22" s="131" t="str">
        <f>IF(ISNUMBER(BT21),IF(COUNTIF(JP_PAL,BT21)&gt;0,"P",IF(COUNTIF(Feiertage,BT21)&gt;0,"h","")),"")</f>
        <v/>
      </c>
      <c r="BW22" s="131" t="str">
        <f>IF(ISNUMBER(BW21),IF(COUNTIF(JP_StartSel,BW21)&gt;0,"S",IF(COUNTIF(Feiertage,BW21)&gt;0,"h","")),"")</f>
        <v/>
      </c>
      <c r="BX22" s="131" t="str">
        <f>IF(ISNUMBER(BW21),IF(COUNTIF(JP_StartInhalt,BW21)&gt;0,"I",IF(COUNTIF(Feiertage,BW21)&gt;0,"h","")),"")</f>
        <v/>
      </c>
      <c r="BY22" s="131" t="str">
        <f>IF(ISNUMBER(BW21),IF(COUNTIF(JP_PAL,BW21)&gt;0,"P",IF(COUNTIF(Feiertage,BW21)&gt;0,"h","")),"")</f>
        <v/>
      </c>
      <c r="BZ22" s="131" t="str">
        <f>IF(ISNUMBER(BZ21),IF(COUNTIF(JP_StartSel,BZ21)&gt;0,"S",IF(COUNTIF(Feiertage,BZ21)&gt;0,"h","")),"")</f>
        <v/>
      </c>
      <c r="CA22" s="131" t="str">
        <f>IF(ISNUMBER(BZ21),IF(COUNTIF(JP_StartInhalt,BZ21)&gt;0,"I",IF(COUNTIF(Feiertage,BZ21)&gt;0,"h","")),"")</f>
        <v/>
      </c>
      <c r="CB22" s="131" t="str">
        <f>IF(ISNUMBER(BZ21),IF(COUNTIF(JP_PAL,BZ21)&gt;0,"P",IF(COUNTIF(Feiertage,BZ21)&gt;0,"h","")),"")</f>
        <v/>
      </c>
      <c r="CC22" s="131" t="str">
        <f>IF(ISNUMBER(CC21),IF(COUNTIF(JP_StartSel,CC21)&gt;0,"S",IF(COUNTIF(Feiertage,CC21)&gt;0,"h","")),"")</f>
        <v/>
      </c>
      <c r="CD22" s="131" t="str">
        <f>IF(ISNUMBER(CC21),IF(COUNTIF(JP_StartInhalt,CC21)&gt;0,"I",IF(COUNTIF(Feiertage,CC21)&gt;0,"h","")),"")</f>
        <v/>
      </c>
      <c r="CE22" s="131" t="str">
        <f>IF(ISNUMBER(CC21),IF(COUNTIF(JP_PAL,CC21)&gt;0,"P",IF(COUNTIF(Feiertage,CC21)&gt;0,"h","")),"")</f>
        <v/>
      </c>
      <c r="CF22" s="131" t="str">
        <f>IF(ISNUMBER(CF21),IF(COUNTIF(JP_StartSel,CF21)&gt;0,"S",IF(COUNTIF(Feiertage,CF21)&gt;0,"h","")),"")</f>
        <v/>
      </c>
      <c r="CG22" s="131" t="str">
        <f>IF(ISNUMBER(CF21),IF(COUNTIF(JP_StartInhalt,CF21)&gt;0,"I",IF(COUNTIF(Feiertage,CF21)&gt;0,"h","")),"")</f>
        <v/>
      </c>
      <c r="CH22" s="131" t="str">
        <f>IF(ISNUMBER(CF21),IF(COUNTIF(JP_PAL,CF21)&gt;0,"P",IF(COUNTIF(Feiertage,CF21)&gt;0,"h","")),"")</f>
        <v/>
      </c>
      <c r="CI22" s="131" t="str">
        <f>IF(ISNUMBER(CI21),IF(COUNTIF(JP_StartSel,CI21)&gt;0,"S",IF(COUNTIF(Feiertage,CI21)&gt;0,"h","w")),"")</f>
        <v/>
      </c>
      <c r="CJ22" s="131" t="str">
        <f>IF(ISNUMBER(CI21),IF(COUNTIF(JP_StartInhalt,CI21)&gt;0,"I",IF(COUNTIF(Feiertage,CI21)&gt;0,"h","w")),"")</f>
        <v/>
      </c>
      <c r="CK22" s="131" t="str">
        <f>IF(ISNUMBER(CI21),IF(COUNTIF(JP_PAL,CI21)&gt;0,"P",IF(COUNTIF(Feiertage,CI21)&gt;0,"h","w")),"")</f>
        <v/>
      </c>
      <c r="CL22" s="131" t="str">
        <f>IF(ISNUMBER(CL21),IF(COUNTIF(JP_StartSel,CL21)&gt;0,"S",IF(COUNTIF(Feiertage,CL21)&gt;0,"h","w")),"")</f>
        <v/>
      </c>
      <c r="CM22" s="131" t="str">
        <f>IF(ISNUMBER(CL21),IF(COUNTIF(JP_StartInhalt,CL21)&gt;0,"I",IF(COUNTIF(Feiertage,CL21)&gt;0,"h","w")),"")</f>
        <v/>
      </c>
      <c r="CN22" s="131" t="str">
        <f>IF(ISNUMBER(CL21),IF(COUNTIF(JP_PAL,CL21)&gt;0,"P",IF(COUNTIF(Feiertage,CL21)&gt;0,"h","w")),"")</f>
        <v/>
      </c>
    </row>
    <row r="23" ht="16" customHeight="1">
      <c r="B23" s="128" t="str">
        <f>IF(OR(ISNUMBER(C23),ISNUMBER(U23)),_xlfn.ISOWEEKNUM($B$11-WEEKDAY($B$11,2)+36),"")</f>
        <v/>
      </c>
      <c r="C23" s="130" t="str">
        <f>IF(MONTH($B$11-WEEKDAY($B$11,2)+36)=MONTH($B$11),$B$11-WEEKDAY($B$11,2)+36,"")</f>
        <v/>
      </c>
      <c r="D23" s="130"/>
      <c r="E23" s="130"/>
      <c r="F23" s="130" t="str">
        <f>IF(MONTH($B$11-WEEKDAY($B$11,2)+37)=MONTH($B$11),$B$11-WEEKDAY($B$11,2)+37,"")</f>
        <v/>
      </c>
      <c r="G23" s="130"/>
      <c r="H23" s="130"/>
      <c r="I23" s="130" t="str">
        <f>IF(MONTH($B$11-WEEKDAY($B$11,2)+38)=MONTH($B$11),$B$11-WEEKDAY($B$11,2)+38,"")</f>
        <v/>
      </c>
      <c r="J23" s="130"/>
      <c r="K23" s="130"/>
      <c r="L23" s="130" t="str">
        <f>IF(MONTH($B$11-WEEKDAY($B$11,2)+39)=MONTH($B$11),$B$11-WEEKDAY($B$11,2)+39,"")</f>
        <v/>
      </c>
      <c r="M23" s="130"/>
      <c r="N23" s="130"/>
      <c r="O23" s="130" t="str">
        <f>IF(MONTH($B$11-WEEKDAY($B$11,2)+40)=MONTH($B$11),$B$11-WEEKDAY($B$11,2)+40,"")</f>
        <v/>
      </c>
      <c r="P23" s="130"/>
      <c r="Q23" s="130"/>
      <c r="R23" s="130" t="str">
        <f>IF(MONTH($B$11-WEEKDAY($B$11,2)+41)=MONTH($B$11),$B$11-WEEKDAY($B$11,2)+41,"")</f>
        <v/>
      </c>
      <c r="S23" s="130"/>
      <c r="T23" s="130"/>
      <c r="U23" s="130" t="str">
        <f>IF(MONTH($B$11-WEEKDAY($B$11,2)+42)=MONTH($B$11),$B$11-WEEKDAY($B$11,2)+42,"")</f>
        <v/>
      </c>
      <c r="V23" s="130"/>
      <c r="W23" s="130"/>
      <c r="Y23" s="128" t="str">
        <f>IF(OR(ISNUMBER(Z23),ISNUMBER(AR23)),_xlfn.ISOWEEKNUM($Y$11-WEEKDAY($Y$11,2)+36),"")</f>
        <v/>
      </c>
      <c r="Z23" s="130" t="str">
        <f>IF(MONTH($Y$11-WEEKDAY($Y$11,2)+36)=MONTH($Y$11),$Y$11-WEEKDAY($Y$11,2)+36,"")</f>
        <v/>
      </c>
      <c r="AA23" s="130"/>
      <c r="AB23" s="130"/>
      <c r="AC23" s="130" t="str">
        <f>IF(MONTH($Y$11-WEEKDAY($Y$11,2)+37)=MONTH($Y$11),$Y$11-WEEKDAY($Y$11,2)+37,"")</f>
        <v/>
      </c>
      <c r="AD23" s="130"/>
      <c r="AE23" s="130"/>
      <c r="AF23" s="130" t="str">
        <f>IF(MONTH($Y$11-WEEKDAY($Y$11,2)+38)=MONTH($Y$11),$Y$11-WEEKDAY($Y$11,2)+38,"")</f>
        <v/>
      </c>
      <c r="AG23" s="130"/>
      <c r="AH23" s="130"/>
      <c r="AI23" s="130" t="str">
        <f>IF(MONTH($Y$11-WEEKDAY($Y$11,2)+39)=MONTH($Y$11),$Y$11-WEEKDAY($Y$11,2)+39,"")</f>
        <v/>
      </c>
      <c r="AJ23" s="130"/>
      <c r="AK23" s="130"/>
      <c r="AL23" s="130" t="str">
        <f>IF(MONTH($Y$11-WEEKDAY($Y$11,2)+40)=MONTH($Y$11),$Y$11-WEEKDAY($Y$11,2)+40,"")</f>
        <v/>
      </c>
      <c r="AM23" s="130"/>
      <c r="AN23" s="130"/>
      <c r="AO23" s="130" t="str">
        <f>IF(MONTH($Y$11-WEEKDAY($Y$11,2)+41)=MONTH($Y$11),$Y$11-WEEKDAY($Y$11,2)+41,"")</f>
        <v/>
      </c>
      <c r="AP23" s="130"/>
      <c r="AQ23" s="130"/>
      <c r="AR23" s="130" t="str">
        <f>IF(MONTH($Y$11-WEEKDAY($Y$11,2)+42)=MONTH($Y$11),$Y$11-WEEKDAY($Y$11,2)+42,"")</f>
        <v/>
      </c>
      <c r="AS23" s="130"/>
      <c r="AT23" s="130"/>
      <c r="AV23" s="128" t="str">
        <f>IF(OR(ISNUMBER(AW23),ISNUMBER(BO23)),_xlfn.ISOWEEKNUM($AV$11-WEEKDAY($AV$11,2)+36),"")</f>
        <v/>
      </c>
      <c r="AW23" s="130" t="str">
        <f>IF(MONTH($AV$11-WEEKDAY($AV$11,2)+36)=MONTH($AV$11),$AV$11-WEEKDAY($AV$11,2)+36,"")</f>
        <v/>
      </c>
      <c r="AX23" s="130"/>
      <c r="AY23" s="130"/>
      <c r="AZ23" s="130" t="str">
        <f>IF(MONTH($AV$11-WEEKDAY($AV$11,2)+37)=MONTH($AV$11),$AV$11-WEEKDAY($AV$11,2)+37,"")</f>
        <v/>
      </c>
      <c r="BA23" s="130"/>
      <c r="BB23" s="130"/>
      <c r="BC23" s="130" t="str">
        <f>IF(MONTH($AV$11-WEEKDAY($AV$11,2)+38)=MONTH($AV$11),$AV$11-WEEKDAY($AV$11,2)+38,"")</f>
        <v/>
      </c>
      <c r="BD23" s="130"/>
      <c r="BE23" s="130"/>
      <c r="BF23" s="130" t="str">
        <f>IF(MONTH($AV$11-WEEKDAY($AV$11,2)+39)=MONTH($AV$11),$AV$11-WEEKDAY($AV$11,2)+39,"")</f>
        <v/>
      </c>
      <c r="BG23" s="130"/>
      <c r="BH23" s="130"/>
      <c r="BI23" s="130" t="str">
        <f>IF(MONTH($AV$11-WEEKDAY($AV$11,2)+40)=MONTH($AV$11),$AV$11-WEEKDAY($AV$11,2)+40,"")</f>
        <v/>
      </c>
      <c r="BJ23" s="130"/>
      <c r="BK23" s="130"/>
      <c r="BL23" s="130" t="str">
        <f>IF(MONTH($AV$11-WEEKDAY($AV$11,2)+41)=MONTH($AV$11),$AV$11-WEEKDAY($AV$11,2)+41,"")</f>
        <v/>
      </c>
      <c r="BM23" s="130"/>
      <c r="BN23" s="130"/>
      <c r="BO23" s="130" t="str">
        <f>IF(MONTH($AV$11-WEEKDAY($AV$11,2)+42)=MONTH($AV$11),$AV$11-WEEKDAY($AV$11,2)+42,"")</f>
        <v/>
      </c>
      <c r="BP23" s="130"/>
      <c r="BQ23" s="130"/>
      <c r="BS23" s="128" t="str">
        <f>IF(OR(ISNUMBER(BT23),ISNUMBER(CL23)),_xlfn.ISOWEEKNUM($BS$11-WEEKDAY($BS$11,2)+36),"")</f>
        <v/>
      </c>
      <c r="BT23" s="130" t="str">
        <f>IF(MONTH($BS$11-WEEKDAY($BS$11,2)+36)=MONTH($BS$11),$BS$11-WEEKDAY($BS$11,2)+36,"")</f>
        <v/>
      </c>
      <c r="BU23" s="130"/>
      <c r="BV23" s="130"/>
      <c r="BW23" s="130" t="str">
        <f>IF(MONTH($BS$11-WEEKDAY($BS$11,2)+37)=MONTH($BS$11),$BS$11-WEEKDAY($BS$11,2)+37,"")</f>
        <v/>
      </c>
      <c r="BX23" s="130"/>
      <c r="BY23" s="130"/>
      <c r="BZ23" s="130" t="str">
        <f>IF(MONTH($BS$11-WEEKDAY($BS$11,2)+38)=MONTH($BS$11),$BS$11-WEEKDAY($BS$11,2)+38,"")</f>
        <v/>
      </c>
      <c r="CA23" s="130"/>
      <c r="CB23" s="130"/>
      <c r="CC23" s="130" t="str">
        <f>IF(MONTH($BS$11-WEEKDAY($BS$11,2)+39)=MONTH($BS$11),$BS$11-WEEKDAY($BS$11,2)+39,"")</f>
        <v/>
      </c>
      <c r="CD23" s="130"/>
      <c r="CE23" s="130"/>
      <c r="CF23" s="130" t="str">
        <f>IF(MONTH($BS$11-WEEKDAY($BS$11,2)+40)=MONTH($BS$11),$BS$11-WEEKDAY($BS$11,2)+40,"")</f>
        <v/>
      </c>
      <c r="CG23" s="130"/>
      <c r="CH23" s="130"/>
      <c r="CI23" s="130" t="str">
        <f>IF(MONTH($BS$11-WEEKDAY($BS$11,2)+41)=MONTH($BS$11),$BS$11-WEEKDAY($BS$11,2)+41,"")</f>
        <v/>
      </c>
      <c r="CJ23" s="130"/>
      <c r="CK23" s="130"/>
      <c r="CL23" s="130" t="str">
        <f>IF(MONTH($BS$11-WEEKDAY($BS$11,2)+42)=MONTH($BS$11),$BS$11-WEEKDAY($BS$11,2)+42,"")</f>
        <v/>
      </c>
      <c r="CM23" s="130"/>
      <c r="CN23" s="130"/>
    </row>
    <row r="24" ht="10.5" customHeight="1">
      <c r="B24" s="129"/>
      <c r="C24" s="131" t="str">
        <f>IF(ISNUMBER(C23),IF(COUNTIF(JP_StartSel,C23)&gt;0,"S",IF(COUNTIF(Feiertage,C23)&gt;0,"h","")),"")</f>
        <v/>
      </c>
      <c r="D24" s="131" t="str">
        <f>IF(ISNUMBER(C23),IF(COUNTIF(JP_StartInhalt,C23)&gt;0,"I",IF(COUNTIF(Feiertage,C23)&gt;0,"h","")),"")</f>
        <v/>
      </c>
      <c r="E24" s="131" t="str">
        <f>IF(ISNUMBER(C23),IF(COUNTIF(JP_PAL,C23)&gt;0,"P",IF(COUNTIF(Feiertage,C23)&gt;0,"h","")),"")</f>
        <v/>
      </c>
      <c r="F24" s="131" t="str">
        <f>IF(ISNUMBER(F23),IF(COUNTIF(JP_StartSel,F23)&gt;0,"S",IF(COUNTIF(Feiertage,F23)&gt;0,"h","")),"")</f>
        <v/>
      </c>
      <c r="G24" s="131" t="str">
        <f>IF(ISNUMBER(F23),IF(COUNTIF(JP_StartInhalt,F23)&gt;0,"I",IF(COUNTIF(Feiertage,F23)&gt;0,"h","")),"")</f>
        <v/>
      </c>
      <c r="H24" s="131" t="str">
        <f>IF(ISNUMBER(F23),IF(COUNTIF(JP_PAL,F23)&gt;0,"P",IF(COUNTIF(Feiertage,F23)&gt;0,"h","")),"")</f>
        <v/>
      </c>
      <c r="I24" s="131" t="str">
        <f>IF(ISNUMBER(I23),IF(COUNTIF(JP_StartSel,I23)&gt;0,"S",IF(COUNTIF(Feiertage,I23)&gt;0,"h","")),"")</f>
        <v/>
      </c>
      <c r="J24" s="131" t="str">
        <f>IF(ISNUMBER(I23),IF(COUNTIF(JP_StartInhalt,I23)&gt;0,"I",IF(COUNTIF(Feiertage,I23)&gt;0,"h","")),"")</f>
        <v/>
      </c>
      <c r="K24" s="131" t="str">
        <f>IF(ISNUMBER(I23),IF(COUNTIF(JP_PAL,I23)&gt;0,"P",IF(COUNTIF(Feiertage,I23)&gt;0,"h","")),"")</f>
        <v/>
      </c>
      <c r="L24" s="131" t="str">
        <f>IF(ISNUMBER(L23),IF(COUNTIF(JP_StartSel,L23)&gt;0,"S",IF(COUNTIF(Feiertage,L23)&gt;0,"h","")),"")</f>
        <v/>
      </c>
      <c r="M24" s="131" t="str">
        <f>IF(ISNUMBER(L23),IF(COUNTIF(JP_StartInhalt,L23)&gt;0,"I",IF(COUNTIF(Feiertage,L23)&gt;0,"h","")),"")</f>
        <v/>
      </c>
      <c r="N24" s="131" t="str">
        <f>IF(ISNUMBER(L23),IF(COUNTIF(JP_PAL,L23)&gt;0,"P",IF(COUNTIF(Feiertage,L23)&gt;0,"h","")),"")</f>
        <v/>
      </c>
      <c r="O24" s="131" t="str">
        <f>IF(ISNUMBER(O23),IF(COUNTIF(JP_StartSel,O23)&gt;0,"S",IF(COUNTIF(Feiertage,O23)&gt;0,"h","")),"")</f>
        <v/>
      </c>
      <c r="P24" s="131" t="str">
        <f>IF(ISNUMBER(O23),IF(COUNTIF(JP_StartInhalt,O23)&gt;0,"I",IF(COUNTIF(Feiertage,O23)&gt;0,"h","")),"")</f>
        <v/>
      </c>
      <c r="Q24" s="131" t="str">
        <f>IF(ISNUMBER(O23),IF(COUNTIF(JP_PAL,O23)&gt;0,"P",IF(COUNTIF(Feiertage,O23)&gt;0,"h","")),"")</f>
        <v/>
      </c>
      <c r="R24" s="131" t="str">
        <f>IF(ISNUMBER(R23),IF(COUNTIF(JP_StartSel,R23)&gt;0,"S",IF(COUNTIF(Feiertage,R23)&gt;0,"h","w")),"")</f>
        <v/>
      </c>
      <c r="S24" s="131" t="str">
        <f>IF(ISNUMBER(R23),IF(COUNTIF(JP_StartInhalt,R23)&gt;0,"I",IF(COUNTIF(Feiertage,R23)&gt;0,"h","w")),"")</f>
        <v/>
      </c>
      <c r="T24" s="131" t="str">
        <f>IF(ISNUMBER(R23),IF(COUNTIF(JP_PAL,R23)&gt;0,"P",IF(COUNTIF(Feiertage,R23)&gt;0,"h","w")),"")</f>
        <v/>
      </c>
      <c r="U24" s="131" t="str">
        <f>IF(ISNUMBER(U23),IF(COUNTIF(JP_StartSel,U23)&gt;0,"S",IF(COUNTIF(Feiertage,U23)&gt;0,"h","w")),"")</f>
        <v/>
      </c>
      <c r="V24" s="131" t="str">
        <f>IF(ISNUMBER(U23),IF(COUNTIF(JP_StartInhalt,U23)&gt;0,"I",IF(COUNTIF(Feiertage,U23)&gt;0,"h","w")),"")</f>
        <v/>
      </c>
      <c r="W24" s="131" t="str">
        <f>IF(ISNUMBER(U23),IF(COUNTIF(JP_PAL,U23)&gt;0,"P",IF(COUNTIF(Feiertage,U23)&gt;0,"h","w")),"")</f>
        <v/>
      </c>
      <c r="Y24" s="129"/>
      <c r="Z24" s="131" t="str">
        <f>IF(ISNUMBER(Z23),IF(COUNTIF(JP_StartSel,Z23)&gt;0,"S",IF(COUNTIF(Feiertage,Z23)&gt;0,"h","")),"")</f>
        <v/>
      </c>
      <c r="AA24" s="131" t="str">
        <f>IF(ISNUMBER(Z23),IF(COUNTIF(JP_StartInhalt,Z23)&gt;0,"I",IF(COUNTIF(Feiertage,Z23)&gt;0,"h","")),"")</f>
        <v/>
      </c>
      <c r="AB24" s="131" t="str">
        <f>IF(ISNUMBER(Z23),IF(COUNTIF(JP_PAL,Z23)&gt;0,"P",IF(COUNTIF(Feiertage,Z23)&gt;0,"h","")),"")</f>
        <v/>
      </c>
      <c r="AC24" s="131" t="str">
        <f>IF(ISNUMBER(AC23),IF(COUNTIF(JP_StartSel,AC23)&gt;0,"S",IF(COUNTIF(Feiertage,AC23)&gt;0,"h","")),"")</f>
        <v/>
      </c>
      <c r="AD24" s="131" t="str">
        <f>IF(ISNUMBER(AC23),IF(COUNTIF(JP_StartInhalt,AC23)&gt;0,"I",IF(COUNTIF(Feiertage,AC23)&gt;0,"h","")),"")</f>
        <v/>
      </c>
      <c r="AE24" s="131" t="str">
        <f>IF(ISNUMBER(AC23),IF(COUNTIF(JP_PAL,AC23)&gt;0,"P",IF(COUNTIF(Feiertage,AC23)&gt;0,"h","")),"")</f>
        <v/>
      </c>
      <c r="AF24" s="131" t="str">
        <f>IF(ISNUMBER(AF23),IF(COUNTIF(JP_StartSel,AF23)&gt;0,"S",IF(COUNTIF(Feiertage,AF23)&gt;0,"h","")),"")</f>
        <v/>
      </c>
      <c r="AG24" s="131" t="str">
        <f>IF(ISNUMBER(AF23),IF(COUNTIF(JP_StartInhalt,AF23)&gt;0,"I",IF(COUNTIF(Feiertage,AF23)&gt;0,"h","")),"")</f>
        <v/>
      </c>
      <c r="AH24" s="131" t="str">
        <f>IF(ISNUMBER(AF23),IF(COUNTIF(JP_PAL,AF23)&gt;0,"P",IF(COUNTIF(Feiertage,AF23)&gt;0,"h","")),"")</f>
        <v/>
      </c>
      <c r="AI24" s="131" t="str">
        <f>IF(ISNUMBER(AI23),IF(COUNTIF(JP_StartSel,AI23)&gt;0,"S",IF(COUNTIF(Feiertage,AI23)&gt;0,"h","")),"")</f>
        <v/>
      </c>
      <c r="AJ24" s="131" t="str">
        <f>IF(ISNUMBER(AI23),IF(COUNTIF(JP_StartInhalt,AI23)&gt;0,"I",IF(COUNTIF(Feiertage,AI23)&gt;0,"h","")),"")</f>
        <v/>
      </c>
      <c r="AK24" s="131" t="str">
        <f>IF(ISNUMBER(AI23),IF(COUNTIF(JP_PAL,AI23)&gt;0,"P",IF(COUNTIF(Feiertage,AI23)&gt;0,"h","")),"")</f>
        <v/>
      </c>
      <c r="AL24" s="131" t="str">
        <f>IF(ISNUMBER(AL23),IF(COUNTIF(JP_StartSel,AL23)&gt;0,"S",IF(COUNTIF(Feiertage,AL23)&gt;0,"h","")),"")</f>
        <v/>
      </c>
      <c r="AM24" s="131" t="str">
        <f>IF(ISNUMBER(AL23),IF(COUNTIF(JP_StartInhalt,AL23)&gt;0,"I",IF(COUNTIF(Feiertage,AL23)&gt;0,"h","")),"")</f>
        <v/>
      </c>
      <c r="AN24" s="131" t="str">
        <f>IF(ISNUMBER(AL23),IF(COUNTIF(JP_PAL,AL23)&gt;0,"P",IF(COUNTIF(Feiertage,AL23)&gt;0,"h","")),"")</f>
        <v/>
      </c>
      <c r="AO24" s="131" t="str">
        <f>IF(ISNUMBER(AO23),IF(COUNTIF(JP_StartSel,AO23)&gt;0,"S",IF(COUNTIF(Feiertage,AO23)&gt;0,"h","w")),"")</f>
        <v/>
      </c>
      <c r="AP24" s="131" t="str">
        <f>IF(ISNUMBER(AO23),IF(COUNTIF(JP_StartInhalt,AO23)&gt;0,"I",IF(COUNTIF(Feiertage,AO23)&gt;0,"h","w")),"")</f>
        <v/>
      </c>
      <c r="AQ24" s="131" t="str">
        <f>IF(ISNUMBER(AO23),IF(COUNTIF(JP_PAL,AO23)&gt;0,"P",IF(COUNTIF(Feiertage,AO23)&gt;0,"h","w")),"")</f>
        <v/>
      </c>
      <c r="AR24" s="131" t="str">
        <f>IF(ISNUMBER(AR23),IF(COUNTIF(JP_StartSel,AR23)&gt;0,"S",IF(COUNTIF(Feiertage,AR23)&gt;0,"h","w")),"")</f>
        <v/>
      </c>
      <c r="AS24" s="131" t="str">
        <f>IF(ISNUMBER(AR23),IF(COUNTIF(JP_StartInhalt,AR23)&gt;0,"I",IF(COUNTIF(Feiertage,AR23)&gt;0,"h","w")),"")</f>
        <v/>
      </c>
      <c r="AT24" s="131" t="str">
        <f>IF(ISNUMBER(AR23),IF(COUNTIF(JP_PAL,AR23)&gt;0,"P",IF(COUNTIF(Feiertage,AR23)&gt;0,"h","w")),"")</f>
        <v/>
      </c>
      <c r="AV24" s="129"/>
      <c r="AW24" s="131" t="str">
        <f>IF(ISNUMBER(AW23),IF(COUNTIF(JP_StartSel,AW23)&gt;0,"S",IF(COUNTIF(Feiertage,AW23)&gt;0,"h","")),"")</f>
        <v/>
      </c>
      <c r="AX24" s="131" t="str">
        <f>IF(ISNUMBER(AW23),IF(COUNTIF(JP_StartInhalt,AW23)&gt;0,"I",IF(COUNTIF(Feiertage,AW23)&gt;0,"h","")),"")</f>
        <v/>
      </c>
      <c r="AY24" s="131" t="str">
        <f>IF(ISNUMBER(AW23),IF(COUNTIF(JP_PAL,AW23)&gt;0,"P",IF(COUNTIF(Feiertage,AW23)&gt;0,"h","")),"")</f>
        <v/>
      </c>
      <c r="AZ24" s="131" t="str">
        <f>IF(ISNUMBER(AZ23),IF(COUNTIF(JP_StartSel,AZ23)&gt;0,"S",IF(COUNTIF(Feiertage,AZ23)&gt;0,"h","")),"")</f>
        <v/>
      </c>
      <c r="BA24" s="131" t="str">
        <f>IF(ISNUMBER(AZ23),IF(COUNTIF(JP_StartInhalt,AZ23)&gt;0,"I",IF(COUNTIF(Feiertage,AZ23)&gt;0,"h","")),"")</f>
        <v/>
      </c>
      <c r="BB24" s="131" t="str">
        <f>IF(ISNUMBER(AZ23),IF(COUNTIF(JP_PAL,AZ23)&gt;0,"P",IF(COUNTIF(Feiertage,AZ23)&gt;0,"h","")),"")</f>
        <v/>
      </c>
      <c r="BC24" s="131" t="str">
        <f>IF(ISNUMBER(BC23),IF(COUNTIF(JP_StartSel,BC23)&gt;0,"S",IF(COUNTIF(Feiertage,BC23)&gt;0,"h","")),"")</f>
        <v/>
      </c>
      <c r="BD24" s="131" t="str">
        <f>IF(ISNUMBER(BC23),IF(COUNTIF(JP_StartInhalt,BC23)&gt;0,"I",IF(COUNTIF(Feiertage,BC23)&gt;0,"h","")),"")</f>
        <v/>
      </c>
      <c r="BE24" s="131" t="str">
        <f>IF(ISNUMBER(BC23),IF(COUNTIF(JP_PAL,BC23)&gt;0,"P",IF(COUNTIF(Feiertage,BC23)&gt;0,"h","")),"")</f>
        <v/>
      </c>
      <c r="BF24" s="131" t="str">
        <f>IF(ISNUMBER(BF23),IF(COUNTIF(JP_StartSel,BF23)&gt;0,"S",IF(COUNTIF(Feiertage,BF23)&gt;0,"h","")),"")</f>
        <v/>
      </c>
      <c r="BG24" s="131" t="str">
        <f>IF(ISNUMBER(BF23),IF(COUNTIF(JP_StartInhalt,BF23)&gt;0,"I",IF(COUNTIF(Feiertage,BF23)&gt;0,"h","")),"")</f>
        <v/>
      </c>
      <c r="BH24" s="131" t="str">
        <f>IF(ISNUMBER(BF23),IF(COUNTIF(JP_PAL,BF23)&gt;0,"P",IF(COUNTIF(Feiertage,BF23)&gt;0,"h","")),"")</f>
        <v/>
      </c>
      <c r="BI24" s="131" t="str">
        <f>IF(ISNUMBER(BI23),IF(COUNTIF(JP_StartSel,BI23)&gt;0,"S",IF(COUNTIF(Feiertage,BI23)&gt;0,"h","")),"")</f>
        <v/>
      </c>
      <c r="BJ24" s="131" t="str">
        <f>IF(ISNUMBER(BI23),IF(COUNTIF(JP_StartInhalt,BI23)&gt;0,"I",IF(COUNTIF(Feiertage,BI23)&gt;0,"h","")),"")</f>
        <v/>
      </c>
      <c r="BK24" s="131" t="str">
        <f>IF(ISNUMBER(BI23),IF(COUNTIF(JP_PAL,BI23)&gt;0,"P",IF(COUNTIF(Feiertage,BI23)&gt;0,"h","")),"")</f>
        <v/>
      </c>
      <c r="BL24" s="131" t="str">
        <f>IF(ISNUMBER(BL23),IF(COUNTIF(JP_StartSel,BL23)&gt;0,"S",IF(COUNTIF(Feiertage,BL23)&gt;0,"h","w")),"")</f>
        <v/>
      </c>
      <c r="BM24" s="131" t="str">
        <f>IF(ISNUMBER(BL23),IF(COUNTIF(JP_StartInhalt,BL23)&gt;0,"I",IF(COUNTIF(Feiertage,BL23)&gt;0,"h","w")),"")</f>
        <v/>
      </c>
      <c r="BN24" s="131" t="str">
        <f>IF(ISNUMBER(BL23),IF(COUNTIF(JP_PAL,BL23)&gt;0,"P",IF(COUNTIF(Feiertage,BL23)&gt;0,"h","w")),"")</f>
        <v/>
      </c>
      <c r="BO24" s="131" t="str">
        <f>IF(ISNUMBER(BO23),IF(COUNTIF(JP_StartSel,BO23)&gt;0,"S",IF(COUNTIF(Feiertage,BO23)&gt;0,"h","w")),"")</f>
        <v/>
      </c>
      <c r="BP24" s="131" t="str">
        <f>IF(ISNUMBER(BO23),IF(COUNTIF(JP_StartInhalt,BO23)&gt;0,"I",IF(COUNTIF(Feiertage,BO23)&gt;0,"h","w")),"")</f>
        <v/>
      </c>
      <c r="BQ24" s="131" t="str">
        <f>IF(ISNUMBER(BO23),IF(COUNTIF(JP_PAL,BO23)&gt;0,"P",IF(COUNTIF(Feiertage,BO23)&gt;0,"h","w")),"")</f>
        <v/>
      </c>
      <c r="BS24" s="129"/>
      <c r="BT24" s="131" t="str">
        <f>IF(ISNUMBER(BT23),IF(COUNTIF(JP_StartSel,BT23)&gt;0,"S",IF(COUNTIF(Feiertage,BT23)&gt;0,"h","")),"")</f>
        <v/>
      </c>
      <c r="BU24" s="131" t="str">
        <f>IF(ISNUMBER(BT23),IF(COUNTIF(JP_StartInhalt,BT23)&gt;0,"I",IF(COUNTIF(Feiertage,BT23)&gt;0,"h","")),"")</f>
        <v/>
      </c>
      <c r="BV24" s="131" t="str">
        <f>IF(ISNUMBER(BT23),IF(COUNTIF(JP_PAL,BT23)&gt;0,"P",IF(COUNTIF(Feiertage,BT23)&gt;0,"h","")),"")</f>
        <v/>
      </c>
      <c r="BW24" s="131" t="str">
        <f>IF(ISNUMBER(BW23),IF(COUNTIF(JP_StartSel,BW23)&gt;0,"S",IF(COUNTIF(Feiertage,BW23)&gt;0,"h","")),"")</f>
        <v/>
      </c>
      <c r="BX24" s="131" t="str">
        <f>IF(ISNUMBER(BW23),IF(COUNTIF(JP_StartInhalt,BW23)&gt;0,"I",IF(COUNTIF(Feiertage,BW23)&gt;0,"h","")),"")</f>
        <v/>
      </c>
      <c r="BY24" s="131" t="str">
        <f>IF(ISNUMBER(BW23),IF(COUNTIF(JP_PAL,BW23)&gt;0,"P",IF(COUNTIF(Feiertage,BW23)&gt;0,"h","")),"")</f>
        <v/>
      </c>
      <c r="BZ24" s="131" t="str">
        <f>IF(ISNUMBER(BZ23),IF(COUNTIF(JP_StartSel,BZ23)&gt;0,"S",IF(COUNTIF(Feiertage,BZ23)&gt;0,"h","")),"")</f>
        <v/>
      </c>
      <c r="CA24" s="131" t="str">
        <f>IF(ISNUMBER(BZ23),IF(COUNTIF(JP_StartInhalt,BZ23)&gt;0,"I",IF(COUNTIF(Feiertage,BZ23)&gt;0,"h","")),"")</f>
        <v/>
      </c>
      <c r="CB24" s="131" t="str">
        <f>IF(ISNUMBER(BZ23),IF(COUNTIF(JP_PAL,BZ23)&gt;0,"P",IF(COUNTIF(Feiertage,BZ23)&gt;0,"h","")),"")</f>
        <v/>
      </c>
      <c r="CC24" s="131" t="str">
        <f>IF(ISNUMBER(CC23),IF(COUNTIF(JP_StartSel,CC23)&gt;0,"S",IF(COUNTIF(Feiertage,CC23)&gt;0,"h","")),"")</f>
        <v/>
      </c>
      <c r="CD24" s="131" t="str">
        <f>IF(ISNUMBER(CC23),IF(COUNTIF(JP_StartInhalt,CC23)&gt;0,"I",IF(COUNTIF(Feiertage,CC23)&gt;0,"h","")),"")</f>
        <v/>
      </c>
      <c r="CE24" s="131" t="str">
        <f>IF(ISNUMBER(CC23),IF(COUNTIF(JP_PAL,CC23)&gt;0,"P",IF(COUNTIF(Feiertage,CC23)&gt;0,"h","")),"")</f>
        <v/>
      </c>
      <c r="CF24" s="131" t="str">
        <f>IF(ISNUMBER(CF23),IF(COUNTIF(JP_StartSel,CF23)&gt;0,"S",IF(COUNTIF(Feiertage,CF23)&gt;0,"h","")),"")</f>
        <v/>
      </c>
      <c r="CG24" s="131" t="str">
        <f>IF(ISNUMBER(CF23),IF(COUNTIF(JP_StartInhalt,CF23)&gt;0,"I",IF(COUNTIF(Feiertage,CF23)&gt;0,"h","")),"")</f>
        <v/>
      </c>
      <c r="CH24" s="131" t="str">
        <f>IF(ISNUMBER(CF23),IF(COUNTIF(JP_PAL,CF23)&gt;0,"P",IF(COUNTIF(Feiertage,CF23)&gt;0,"h","")),"")</f>
        <v/>
      </c>
      <c r="CI24" s="131" t="str">
        <f>IF(ISNUMBER(CI23),IF(COUNTIF(JP_StartSel,CI23)&gt;0,"S",IF(COUNTIF(Feiertage,CI23)&gt;0,"h","w")),"")</f>
        <v/>
      </c>
      <c r="CJ24" s="131" t="str">
        <f>IF(ISNUMBER(CI23),IF(COUNTIF(JP_StartInhalt,CI23)&gt;0,"I",IF(COUNTIF(Feiertage,CI23)&gt;0,"h","w")),"")</f>
        <v/>
      </c>
      <c r="CK24" s="131" t="str">
        <f>IF(ISNUMBER(CI23),IF(COUNTIF(JP_PAL,CI23)&gt;0,"P",IF(COUNTIF(Feiertage,CI23)&gt;0,"h","w")),"")</f>
        <v/>
      </c>
      <c r="CL24" s="131" t="str">
        <f>IF(ISNUMBER(CL23),IF(COUNTIF(JP_StartSel,CL23)&gt;0,"S",IF(COUNTIF(Feiertage,CL23)&gt;0,"h","w")),"")</f>
        <v/>
      </c>
      <c r="CM24" s="131" t="str">
        <f>IF(ISNUMBER(CL23),IF(COUNTIF(JP_StartInhalt,CL23)&gt;0,"I",IF(COUNTIF(Feiertage,CL23)&gt;0,"h","w")),"")</f>
        <v/>
      </c>
      <c r="CN24" s="131" t="str">
        <f>IF(ISNUMBER(CL23),IF(COUNTIF(JP_PAL,CL23)&gt;0,"P",IF(COUNTIF(Feiertage,CL23)&gt;0,"h","w")),"")</f>
        <v/>
      </c>
    </row>
    <row r="25" ht="22" customHeight="1">
      <c r="B25" s="132" t="str">
        <f t="array" ref="B25">_xlfn.TEXTJOIN("  ·  ",TRUE,IF(MONTH(Feiertage)=MONTH($B$11),TEXT(DAY(Feiertage),"00")&amp;"."&amp;TEXT(MONTH(Feiertage),"00")&amp;". "&amp;Feiertage_Name,""))</f>
        <v>01.01. Neujahr</v>
      </c>
      <c r="C25" s="132"/>
      <c r="D25" s="132"/>
      <c r="E25" s="132"/>
      <c r="F25" s="132"/>
      <c r="G25" s="132"/>
      <c r="H25" s="132"/>
      <c r="I25" s="132"/>
      <c r="J25" s="132"/>
      <c r="K25" s="132"/>
      <c r="L25" s="132"/>
      <c r="M25" s="132"/>
      <c r="N25" s="132"/>
      <c r="O25" s="132"/>
      <c r="P25" s="132"/>
      <c r="Q25" s="132"/>
      <c r="R25" s="132"/>
      <c r="S25" s="132"/>
      <c r="T25" s="132"/>
      <c r="U25" s="132"/>
      <c r="V25" s="132"/>
      <c r="W25" s="132"/>
      <c r="Y25" s="132" t="str">
        <f t="array" ref="Y25">_xlfn.TEXTJOIN("  ·  ",TRUE,IF(MONTH(Feiertage)=MONTH($Y$11),TEXT(DAY(Feiertage),"00")&amp;"."&amp;TEXT(MONTH(Feiertage),"00")&amp;". "&amp;Feiertage_Name,""))</f>
        <v/>
      </c>
      <c r="Z25" s="132"/>
      <c r="AA25" s="132"/>
      <c r="AB25" s="132"/>
      <c r="AC25" s="132"/>
      <c r="AD25" s="132"/>
      <c r="AE25" s="132"/>
      <c r="AF25" s="132"/>
      <c r="AG25" s="132"/>
      <c r="AH25" s="132"/>
      <c r="AI25" s="132"/>
      <c r="AJ25" s="132"/>
      <c r="AK25" s="132"/>
      <c r="AL25" s="132"/>
      <c r="AM25" s="132"/>
      <c r="AN25" s="132"/>
      <c r="AO25" s="132"/>
      <c r="AP25" s="132"/>
      <c r="AQ25" s="132"/>
      <c r="AR25" s="132"/>
      <c r="AS25" s="132"/>
      <c r="AT25" s="132"/>
      <c r="AV25" s="132" t="str">
        <f t="array" ref="AV25">_xlfn.TEXTJOIN("  ·  ",TRUE,IF(MONTH(Feiertage)=MONTH($AV$11),TEXT(DAY(Feiertage),"00")&amp;"."&amp;TEXT(MONTH(Feiertage),"00")&amp;". "&amp;Feiertage_Name,""))</f>
        <v>26.03. Karfreitag  ·  29.03. Ostermontag</v>
      </c>
      <c r="AW25" s="132"/>
      <c r="AX25" s="132"/>
      <c r="AY25" s="132"/>
      <c r="AZ25" s="132"/>
      <c r="BA25" s="132"/>
      <c r="BB25" s="132"/>
      <c r="BC25" s="132"/>
      <c r="BD25" s="132"/>
      <c r="BE25" s="132"/>
      <c r="BF25" s="132"/>
      <c r="BG25" s="132"/>
      <c r="BH25" s="132"/>
      <c r="BI25" s="132"/>
      <c r="BJ25" s="132"/>
      <c r="BK25" s="132"/>
      <c r="BL25" s="132"/>
      <c r="BM25" s="132"/>
      <c r="BN25" s="132"/>
      <c r="BO25" s="132"/>
      <c r="BP25" s="132"/>
      <c r="BQ25" s="132"/>
      <c r="BS25" s="132" t="str">
        <f t="array" ref="BS25">_xlfn.TEXTJOIN("  ·  ",TRUE,IF(MONTH(Feiertage)=MONTH($BS$11),TEXT(DAY(Feiertage),"00")&amp;"."&amp;TEXT(MONTH(Feiertage),"00")&amp;". "&amp;Feiertage_Name,""))</f>
        <v/>
      </c>
      <c r="BT25" s="132"/>
      <c r="BU25" s="132"/>
      <c r="BV25" s="132"/>
      <c r="BW25" s="132"/>
      <c r="BX25" s="132"/>
      <c r="BY25" s="132"/>
      <c r="BZ25" s="132"/>
      <c r="CA25" s="132"/>
      <c r="CB25" s="132"/>
      <c r="CC25" s="132"/>
      <c r="CD25" s="132"/>
      <c r="CE25" s="132"/>
      <c r="CF25" s="132"/>
      <c r="CG25" s="132"/>
      <c r="CH25" s="132"/>
      <c r="CI25" s="132"/>
      <c r="CJ25" s="132"/>
      <c r="CK25" s="132"/>
      <c r="CL25" s="132"/>
      <c r="CM25" s="132"/>
      <c r="CN25" s="132"/>
    </row>
    <row r="26" ht="8" customHeight="1"/>
    <row r="27" ht="20" customHeight="1">
      <c r="B27" s="124">
        <f>DATE(Planungsjahr,5,1)</f>
        <v>46508</v>
      </c>
      <c r="C27" s="125"/>
      <c r="D27" s="125"/>
      <c r="E27" s="125"/>
      <c r="F27" s="125"/>
      <c r="G27" s="125"/>
      <c r="H27" s="125"/>
      <c r="I27" s="125"/>
      <c r="J27" s="125"/>
      <c r="K27" s="125"/>
      <c r="L27" s="125"/>
      <c r="M27" s="125"/>
      <c r="N27" s="125"/>
      <c r="O27" s="125"/>
      <c r="P27" s="125"/>
      <c r="Q27" s="125"/>
      <c r="R27" s="125"/>
      <c r="S27" s="125"/>
      <c r="T27" s="125"/>
      <c r="U27" s="125"/>
      <c r="V27" s="125"/>
      <c r="W27" s="125"/>
      <c r="Y27" s="124">
        <f>DATE(Planungsjahr,6,1)</f>
        <v>46539</v>
      </c>
      <c r="Z27" s="125"/>
      <c r="AA27" s="125"/>
      <c r="AB27" s="125"/>
      <c r="AC27" s="125"/>
      <c r="AD27" s="125"/>
      <c r="AE27" s="125"/>
      <c r="AF27" s="125"/>
      <c r="AG27" s="125"/>
      <c r="AH27" s="125"/>
      <c r="AI27" s="125"/>
      <c r="AJ27" s="125"/>
      <c r="AK27" s="125"/>
      <c r="AL27" s="125"/>
      <c r="AM27" s="125"/>
      <c r="AN27" s="125"/>
      <c r="AO27" s="125"/>
      <c r="AP27" s="125"/>
      <c r="AQ27" s="125"/>
      <c r="AR27" s="125"/>
      <c r="AS27" s="125"/>
      <c r="AT27" s="125"/>
      <c r="AV27" s="124">
        <f>DATE(Planungsjahr,7,1)</f>
        <v>46569</v>
      </c>
      <c r="AW27" s="125"/>
      <c r="AX27" s="125"/>
      <c r="AY27" s="125"/>
      <c r="AZ27" s="125"/>
      <c r="BA27" s="125"/>
      <c r="BB27" s="125"/>
      <c r="BC27" s="125"/>
      <c r="BD27" s="125"/>
      <c r="BE27" s="125"/>
      <c r="BF27" s="125"/>
      <c r="BG27" s="125"/>
      <c r="BH27" s="125"/>
      <c r="BI27" s="125"/>
      <c r="BJ27" s="125"/>
      <c r="BK27" s="125"/>
      <c r="BL27" s="125"/>
      <c r="BM27" s="125"/>
      <c r="BN27" s="125"/>
      <c r="BO27" s="125"/>
      <c r="BP27" s="125"/>
      <c r="BQ27" s="125"/>
      <c r="BS27" s="124">
        <f>DATE(Planungsjahr,8,1)</f>
        <v>46600</v>
      </c>
      <c r="BT27" s="125"/>
      <c r="BU27" s="125"/>
      <c r="BV27" s="125"/>
      <c r="BW27" s="125"/>
      <c r="BX27" s="125"/>
      <c r="BY27" s="125"/>
      <c r="BZ27" s="125"/>
      <c r="CA27" s="125"/>
      <c r="CB27" s="125"/>
      <c r="CC27" s="125"/>
      <c r="CD27" s="125"/>
      <c r="CE27" s="125"/>
      <c r="CF27" s="125"/>
      <c r="CG27" s="125"/>
      <c r="CH27" s="125"/>
      <c r="CI27" s="125"/>
      <c r="CJ27" s="125"/>
      <c r="CK27" s="125"/>
      <c r="CL27" s="125"/>
      <c r="CM27" s="125"/>
      <c r="CN27" s="125"/>
    </row>
    <row r="28" ht="14" customHeight="1">
      <c r="B28" s="127" t="s">
        <v>76</v>
      </c>
      <c r="C28" s="126" t="s">
        <v>77</v>
      </c>
      <c r="D28" s="126"/>
      <c r="E28" s="126"/>
      <c r="F28" s="126" t="s">
        <v>78</v>
      </c>
      <c r="G28" s="126"/>
      <c r="H28" s="126"/>
      <c r="I28" s="126" t="s">
        <v>79</v>
      </c>
      <c r="J28" s="126"/>
      <c r="K28" s="126"/>
      <c r="L28" s="126" t="s">
        <v>80</v>
      </c>
      <c r="M28" s="126"/>
      <c r="N28" s="126"/>
      <c r="O28" s="126" t="s">
        <v>81</v>
      </c>
      <c r="P28" s="126"/>
      <c r="Q28" s="126"/>
      <c r="R28" s="126" t="s">
        <v>82</v>
      </c>
      <c r="S28" s="126"/>
      <c r="T28" s="126"/>
      <c r="U28" s="126" t="s">
        <v>83</v>
      </c>
      <c r="V28" s="126"/>
      <c r="W28" s="126"/>
      <c r="Y28" s="127" t="s">
        <v>76</v>
      </c>
      <c r="Z28" s="126" t="s">
        <v>77</v>
      </c>
      <c r="AA28" s="126"/>
      <c r="AB28" s="126"/>
      <c r="AC28" s="126" t="s">
        <v>78</v>
      </c>
      <c r="AD28" s="126"/>
      <c r="AE28" s="126"/>
      <c r="AF28" s="126" t="s">
        <v>79</v>
      </c>
      <c r="AG28" s="126"/>
      <c r="AH28" s="126"/>
      <c r="AI28" s="126" t="s">
        <v>80</v>
      </c>
      <c r="AJ28" s="126"/>
      <c r="AK28" s="126"/>
      <c r="AL28" s="126" t="s">
        <v>81</v>
      </c>
      <c r="AM28" s="126"/>
      <c r="AN28" s="126"/>
      <c r="AO28" s="126" t="s">
        <v>82</v>
      </c>
      <c r="AP28" s="126"/>
      <c r="AQ28" s="126"/>
      <c r="AR28" s="126" t="s">
        <v>83</v>
      </c>
      <c r="AS28" s="126"/>
      <c r="AT28" s="126"/>
      <c r="AV28" s="127" t="s">
        <v>76</v>
      </c>
      <c r="AW28" s="126" t="s">
        <v>77</v>
      </c>
      <c r="AX28" s="126"/>
      <c r="AY28" s="126"/>
      <c r="AZ28" s="126" t="s">
        <v>78</v>
      </c>
      <c r="BA28" s="126"/>
      <c r="BB28" s="126"/>
      <c r="BC28" s="126" t="s">
        <v>79</v>
      </c>
      <c r="BD28" s="126"/>
      <c r="BE28" s="126"/>
      <c r="BF28" s="126" t="s">
        <v>80</v>
      </c>
      <c r="BG28" s="126"/>
      <c r="BH28" s="126"/>
      <c r="BI28" s="126" t="s">
        <v>81</v>
      </c>
      <c r="BJ28" s="126"/>
      <c r="BK28" s="126"/>
      <c r="BL28" s="126" t="s">
        <v>82</v>
      </c>
      <c r="BM28" s="126"/>
      <c r="BN28" s="126"/>
      <c r="BO28" s="126" t="s">
        <v>83</v>
      </c>
      <c r="BP28" s="126"/>
      <c r="BQ28" s="126"/>
      <c r="BS28" s="127" t="s">
        <v>76</v>
      </c>
      <c r="BT28" s="126" t="s">
        <v>77</v>
      </c>
      <c r="BU28" s="126"/>
      <c r="BV28" s="126"/>
      <c r="BW28" s="126" t="s">
        <v>78</v>
      </c>
      <c r="BX28" s="126"/>
      <c r="BY28" s="126"/>
      <c r="BZ28" s="126" t="s">
        <v>79</v>
      </c>
      <c r="CA28" s="126"/>
      <c r="CB28" s="126"/>
      <c r="CC28" s="126" t="s">
        <v>80</v>
      </c>
      <c r="CD28" s="126"/>
      <c r="CE28" s="126"/>
      <c r="CF28" s="126" t="s">
        <v>81</v>
      </c>
      <c r="CG28" s="126"/>
      <c r="CH28" s="126"/>
      <c r="CI28" s="126" t="s">
        <v>82</v>
      </c>
      <c r="CJ28" s="126"/>
      <c r="CK28" s="126"/>
      <c r="CL28" s="126" t="s">
        <v>83</v>
      </c>
      <c r="CM28" s="126"/>
      <c r="CN28" s="126"/>
    </row>
    <row r="29" ht="16" customHeight="1">
      <c r="B29" s="128">
        <f>IF(OR(ISNUMBER(C29),ISNUMBER(U29)),_xlfn.ISOWEEKNUM($B$27-WEEKDAY($B$27,2)+1),"")</f>
        <v>17</v>
      </c>
      <c r="C29" s="130" t="str">
        <f>IF(MONTH($B$27-WEEKDAY($B$27,2)+1)=MONTH($B$27),$B$27-WEEKDAY($B$27,2)+1,"")</f>
        <v/>
      </c>
      <c r="D29" s="130"/>
      <c r="E29" s="130"/>
      <c r="F29" s="130" t="str">
        <f>IF(MONTH($B$27-WEEKDAY($B$27,2)+2)=MONTH($B$27),$B$27-WEEKDAY($B$27,2)+2,"")</f>
        <v/>
      </c>
      <c r="G29" s="130"/>
      <c r="H29" s="130"/>
      <c r="I29" s="130" t="str">
        <f>IF(MONTH($B$27-WEEKDAY($B$27,2)+3)=MONTH($B$27),$B$27-WEEKDAY($B$27,2)+3,"")</f>
        <v/>
      </c>
      <c r="J29" s="130"/>
      <c r="K29" s="130"/>
      <c r="L29" s="130" t="str">
        <f>IF(MONTH($B$27-WEEKDAY($B$27,2)+4)=MONTH($B$27),$B$27-WEEKDAY($B$27,2)+4,"")</f>
        <v/>
      </c>
      <c r="M29" s="130"/>
      <c r="N29" s="130"/>
      <c r="O29" s="130" t="str">
        <f>IF(MONTH($B$27-WEEKDAY($B$27,2)+5)=MONTH($B$27),$B$27-WEEKDAY($B$27,2)+5,"")</f>
        <v/>
      </c>
      <c r="P29" s="130"/>
      <c r="Q29" s="130"/>
      <c r="R29" s="130">
        <f>IF(MONTH($B$27-WEEKDAY($B$27,2)+6)=MONTH($B$27),$B$27-WEEKDAY($B$27,2)+6,"")</f>
        <v>46508</v>
      </c>
      <c r="S29" s="130"/>
      <c r="T29" s="130"/>
      <c r="U29" s="130">
        <f>IF(MONTH($B$27-WEEKDAY($B$27,2)+7)=MONTH($B$27),$B$27-WEEKDAY($B$27,2)+7,"")</f>
        <v>46509</v>
      </c>
      <c r="V29" s="130"/>
      <c r="W29" s="130"/>
      <c r="Y29" s="128">
        <f>IF(OR(ISNUMBER(Z29),ISNUMBER(AR29)),_xlfn.ISOWEEKNUM($Y$27-WEEKDAY($Y$27,2)+1),"")</f>
        <v>22</v>
      </c>
      <c r="Z29" s="130" t="str">
        <f>IF(MONTH($Y$27-WEEKDAY($Y$27,2)+1)=MONTH($Y$27),$Y$27-WEEKDAY($Y$27,2)+1,"")</f>
        <v/>
      </c>
      <c r="AA29" s="130"/>
      <c r="AB29" s="130"/>
      <c r="AC29" s="130">
        <f>IF(MONTH($Y$27-WEEKDAY($Y$27,2)+2)=MONTH($Y$27),$Y$27-WEEKDAY($Y$27,2)+2,"")</f>
        <v>46539</v>
      </c>
      <c r="AD29" s="130"/>
      <c r="AE29" s="130"/>
      <c r="AF29" s="130">
        <f>IF(MONTH($Y$27-WEEKDAY($Y$27,2)+3)=MONTH($Y$27),$Y$27-WEEKDAY($Y$27,2)+3,"")</f>
        <v>46540</v>
      </c>
      <c r="AG29" s="130"/>
      <c r="AH29" s="130"/>
      <c r="AI29" s="130">
        <f>IF(MONTH($Y$27-WEEKDAY($Y$27,2)+4)=MONTH($Y$27),$Y$27-WEEKDAY($Y$27,2)+4,"")</f>
        <v>46541</v>
      </c>
      <c r="AJ29" s="130"/>
      <c r="AK29" s="130"/>
      <c r="AL29" s="130">
        <f>IF(MONTH($Y$27-WEEKDAY($Y$27,2)+5)=MONTH($Y$27),$Y$27-WEEKDAY($Y$27,2)+5,"")</f>
        <v>46542</v>
      </c>
      <c r="AM29" s="130"/>
      <c r="AN29" s="130"/>
      <c r="AO29" s="130">
        <f>IF(MONTH($Y$27-WEEKDAY($Y$27,2)+6)=MONTH($Y$27),$Y$27-WEEKDAY($Y$27,2)+6,"")</f>
        <v>46543</v>
      </c>
      <c r="AP29" s="130"/>
      <c r="AQ29" s="130"/>
      <c r="AR29" s="130">
        <f>IF(MONTH($Y$27-WEEKDAY($Y$27,2)+7)=MONTH($Y$27),$Y$27-WEEKDAY($Y$27,2)+7,"")</f>
        <v>46544</v>
      </c>
      <c r="AS29" s="130"/>
      <c r="AT29" s="130"/>
      <c r="AV29" s="128">
        <f>IF(OR(ISNUMBER(AW29),ISNUMBER(BO29)),_xlfn.ISOWEEKNUM($AV$27-WEEKDAY($AV$27,2)+1),"")</f>
        <v>26</v>
      </c>
      <c r="AW29" s="130" t="str">
        <f>IF(MONTH($AV$27-WEEKDAY($AV$27,2)+1)=MONTH($AV$27),$AV$27-WEEKDAY($AV$27,2)+1,"")</f>
        <v/>
      </c>
      <c r="AX29" s="130"/>
      <c r="AY29" s="130"/>
      <c r="AZ29" s="130" t="str">
        <f>IF(MONTH($AV$27-WEEKDAY($AV$27,2)+2)=MONTH($AV$27),$AV$27-WEEKDAY($AV$27,2)+2,"")</f>
        <v/>
      </c>
      <c r="BA29" s="130"/>
      <c r="BB29" s="130"/>
      <c r="BC29" s="130" t="str">
        <f>IF(MONTH($AV$27-WEEKDAY($AV$27,2)+3)=MONTH($AV$27),$AV$27-WEEKDAY($AV$27,2)+3,"")</f>
        <v/>
      </c>
      <c r="BD29" s="130"/>
      <c r="BE29" s="130"/>
      <c r="BF29" s="130">
        <f>IF(MONTH($AV$27-WEEKDAY($AV$27,2)+4)=MONTH($AV$27),$AV$27-WEEKDAY($AV$27,2)+4,"")</f>
        <v>46569</v>
      </c>
      <c r="BG29" s="130"/>
      <c r="BH29" s="130"/>
      <c r="BI29" s="130">
        <f>IF(MONTH($AV$27-WEEKDAY($AV$27,2)+5)=MONTH($AV$27),$AV$27-WEEKDAY($AV$27,2)+5,"")</f>
        <v>46570</v>
      </c>
      <c r="BJ29" s="130"/>
      <c r="BK29" s="130"/>
      <c r="BL29" s="130">
        <f>IF(MONTH($AV$27-WEEKDAY($AV$27,2)+6)=MONTH($AV$27),$AV$27-WEEKDAY($AV$27,2)+6,"")</f>
        <v>46571</v>
      </c>
      <c r="BM29" s="130"/>
      <c r="BN29" s="130"/>
      <c r="BO29" s="130">
        <f>IF(MONTH($AV$27-WEEKDAY($AV$27,2)+7)=MONTH($AV$27),$AV$27-WEEKDAY($AV$27,2)+7,"")</f>
        <v>46572</v>
      </c>
      <c r="BP29" s="130"/>
      <c r="BQ29" s="130"/>
      <c r="BS29" s="128">
        <f>IF(OR(ISNUMBER(BT29),ISNUMBER(CL29)),_xlfn.ISOWEEKNUM($BS$27-WEEKDAY($BS$27,2)+1),"")</f>
        <v>30</v>
      </c>
      <c r="BT29" s="130" t="str">
        <f>IF(MONTH($BS$27-WEEKDAY($BS$27,2)+1)=MONTH($BS$27),$BS$27-WEEKDAY($BS$27,2)+1,"")</f>
        <v/>
      </c>
      <c r="BU29" s="130"/>
      <c r="BV29" s="130"/>
      <c r="BW29" s="130" t="str">
        <f>IF(MONTH($BS$27-WEEKDAY($BS$27,2)+2)=MONTH($BS$27),$BS$27-WEEKDAY($BS$27,2)+2,"")</f>
        <v/>
      </c>
      <c r="BX29" s="130"/>
      <c r="BY29" s="130"/>
      <c r="BZ29" s="130" t="str">
        <f>IF(MONTH($BS$27-WEEKDAY($BS$27,2)+3)=MONTH($BS$27),$BS$27-WEEKDAY($BS$27,2)+3,"")</f>
        <v/>
      </c>
      <c r="CA29" s="130"/>
      <c r="CB29" s="130"/>
      <c r="CC29" s="130" t="str">
        <f>IF(MONTH($BS$27-WEEKDAY($BS$27,2)+4)=MONTH($BS$27),$BS$27-WEEKDAY($BS$27,2)+4,"")</f>
        <v/>
      </c>
      <c r="CD29" s="130"/>
      <c r="CE29" s="130"/>
      <c r="CF29" s="130" t="str">
        <f>IF(MONTH($BS$27-WEEKDAY($BS$27,2)+5)=MONTH($BS$27),$BS$27-WEEKDAY($BS$27,2)+5,"")</f>
        <v/>
      </c>
      <c r="CG29" s="130"/>
      <c r="CH29" s="130"/>
      <c r="CI29" s="130" t="str">
        <f>IF(MONTH($BS$27-WEEKDAY($BS$27,2)+6)=MONTH($BS$27),$BS$27-WEEKDAY($BS$27,2)+6,"")</f>
        <v/>
      </c>
      <c r="CJ29" s="130"/>
      <c r="CK29" s="130"/>
      <c r="CL29" s="130">
        <f>IF(MONTH($BS$27-WEEKDAY($BS$27,2)+7)=MONTH($BS$27),$BS$27-WEEKDAY($BS$27,2)+7,"")</f>
        <v>46600</v>
      </c>
      <c r="CM29" s="130"/>
      <c r="CN29" s="130"/>
    </row>
    <row r="30" ht="10.5" customHeight="1">
      <c r="B30" s="129"/>
      <c r="C30" s="131" t="str">
        <f>IF(ISNUMBER(C29),IF(COUNTIF(JP_StartSel,C29)&gt;0,"S",IF(COUNTIF(Feiertage,C29)&gt;0,"h","")),"")</f>
        <v/>
      </c>
      <c r="D30" s="131" t="str">
        <f>IF(ISNUMBER(C29),IF(COUNTIF(JP_StartInhalt,C29)&gt;0,"I",IF(COUNTIF(Feiertage,C29)&gt;0,"h","")),"")</f>
        <v/>
      </c>
      <c r="E30" s="131" t="str">
        <f>IF(ISNUMBER(C29),IF(COUNTIF(JP_PAL,C29)&gt;0,"P",IF(COUNTIF(Feiertage,C29)&gt;0,"h","")),"")</f>
        <v/>
      </c>
      <c r="F30" s="131" t="str">
        <f>IF(ISNUMBER(F29),IF(COUNTIF(JP_StartSel,F29)&gt;0,"S",IF(COUNTIF(Feiertage,F29)&gt;0,"h","")),"")</f>
        <v/>
      </c>
      <c r="G30" s="131" t="str">
        <f>IF(ISNUMBER(F29),IF(COUNTIF(JP_StartInhalt,F29)&gt;0,"I",IF(COUNTIF(Feiertage,F29)&gt;0,"h","")),"")</f>
        <v/>
      </c>
      <c r="H30" s="131" t="str">
        <f>IF(ISNUMBER(F29),IF(COUNTIF(JP_PAL,F29)&gt;0,"P",IF(COUNTIF(Feiertage,F29)&gt;0,"h","")),"")</f>
        <v/>
      </c>
      <c r="I30" s="131" t="str">
        <f>IF(ISNUMBER(I29),IF(COUNTIF(JP_StartSel,I29)&gt;0,"S",IF(COUNTIF(Feiertage,I29)&gt;0,"h","")),"")</f>
        <v/>
      </c>
      <c r="J30" s="131" t="str">
        <f>IF(ISNUMBER(I29),IF(COUNTIF(JP_StartInhalt,I29)&gt;0,"I",IF(COUNTIF(Feiertage,I29)&gt;0,"h","")),"")</f>
        <v/>
      </c>
      <c r="K30" s="131" t="str">
        <f>IF(ISNUMBER(I29),IF(COUNTIF(JP_PAL,I29)&gt;0,"P",IF(COUNTIF(Feiertage,I29)&gt;0,"h","")),"")</f>
        <v/>
      </c>
      <c r="L30" s="131" t="str">
        <f>IF(ISNUMBER(L29),IF(COUNTIF(JP_StartSel,L29)&gt;0,"S",IF(COUNTIF(Feiertage,L29)&gt;0,"h","")),"")</f>
        <v/>
      </c>
      <c r="M30" s="131" t="str">
        <f>IF(ISNUMBER(L29),IF(COUNTIF(JP_StartInhalt,L29)&gt;0,"I",IF(COUNTIF(Feiertage,L29)&gt;0,"h","")),"")</f>
        <v/>
      </c>
      <c r="N30" s="131" t="str">
        <f>IF(ISNUMBER(L29),IF(COUNTIF(JP_PAL,L29)&gt;0,"P",IF(COUNTIF(Feiertage,L29)&gt;0,"h","")),"")</f>
        <v/>
      </c>
      <c r="O30" s="131" t="str">
        <f>IF(ISNUMBER(O29),IF(COUNTIF(JP_StartSel,O29)&gt;0,"S",IF(COUNTIF(Feiertage,O29)&gt;0,"h","")),"")</f>
        <v/>
      </c>
      <c r="P30" s="131" t="str">
        <f>IF(ISNUMBER(O29),IF(COUNTIF(JP_StartInhalt,O29)&gt;0,"I",IF(COUNTIF(Feiertage,O29)&gt;0,"h","")),"")</f>
        <v/>
      </c>
      <c r="Q30" s="131" t="str">
        <f>IF(ISNUMBER(O29),IF(COUNTIF(JP_PAL,O29)&gt;0,"P",IF(COUNTIF(Feiertage,O29)&gt;0,"h","")),"")</f>
        <v/>
      </c>
      <c r="R30" s="131" t="str">
        <f>IF(ISNUMBER(R29),IF(COUNTIF(JP_StartSel,R29)&gt;0,"S",IF(COUNTIF(Feiertage,R29)&gt;0,"h","w")),"")</f>
        <v>h</v>
      </c>
      <c r="S30" s="131" t="str">
        <f>IF(ISNUMBER(R29),IF(COUNTIF(JP_StartInhalt,R29)&gt;0,"I",IF(COUNTIF(Feiertage,R29)&gt;0,"h","w")),"")</f>
        <v>h</v>
      </c>
      <c r="T30" s="131" t="str">
        <f>IF(ISNUMBER(R29),IF(COUNTIF(JP_PAL,R29)&gt;0,"P",IF(COUNTIF(Feiertage,R29)&gt;0,"h","w")),"")</f>
        <v>h</v>
      </c>
      <c r="U30" s="131" t="str">
        <f>IF(ISNUMBER(U29),IF(COUNTIF(JP_StartSel,U29)&gt;0,"S",IF(COUNTIF(Feiertage,U29)&gt;0,"h","w")),"")</f>
        <v>w</v>
      </c>
      <c r="V30" s="131" t="str">
        <f>IF(ISNUMBER(U29),IF(COUNTIF(JP_StartInhalt,U29)&gt;0,"I",IF(COUNTIF(Feiertage,U29)&gt;0,"h","w")),"")</f>
        <v>w</v>
      </c>
      <c r="W30" s="131" t="str">
        <f>IF(ISNUMBER(U29),IF(COUNTIF(JP_PAL,U29)&gt;0,"P",IF(COUNTIF(Feiertage,U29)&gt;0,"h","w")),"")</f>
        <v>w</v>
      </c>
      <c r="Y30" s="129"/>
      <c r="Z30" s="131" t="str">
        <f>IF(ISNUMBER(Z29),IF(COUNTIF(JP_StartSel,Z29)&gt;0,"S",IF(COUNTIF(Feiertage,Z29)&gt;0,"h","")),"")</f>
        <v/>
      </c>
      <c r="AA30" s="131" t="str">
        <f>IF(ISNUMBER(Z29),IF(COUNTIF(JP_StartInhalt,Z29)&gt;0,"I",IF(COUNTIF(Feiertage,Z29)&gt;0,"h","")),"")</f>
        <v/>
      </c>
      <c r="AB30" s="131" t="str">
        <f>IF(ISNUMBER(Z29),IF(COUNTIF(JP_PAL,Z29)&gt;0,"P",IF(COUNTIF(Feiertage,Z29)&gt;0,"h","")),"")</f>
        <v/>
      </c>
      <c r="AC30" s="131" t="str">
        <f>IF(ISNUMBER(AC29),IF(COUNTIF(JP_StartSel,AC29)&gt;0,"S",IF(COUNTIF(Feiertage,AC29)&gt;0,"h","")),"")</f>
        <v/>
      </c>
      <c r="AD30" s="131" t="str">
        <f>IF(ISNUMBER(AC29),IF(COUNTIF(JP_StartInhalt,AC29)&gt;0,"I",IF(COUNTIF(Feiertage,AC29)&gt;0,"h","")),"")</f>
        <v/>
      </c>
      <c r="AE30" s="131" t="str">
        <f>IF(ISNUMBER(AC29),IF(COUNTIF(JP_PAL,AC29)&gt;0,"P",IF(COUNTIF(Feiertage,AC29)&gt;0,"h","")),"")</f>
        <v/>
      </c>
      <c r="AF30" s="131" t="str">
        <f>IF(ISNUMBER(AF29),IF(COUNTIF(JP_StartSel,AF29)&gt;0,"S",IF(COUNTIF(Feiertage,AF29)&gt;0,"h","")),"")</f>
        <v/>
      </c>
      <c r="AG30" s="131" t="str">
        <f>IF(ISNUMBER(AF29),IF(COUNTIF(JP_StartInhalt,AF29)&gt;0,"I",IF(COUNTIF(Feiertage,AF29)&gt;0,"h","")),"")</f>
        <v/>
      </c>
      <c r="AH30" s="131" t="str">
        <f>IF(ISNUMBER(AF29),IF(COUNTIF(JP_PAL,AF29)&gt;0,"P",IF(COUNTIF(Feiertage,AF29)&gt;0,"h","")),"")</f>
        <v/>
      </c>
      <c r="AI30" s="131" t="str">
        <f>IF(ISNUMBER(AI29),IF(COUNTIF(JP_StartSel,AI29)&gt;0,"S",IF(COUNTIF(Feiertage,AI29)&gt;0,"h","")),"")</f>
        <v/>
      </c>
      <c r="AJ30" s="131" t="str">
        <f>IF(ISNUMBER(AI29),IF(COUNTIF(JP_StartInhalt,AI29)&gt;0,"I",IF(COUNTIF(Feiertage,AI29)&gt;0,"h","")),"")</f>
        <v/>
      </c>
      <c r="AK30" s="131" t="str">
        <f>IF(ISNUMBER(AI29),IF(COUNTIF(JP_PAL,AI29)&gt;0,"P",IF(COUNTIF(Feiertage,AI29)&gt;0,"h","")),"")</f>
        <v/>
      </c>
      <c r="AL30" s="131" t="str">
        <f>IF(ISNUMBER(AL29),IF(COUNTIF(JP_StartSel,AL29)&gt;0,"S",IF(COUNTIF(Feiertage,AL29)&gt;0,"h","")),"")</f>
        <v/>
      </c>
      <c r="AM30" s="131" t="str">
        <f>IF(ISNUMBER(AL29),IF(COUNTIF(JP_StartInhalt,AL29)&gt;0,"I",IF(COUNTIF(Feiertage,AL29)&gt;0,"h","")),"")</f>
        <v/>
      </c>
      <c r="AN30" s="131" t="str">
        <f>IF(ISNUMBER(AL29),IF(COUNTIF(JP_PAL,AL29)&gt;0,"P",IF(COUNTIF(Feiertage,AL29)&gt;0,"h","")),"")</f>
        <v/>
      </c>
      <c r="AO30" s="131" t="str">
        <f>IF(ISNUMBER(AO29),IF(COUNTIF(JP_StartSel,AO29)&gt;0,"S",IF(COUNTIF(Feiertage,AO29)&gt;0,"h","w")),"")</f>
        <v>w</v>
      </c>
      <c r="AP30" s="131" t="str">
        <f>IF(ISNUMBER(AO29),IF(COUNTIF(JP_StartInhalt,AO29)&gt;0,"I",IF(COUNTIF(Feiertage,AO29)&gt;0,"h","w")),"")</f>
        <v>w</v>
      </c>
      <c r="AQ30" s="131" t="str">
        <f>IF(ISNUMBER(AO29),IF(COUNTIF(JP_PAL,AO29)&gt;0,"P",IF(COUNTIF(Feiertage,AO29)&gt;0,"h","w")),"")</f>
        <v>w</v>
      </c>
      <c r="AR30" s="131" t="str">
        <f>IF(ISNUMBER(AR29),IF(COUNTIF(JP_StartSel,AR29)&gt;0,"S",IF(COUNTIF(Feiertage,AR29)&gt;0,"h","w")),"")</f>
        <v>w</v>
      </c>
      <c r="AS30" s="131" t="str">
        <f>IF(ISNUMBER(AR29),IF(COUNTIF(JP_StartInhalt,AR29)&gt;0,"I",IF(COUNTIF(Feiertage,AR29)&gt;0,"h","w")),"")</f>
        <v>w</v>
      </c>
      <c r="AT30" s="131" t="str">
        <f>IF(ISNUMBER(AR29),IF(COUNTIF(JP_PAL,AR29)&gt;0,"P",IF(COUNTIF(Feiertage,AR29)&gt;0,"h","w")),"")</f>
        <v>w</v>
      </c>
      <c r="AV30" s="129"/>
      <c r="AW30" s="131" t="str">
        <f>IF(ISNUMBER(AW29),IF(COUNTIF(JP_StartSel,AW29)&gt;0,"S",IF(COUNTIF(Feiertage,AW29)&gt;0,"h","")),"")</f>
        <v/>
      </c>
      <c r="AX30" s="131" t="str">
        <f>IF(ISNUMBER(AW29),IF(COUNTIF(JP_StartInhalt,AW29)&gt;0,"I",IF(COUNTIF(Feiertage,AW29)&gt;0,"h","")),"")</f>
        <v/>
      </c>
      <c r="AY30" s="131" t="str">
        <f>IF(ISNUMBER(AW29),IF(COUNTIF(JP_PAL,AW29)&gt;0,"P",IF(COUNTIF(Feiertage,AW29)&gt;0,"h","")),"")</f>
        <v/>
      </c>
      <c r="AZ30" s="131" t="str">
        <f>IF(ISNUMBER(AZ29),IF(COUNTIF(JP_StartSel,AZ29)&gt;0,"S",IF(COUNTIF(Feiertage,AZ29)&gt;0,"h","")),"")</f>
        <v/>
      </c>
      <c r="BA30" s="131" t="str">
        <f>IF(ISNUMBER(AZ29),IF(COUNTIF(JP_StartInhalt,AZ29)&gt;0,"I",IF(COUNTIF(Feiertage,AZ29)&gt;0,"h","")),"")</f>
        <v/>
      </c>
      <c r="BB30" s="131" t="str">
        <f>IF(ISNUMBER(AZ29),IF(COUNTIF(JP_PAL,AZ29)&gt;0,"P",IF(COUNTIF(Feiertage,AZ29)&gt;0,"h","")),"")</f>
        <v/>
      </c>
      <c r="BC30" s="131" t="str">
        <f>IF(ISNUMBER(BC29),IF(COUNTIF(JP_StartSel,BC29)&gt;0,"S",IF(COUNTIF(Feiertage,BC29)&gt;0,"h","")),"")</f>
        <v/>
      </c>
      <c r="BD30" s="131" t="str">
        <f>IF(ISNUMBER(BC29),IF(COUNTIF(JP_StartInhalt,BC29)&gt;0,"I",IF(COUNTIF(Feiertage,BC29)&gt;0,"h","")),"")</f>
        <v/>
      </c>
      <c r="BE30" s="131" t="str">
        <f>IF(ISNUMBER(BC29),IF(COUNTIF(JP_PAL,BC29)&gt;0,"P",IF(COUNTIF(Feiertage,BC29)&gt;0,"h","")),"")</f>
        <v/>
      </c>
      <c r="BF30" s="131" t="str">
        <f>IF(ISNUMBER(BF29),IF(COUNTIF(JP_StartSel,BF29)&gt;0,"S",IF(COUNTIF(Feiertage,BF29)&gt;0,"h","")),"")</f>
        <v/>
      </c>
      <c r="BG30" s="131" t="str">
        <f>IF(ISNUMBER(BF29),IF(COUNTIF(JP_StartInhalt,BF29)&gt;0,"I",IF(COUNTIF(Feiertage,BF29)&gt;0,"h","")),"")</f>
        <v/>
      </c>
      <c r="BH30" s="131" t="str">
        <f>IF(ISNUMBER(BF29),IF(COUNTIF(JP_PAL,BF29)&gt;0,"P",IF(COUNTIF(Feiertage,BF29)&gt;0,"h","")),"")</f>
        <v/>
      </c>
      <c r="BI30" s="131" t="str">
        <f>IF(ISNUMBER(BI29),IF(COUNTIF(JP_StartSel,BI29)&gt;0,"S",IF(COUNTIF(Feiertage,BI29)&gt;0,"h","")),"")</f>
        <v/>
      </c>
      <c r="BJ30" s="131" t="str">
        <f>IF(ISNUMBER(BI29),IF(COUNTIF(JP_StartInhalt,BI29)&gt;0,"I",IF(COUNTIF(Feiertage,BI29)&gt;0,"h","")),"")</f>
        <v/>
      </c>
      <c r="BK30" s="131" t="str">
        <f>IF(ISNUMBER(BI29),IF(COUNTIF(JP_PAL,BI29)&gt;0,"P",IF(COUNTIF(Feiertage,BI29)&gt;0,"h","")),"")</f>
        <v/>
      </c>
      <c r="BL30" s="131" t="str">
        <f>IF(ISNUMBER(BL29),IF(COUNTIF(JP_StartSel,BL29)&gt;0,"S",IF(COUNTIF(Feiertage,BL29)&gt;0,"h","w")),"")</f>
        <v>w</v>
      </c>
      <c r="BM30" s="131" t="str">
        <f>IF(ISNUMBER(BL29),IF(COUNTIF(JP_StartInhalt,BL29)&gt;0,"I",IF(COUNTIF(Feiertage,BL29)&gt;0,"h","w")),"")</f>
        <v>w</v>
      </c>
      <c r="BN30" s="131" t="str">
        <f>IF(ISNUMBER(BL29),IF(COUNTIF(JP_PAL,BL29)&gt;0,"P",IF(COUNTIF(Feiertage,BL29)&gt;0,"h","w")),"")</f>
        <v>w</v>
      </c>
      <c r="BO30" s="131" t="str">
        <f>IF(ISNUMBER(BO29),IF(COUNTIF(JP_StartSel,BO29)&gt;0,"S",IF(COUNTIF(Feiertage,BO29)&gt;0,"h","w")),"")</f>
        <v>w</v>
      </c>
      <c r="BP30" s="131" t="str">
        <f>IF(ISNUMBER(BO29),IF(COUNTIF(JP_StartInhalt,BO29)&gt;0,"I",IF(COUNTIF(Feiertage,BO29)&gt;0,"h","w")),"")</f>
        <v>w</v>
      </c>
      <c r="BQ30" s="131" t="str">
        <f>IF(ISNUMBER(BO29),IF(COUNTIF(JP_PAL,BO29)&gt;0,"P",IF(COUNTIF(Feiertage,BO29)&gt;0,"h","w")),"")</f>
        <v>w</v>
      </c>
      <c r="BS30" s="129"/>
      <c r="BT30" s="131" t="str">
        <f>IF(ISNUMBER(BT29),IF(COUNTIF(JP_StartSel,BT29)&gt;0,"S",IF(COUNTIF(Feiertage,BT29)&gt;0,"h","")),"")</f>
        <v/>
      </c>
      <c r="BU30" s="131" t="str">
        <f>IF(ISNUMBER(BT29),IF(COUNTIF(JP_StartInhalt,BT29)&gt;0,"I",IF(COUNTIF(Feiertage,BT29)&gt;0,"h","")),"")</f>
        <v/>
      </c>
      <c r="BV30" s="131" t="str">
        <f>IF(ISNUMBER(BT29),IF(COUNTIF(JP_PAL,BT29)&gt;0,"P",IF(COUNTIF(Feiertage,BT29)&gt;0,"h","")),"")</f>
        <v/>
      </c>
      <c r="BW30" s="131" t="str">
        <f>IF(ISNUMBER(BW29),IF(COUNTIF(JP_StartSel,BW29)&gt;0,"S",IF(COUNTIF(Feiertage,BW29)&gt;0,"h","")),"")</f>
        <v/>
      </c>
      <c r="BX30" s="131" t="str">
        <f>IF(ISNUMBER(BW29),IF(COUNTIF(JP_StartInhalt,BW29)&gt;0,"I",IF(COUNTIF(Feiertage,BW29)&gt;0,"h","")),"")</f>
        <v/>
      </c>
      <c r="BY30" s="131" t="str">
        <f>IF(ISNUMBER(BW29),IF(COUNTIF(JP_PAL,BW29)&gt;0,"P",IF(COUNTIF(Feiertage,BW29)&gt;0,"h","")),"")</f>
        <v/>
      </c>
      <c r="BZ30" s="131" t="str">
        <f>IF(ISNUMBER(BZ29),IF(COUNTIF(JP_StartSel,BZ29)&gt;0,"S",IF(COUNTIF(Feiertage,BZ29)&gt;0,"h","")),"")</f>
        <v/>
      </c>
      <c r="CA30" s="131" t="str">
        <f>IF(ISNUMBER(BZ29),IF(COUNTIF(JP_StartInhalt,BZ29)&gt;0,"I",IF(COUNTIF(Feiertage,BZ29)&gt;0,"h","")),"")</f>
        <v/>
      </c>
      <c r="CB30" s="131" t="str">
        <f>IF(ISNUMBER(BZ29),IF(COUNTIF(JP_PAL,BZ29)&gt;0,"P",IF(COUNTIF(Feiertage,BZ29)&gt;0,"h","")),"")</f>
        <v/>
      </c>
      <c r="CC30" s="131" t="str">
        <f>IF(ISNUMBER(CC29),IF(COUNTIF(JP_StartSel,CC29)&gt;0,"S",IF(COUNTIF(Feiertage,CC29)&gt;0,"h","")),"")</f>
        <v/>
      </c>
      <c r="CD30" s="131" t="str">
        <f>IF(ISNUMBER(CC29),IF(COUNTIF(JP_StartInhalt,CC29)&gt;0,"I",IF(COUNTIF(Feiertage,CC29)&gt;0,"h","")),"")</f>
        <v/>
      </c>
      <c r="CE30" s="131" t="str">
        <f>IF(ISNUMBER(CC29),IF(COUNTIF(JP_PAL,CC29)&gt;0,"P",IF(COUNTIF(Feiertage,CC29)&gt;0,"h","")),"")</f>
        <v/>
      </c>
      <c r="CF30" s="131" t="str">
        <f>IF(ISNUMBER(CF29),IF(COUNTIF(JP_StartSel,CF29)&gt;0,"S",IF(COUNTIF(Feiertage,CF29)&gt;0,"h","")),"")</f>
        <v/>
      </c>
      <c r="CG30" s="131" t="str">
        <f>IF(ISNUMBER(CF29),IF(COUNTIF(JP_StartInhalt,CF29)&gt;0,"I",IF(COUNTIF(Feiertage,CF29)&gt;0,"h","")),"")</f>
        <v/>
      </c>
      <c r="CH30" s="131" t="str">
        <f>IF(ISNUMBER(CF29),IF(COUNTIF(JP_PAL,CF29)&gt;0,"P",IF(COUNTIF(Feiertage,CF29)&gt;0,"h","")),"")</f>
        <v/>
      </c>
      <c r="CI30" s="131" t="str">
        <f>IF(ISNUMBER(CI29),IF(COUNTIF(JP_StartSel,CI29)&gt;0,"S",IF(COUNTIF(Feiertage,CI29)&gt;0,"h","w")),"")</f>
        <v/>
      </c>
      <c r="CJ30" s="131" t="str">
        <f>IF(ISNUMBER(CI29),IF(COUNTIF(JP_StartInhalt,CI29)&gt;0,"I",IF(COUNTIF(Feiertage,CI29)&gt;0,"h","w")),"")</f>
        <v/>
      </c>
      <c r="CK30" s="131" t="str">
        <f>IF(ISNUMBER(CI29),IF(COUNTIF(JP_PAL,CI29)&gt;0,"P",IF(COUNTIF(Feiertage,CI29)&gt;0,"h","w")),"")</f>
        <v/>
      </c>
      <c r="CL30" s="131" t="str">
        <f>IF(ISNUMBER(CL29),IF(COUNTIF(JP_StartSel,CL29)&gt;0,"S",IF(COUNTIF(Feiertage,CL29)&gt;0,"h","w")),"")</f>
        <v>w</v>
      </c>
      <c r="CM30" s="131" t="str">
        <f>IF(ISNUMBER(CL29),IF(COUNTIF(JP_StartInhalt,CL29)&gt;0,"I",IF(COUNTIF(Feiertage,CL29)&gt;0,"h","w")),"")</f>
        <v>w</v>
      </c>
      <c r="CN30" s="131" t="str">
        <f>IF(ISNUMBER(CL29),IF(COUNTIF(JP_PAL,CL29)&gt;0,"P",IF(COUNTIF(Feiertage,CL29)&gt;0,"h","w")),"")</f>
        <v>w</v>
      </c>
    </row>
    <row r="31" ht="16" customHeight="1">
      <c r="B31" s="128">
        <f>IF(OR(ISNUMBER(C31),ISNUMBER(U31)),_xlfn.ISOWEEKNUM($B$27-WEEKDAY($B$27,2)+8),"")</f>
        <v>18</v>
      </c>
      <c r="C31" s="130">
        <f>IF(MONTH($B$27-WEEKDAY($B$27,2)+8)=MONTH($B$27),$B$27-WEEKDAY($B$27,2)+8,"")</f>
        <v>46510</v>
      </c>
      <c r="D31" s="130"/>
      <c r="E31" s="130"/>
      <c r="F31" s="130">
        <f>IF(MONTH($B$27-WEEKDAY($B$27,2)+9)=MONTH($B$27),$B$27-WEEKDAY($B$27,2)+9,"")</f>
        <v>46511</v>
      </c>
      <c r="G31" s="130"/>
      <c r="H31" s="130"/>
      <c r="I31" s="130">
        <f>IF(MONTH($B$27-WEEKDAY($B$27,2)+10)=MONTH($B$27),$B$27-WEEKDAY($B$27,2)+10,"")</f>
        <v>46512</v>
      </c>
      <c r="J31" s="130"/>
      <c r="K31" s="130"/>
      <c r="L31" s="130">
        <f>IF(MONTH($B$27-WEEKDAY($B$27,2)+11)=MONTH($B$27),$B$27-WEEKDAY($B$27,2)+11,"")</f>
        <v>46513</v>
      </c>
      <c r="M31" s="130"/>
      <c r="N31" s="130"/>
      <c r="O31" s="130">
        <f>IF(MONTH($B$27-WEEKDAY($B$27,2)+12)=MONTH($B$27),$B$27-WEEKDAY($B$27,2)+12,"")</f>
        <v>46514</v>
      </c>
      <c r="P31" s="130"/>
      <c r="Q31" s="130"/>
      <c r="R31" s="130">
        <f>IF(MONTH($B$27-WEEKDAY($B$27,2)+13)=MONTH($B$27),$B$27-WEEKDAY($B$27,2)+13,"")</f>
        <v>46515</v>
      </c>
      <c r="S31" s="130"/>
      <c r="T31" s="130"/>
      <c r="U31" s="130">
        <f>IF(MONTH($B$27-WEEKDAY($B$27,2)+14)=MONTH($B$27),$B$27-WEEKDAY($B$27,2)+14,"")</f>
        <v>46516</v>
      </c>
      <c r="V31" s="130"/>
      <c r="W31" s="130"/>
      <c r="Y31" s="128">
        <f>IF(OR(ISNUMBER(Z31),ISNUMBER(AR31)),_xlfn.ISOWEEKNUM($Y$27-WEEKDAY($Y$27,2)+8),"")</f>
        <v>23</v>
      </c>
      <c r="Z31" s="130">
        <f>IF(MONTH($Y$27-WEEKDAY($Y$27,2)+8)=MONTH($Y$27),$Y$27-WEEKDAY($Y$27,2)+8,"")</f>
        <v>46545</v>
      </c>
      <c r="AA31" s="130"/>
      <c r="AB31" s="130"/>
      <c r="AC31" s="130">
        <f>IF(MONTH($Y$27-WEEKDAY($Y$27,2)+9)=MONTH($Y$27),$Y$27-WEEKDAY($Y$27,2)+9,"")</f>
        <v>46546</v>
      </c>
      <c r="AD31" s="130"/>
      <c r="AE31" s="130"/>
      <c r="AF31" s="130">
        <f>IF(MONTH($Y$27-WEEKDAY($Y$27,2)+10)=MONTH($Y$27),$Y$27-WEEKDAY($Y$27,2)+10,"")</f>
        <v>46547</v>
      </c>
      <c r="AG31" s="130"/>
      <c r="AH31" s="130"/>
      <c r="AI31" s="130">
        <f>IF(MONTH($Y$27-WEEKDAY($Y$27,2)+11)=MONTH($Y$27),$Y$27-WEEKDAY($Y$27,2)+11,"")</f>
        <v>46548</v>
      </c>
      <c r="AJ31" s="130"/>
      <c r="AK31" s="130"/>
      <c r="AL31" s="130">
        <f>IF(MONTH($Y$27-WEEKDAY($Y$27,2)+12)=MONTH($Y$27),$Y$27-WEEKDAY($Y$27,2)+12,"")</f>
        <v>46549</v>
      </c>
      <c r="AM31" s="130"/>
      <c r="AN31" s="130"/>
      <c r="AO31" s="130">
        <f>IF(MONTH($Y$27-WEEKDAY($Y$27,2)+13)=MONTH($Y$27),$Y$27-WEEKDAY($Y$27,2)+13,"")</f>
        <v>46550</v>
      </c>
      <c r="AP31" s="130"/>
      <c r="AQ31" s="130"/>
      <c r="AR31" s="130">
        <f>IF(MONTH($Y$27-WEEKDAY($Y$27,2)+14)=MONTH($Y$27),$Y$27-WEEKDAY($Y$27,2)+14,"")</f>
        <v>46551</v>
      </c>
      <c r="AS31" s="130"/>
      <c r="AT31" s="130"/>
      <c r="AV31" s="128">
        <f>IF(OR(ISNUMBER(AW31),ISNUMBER(BO31)),_xlfn.ISOWEEKNUM($AV$27-WEEKDAY($AV$27,2)+8),"")</f>
        <v>27</v>
      </c>
      <c r="AW31" s="130">
        <f>IF(MONTH($AV$27-WEEKDAY($AV$27,2)+8)=MONTH($AV$27),$AV$27-WEEKDAY($AV$27,2)+8,"")</f>
        <v>46573</v>
      </c>
      <c r="AX31" s="130"/>
      <c r="AY31" s="130"/>
      <c r="AZ31" s="130">
        <f>IF(MONTH($AV$27-WEEKDAY($AV$27,2)+9)=MONTH($AV$27),$AV$27-WEEKDAY($AV$27,2)+9,"")</f>
        <v>46574</v>
      </c>
      <c r="BA31" s="130"/>
      <c r="BB31" s="130"/>
      <c r="BC31" s="130">
        <f>IF(MONTH($AV$27-WEEKDAY($AV$27,2)+10)=MONTH($AV$27),$AV$27-WEEKDAY($AV$27,2)+10,"")</f>
        <v>46575</v>
      </c>
      <c r="BD31" s="130"/>
      <c r="BE31" s="130"/>
      <c r="BF31" s="130">
        <f>IF(MONTH($AV$27-WEEKDAY($AV$27,2)+11)=MONTH($AV$27),$AV$27-WEEKDAY($AV$27,2)+11,"")</f>
        <v>46576</v>
      </c>
      <c r="BG31" s="130"/>
      <c r="BH31" s="130"/>
      <c r="BI31" s="130">
        <f>IF(MONTH($AV$27-WEEKDAY($AV$27,2)+12)=MONTH($AV$27),$AV$27-WEEKDAY($AV$27,2)+12,"")</f>
        <v>46577</v>
      </c>
      <c r="BJ31" s="130"/>
      <c r="BK31" s="130"/>
      <c r="BL31" s="130">
        <f>IF(MONTH($AV$27-WEEKDAY($AV$27,2)+13)=MONTH($AV$27),$AV$27-WEEKDAY($AV$27,2)+13,"")</f>
        <v>46578</v>
      </c>
      <c r="BM31" s="130"/>
      <c r="BN31" s="130"/>
      <c r="BO31" s="130">
        <f>IF(MONTH($AV$27-WEEKDAY($AV$27,2)+14)=MONTH($AV$27),$AV$27-WEEKDAY($AV$27,2)+14,"")</f>
        <v>46579</v>
      </c>
      <c r="BP31" s="130"/>
      <c r="BQ31" s="130"/>
      <c r="BS31" s="128">
        <f>IF(OR(ISNUMBER(BT31),ISNUMBER(CL31)),_xlfn.ISOWEEKNUM($BS$27-WEEKDAY($BS$27,2)+8),"")</f>
        <v>31</v>
      </c>
      <c r="BT31" s="130">
        <f>IF(MONTH($BS$27-WEEKDAY($BS$27,2)+8)=MONTH($BS$27),$BS$27-WEEKDAY($BS$27,2)+8,"")</f>
        <v>46601</v>
      </c>
      <c r="BU31" s="130"/>
      <c r="BV31" s="130"/>
      <c r="BW31" s="130">
        <f>IF(MONTH($BS$27-WEEKDAY($BS$27,2)+9)=MONTH($BS$27),$BS$27-WEEKDAY($BS$27,2)+9,"")</f>
        <v>46602</v>
      </c>
      <c r="BX31" s="130"/>
      <c r="BY31" s="130"/>
      <c r="BZ31" s="130">
        <f>IF(MONTH($BS$27-WEEKDAY($BS$27,2)+10)=MONTH($BS$27),$BS$27-WEEKDAY($BS$27,2)+10,"")</f>
        <v>46603</v>
      </c>
      <c r="CA31" s="130"/>
      <c r="CB31" s="130"/>
      <c r="CC31" s="130">
        <f>IF(MONTH($BS$27-WEEKDAY($BS$27,2)+11)=MONTH($BS$27),$BS$27-WEEKDAY($BS$27,2)+11,"")</f>
        <v>46604</v>
      </c>
      <c r="CD31" s="130"/>
      <c r="CE31" s="130"/>
      <c r="CF31" s="130">
        <f>IF(MONTH($BS$27-WEEKDAY($BS$27,2)+12)=MONTH($BS$27),$BS$27-WEEKDAY($BS$27,2)+12,"")</f>
        <v>46605</v>
      </c>
      <c r="CG31" s="130"/>
      <c r="CH31" s="130"/>
      <c r="CI31" s="130">
        <f>IF(MONTH($BS$27-WEEKDAY($BS$27,2)+13)=MONTH($BS$27),$BS$27-WEEKDAY($BS$27,2)+13,"")</f>
        <v>46606</v>
      </c>
      <c r="CJ31" s="130"/>
      <c r="CK31" s="130"/>
      <c r="CL31" s="130">
        <f>IF(MONTH($BS$27-WEEKDAY($BS$27,2)+14)=MONTH($BS$27),$BS$27-WEEKDAY($BS$27,2)+14,"")</f>
        <v>46607</v>
      </c>
      <c r="CM31" s="130"/>
      <c r="CN31" s="130"/>
    </row>
    <row r="32" ht="10.5" customHeight="1">
      <c r="B32" s="129"/>
      <c r="C32" s="131" t="str">
        <f>IF(ISNUMBER(C31),IF(COUNTIF(JP_StartSel,C31)&gt;0,"S",IF(COUNTIF(Feiertage,C31)&gt;0,"h","")),"")</f>
        <v/>
      </c>
      <c r="D32" s="131" t="str">
        <f>IF(ISNUMBER(C31),IF(COUNTIF(JP_StartInhalt,C31)&gt;0,"I",IF(COUNTIF(Feiertage,C31)&gt;0,"h","")),"")</f>
        <v/>
      </c>
      <c r="E32" s="131" t="str">
        <f>IF(ISNUMBER(C31),IF(COUNTIF(JP_PAL,C31)&gt;0,"P",IF(COUNTIF(Feiertage,C31)&gt;0,"h","")),"")</f>
        <v/>
      </c>
      <c r="F32" s="131" t="str">
        <f>IF(ISNUMBER(F31),IF(COUNTIF(JP_StartSel,F31)&gt;0,"S",IF(COUNTIF(Feiertage,F31)&gt;0,"h","")),"")</f>
        <v/>
      </c>
      <c r="G32" s="131" t="str">
        <f>IF(ISNUMBER(F31),IF(COUNTIF(JP_StartInhalt,F31)&gt;0,"I",IF(COUNTIF(Feiertage,F31)&gt;0,"h","")),"")</f>
        <v/>
      </c>
      <c r="H32" s="131" t="str">
        <f>IF(ISNUMBER(F31),IF(COUNTIF(JP_PAL,F31)&gt;0,"P",IF(COUNTIF(Feiertage,F31)&gt;0,"h","")),"")</f>
        <v/>
      </c>
      <c r="I32" s="131" t="str">
        <f>IF(ISNUMBER(I31),IF(COUNTIF(JP_StartSel,I31)&gt;0,"S",IF(COUNTIF(Feiertage,I31)&gt;0,"h","")),"")</f>
        <v/>
      </c>
      <c r="J32" s="131" t="str">
        <f>IF(ISNUMBER(I31),IF(COUNTIF(JP_StartInhalt,I31)&gt;0,"I",IF(COUNTIF(Feiertage,I31)&gt;0,"h","")),"")</f>
        <v/>
      </c>
      <c r="K32" s="131" t="str">
        <f>IF(ISNUMBER(I31),IF(COUNTIF(JP_PAL,I31)&gt;0,"P",IF(COUNTIF(Feiertage,I31)&gt;0,"h","")),"")</f>
        <v/>
      </c>
      <c r="L32" s="131" t="str">
        <f>IF(ISNUMBER(L31),IF(COUNTIF(JP_StartSel,L31)&gt;0,"S",IF(COUNTIF(Feiertage,L31)&gt;0,"h","")),"")</f>
        <v>h</v>
      </c>
      <c r="M32" s="131" t="str">
        <f>IF(ISNUMBER(L31),IF(COUNTIF(JP_StartInhalt,L31)&gt;0,"I",IF(COUNTIF(Feiertage,L31)&gt;0,"h","")),"")</f>
        <v>h</v>
      </c>
      <c r="N32" s="131" t="str">
        <f>IF(ISNUMBER(L31),IF(COUNTIF(JP_PAL,L31)&gt;0,"P",IF(COUNTIF(Feiertage,L31)&gt;0,"h","")),"")</f>
        <v>h</v>
      </c>
      <c r="O32" s="131" t="str">
        <f>IF(ISNUMBER(O31),IF(COUNTIF(JP_StartSel,O31)&gt;0,"S",IF(COUNTIF(Feiertage,O31)&gt;0,"h","")),"")</f>
        <v/>
      </c>
      <c r="P32" s="131" t="str">
        <f>IF(ISNUMBER(O31),IF(COUNTIF(JP_StartInhalt,O31)&gt;0,"I",IF(COUNTIF(Feiertage,O31)&gt;0,"h","")),"")</f>
        <v/>
      </c>
      <c r="Q32" s="131" t="str">
        <f>IF(ISNUMBER(O31),IF(COUNTIF(JP_PAL,O31)&gt;0,"P",IF(COUNTIF(Feiertage,O31)&gt;0,"h","")),"")</f>
        <v/>
      </c>
      <c r="R32" s="131" t="str">
        <f>IF(ISNUMBER(R31),IF(COUNTIF(JP_StartSel,R31)&gt;0,"S",IF(COUNTIF(Feiertage,R31)&gt;0,"h","w")),"")</f>
        <v>w</v>
      </c>
      <c r="S32" s="131" t="str">
        <f>IF(ISNUMBER(R31),IF(COUNTIF(JP_StartInhalt,R31)&gt;0,"I",IF(COUNTIF(Feiertage,R31)&gt;0,"h","w")),"")</f>
        <v>w</v>
      </c>
      <c r="T32" s="131" t="str">
        <f>IF(ISNUMBER(R31),IF(COUNTIF(JP_PAL,R31)&gt;0,"P",IF(COUNTIF(Feiertage,R31)&gt;0,"h","w")),"")</f>
        <v>w</v>
      </c>
      <c r="U32" s="131" t="str">
        <f>IF(ISNUMBER(U31),IF(COUNTIF(JP_StartSel,U31)&gt;0,"S",IF(COUNTIF(Feiertage,U31)&gt;0,"h","w")),"")</f>
        <v>w</v>
      </c>
      <c r="V32" s="131" t="str">
        <f>IF(ISNUMBER(U31),IF(COUNTIF(JP_StartInhalt,U31)&gt;0,"I",IF(COUNTIF(Feiertage,U31)&gt;0,"h","w")),"")</f>
        <v>w</v>
      </c>
      <c r="W32" s="131" t="str">
        <f>IF(ISNUMBER(U31),IF(COUNTIF(JP_PAL,U31)&gt;0,"P",IF(COUNTIF(Feiertage,U31)&gt;0,"h","w")),"")</f>
        <v>w</v>
      </c>
      <c r="Y32" s="129"/>
      <c r="Z32" s="131" t="str">
        <f>IF(ISNUMBER(Z31),IF(COUNTIF(JP_StartSel,Z31)&gt;0,"S",IF(COUNTIF(Feiertage,Z31)&gt;0,"h","")),"")</f>
        <v/>
      </c>
      <c r="AA32" s="131" t="str">
        <f>IF(ISNUMBER(Z31),IF(COUNTIF(JP_StartInhalt,Z31)&gt;0,"I",IF(COUNTIF(Feiertage,Z31)&gt;0,"h","")),"")</f>
        <v/>
      </c>
      <c r="AB32" s="131" t="str">
        <f>IF(ISNUMBER(Z31),IF(COUNTIF(JP_PAL,Z31)&gt;0,"P",IF(COUNTIF(Feiertage,Z31)&gt;0,"h","")),"")</f>
        <v/>
      </c>
      <c r="AC32" s="131" t="str">
        <f>IF(ISNUMBER(AC31),IF(COUNTIF(JP_StartSel,AC31)&gt;0,"S",IF(COUNTIF(Feiertage,AC31)&gt;0,"h","")),"")</f>
        <v/>
      </c>
      <c r="AD32" s="131" t="str">
        <f>IF(ISNUMBER(AC31),IF(COUNTIF(JP_StartInhalt,AC31)&gt;0,"I",IF(COUNTIF(Feiertage,AC31)&gt;0,"h","")),"")</f>
        <v/>
      </c>
      <c r="AE32" s="131" t="str">
        <f>IF(ISNUMBER(AC31),IF(COUNTIF(JP_PAL,AC31)&gt;0,"P",IF(COUNTIF(Feiertage,AC31)&gt;0,"h","")),"")</f>
        <v/>
      </c>
      <c r="AF32" s="131" t="str">
        <f>IF(ISNUMBER(AF31),IF(COUNTIF(JP_StartSel,AF31)&gt;0,"S",IF(COUNTIF(Feiertage,AF31)&gt;0,"h","")),"")</f>
        <v/>
      </c>
      <c r="AG32" s="131" t="str">
        <f>IF(ISNUMBER(AF31),IF(COUNTIF(JP_StartInhalt,AF31)&gt;0,"I",IF(COUNTIF(Feiertage,AF31)&gt;0,"h","")),"")</f>
        <v/>
      </c>
      <c r="AH32" s="131" t="str">
        <f>IF(ISNUMBER(AF31),IF(COUNTIF(JP_PAL,AF31)&gt;0,"P",IF(COUNTIF(Feiertage,AF31)&gt;0,"h","")),"")</f>
        <v/>
      </c>
      <c r="AI32" s="131" t="str">
        <f>IF(ISNUMBER(AI31),IF(COUNTIF(JP_StartSel,AI31)&gt;0,"S",IF(COUNTIF(Feiertage,AI31)&gt;0,"h","")),"")</f>
        <v/>
      </c>
      <c r="AJ32" s="131" t="str">
        <f>IF(ISNUMBER(AI31),IF(COUNTIF(JP_StartInhalt,AI31)&gt;0,"I",IF(COUNTIF(Feiertage,AI31)&gt;0,"h","")),"")</f>
        <v/>
      </c>
      <c r="AK32" s="131" t="str">
        <f>IF(ISNUMBER(AI31),IF(COUNTIF(JP_PAL,AI31)&gt;0,"P",IF(COUNTIF(Feiertage,AI31)&gt;0,"h","")),"")</f>
        <v/>
      </c>
      <c r="AL32" s="131" t="str">
        <f>IF(ISNUMBER(AL31),IF(COUNTIF(JP_StartSel,AL31)&gt;0,"S",IF(COUNTIF(Feiertage,AL31)&gt;0,"h","")),"")</f>
        <v/>
      </c>
      <c r="AM32" s="131" t="str">
        <f>IF(ISNUMBER(AL31),IF(COUNTIF(JP_StartInhalt,AL31)&gt;0,"I",IF(COUNTIF(Feiertage,AL31)&gt;0,"h","")),"")</f>
        <v/>
      </c>
      <c r="AN32" s="131" t="str">
        <f>IF(ISNUMBER(AL31),IF(COUNTIF(JP_PAL,AL31)&gt;0,"P",IF(COUNTIF(Feiertage,AL31)&gt;0,"h","")),"")</f>
        <v/>
      </c>
      <c r="AO32" s="131" t="str">
        <f>IF(ISNUMBER(AO31),IF(COUNTIF(JP_StartSel,AO31)&gt;0,"S",IF(COUNTIF(Feiertage,AO31)&gt;0,"h","w")),"")</f>
        <v>S</v>
      </c>
      <c r="AP32" s="131" t="str">
        <f>IF(ISNUMBER(AO31),IF(COUNTIF(JP_StartInhalt,AO31)&gt;0,"I",IF(COUNTIF(Feiertage,AO31)&gt;0,"h","w")),"")</f>
        <v>w</v>
      </c>
      <c r="AQ32" s="131" t="str">
        <f>IF(ISNUMBER(AO31),IF(COUNTIF(JP_PAL,AO31)&gt;0,"P",IF(COUNTIF(Feiertage,AO31)&gt;0,"h","w")),"")</f>
        <v>w</v>
      </c>
      <c r="AR32" s="131" t="str">
        <f>IF(ISNUMBER(AR31),IF(COUNTIF(JP_StartSel,AR31)&gt;0,"S",IF(COUNTIF(Feiertage,AR31)&gt;0,"h","w")),"")</f>
        <v>w</v>
      </c>
      <c r="AS32" s="131" t="str">
        <f>IF(ISNUMBER(AR31),IF(COUNTIF(JP_StartInhalt,AR31)&gt;0,"I",IF(COUNTIF(Feiertage,AR31)&gt;0,"h","w")),"")</f>
        <v>w</v>
      </c>
      <c r="AT32" s="131" t="str">
        <f>IF(ISNUMBER(AR31),IF(COUNTIF(JP_PAL,AR31)&gt;0,"P",IF(COUNTIF(Feiertage,AR31)&gt;0,"h","w")),"")</f>
        <v>w</v>
      </c>
      <c r="AV32" s="129"/>
      <c r="AW32" s="131" t="str">
        <f>IF(ISNUMBER(AW31),IF(COUNTIF(JP_StartSel,AW31)&gt;0,"S",IF(COUNTIF(Feiertage,AW31)&gt;0,"h","")),"")</f>
        <v/>
      </c>
      <c r="AX32" s="131" t="str">
        <f>IF(ISNUMBER(AW31),IF(COUNTIF(JP_StartInhalt,AW31)&gt;0,"I",IF(COUNTIF(Feiertage,AW31)&gt;0,"h","")),"")</f>
        <v/>
      </c>
      <c r="AY32" s="131" t="str">
        <f>IF(ISNUMBER(AW31),IF(COUNTIF(JP_PAL,AW31)&gt;0,"P",IF(COUNTIF(Feiertage,AW31)&gt;0,"h","")),"")</f>
        <v/>
      </c>
      <c r="AZ32" s="131" t="str">
        <f>IF(ISNUMBER(AZ31),IF(COUNTIF(JP_StartSel,AZ31)&gt;0,"S",IF(COUNTIF(Feiertage,AZ31)&gt;0,"h","")),"")</f>
        <v/>
      </c>
      <c r="BA32" s="131" t="str">
        <f>IF(ISNUMBER(AZ31),IF(COUNTIF(JP_StartInhalt,AZ31)&gt;0,"I",IF(COUNTIF(Feiertage,AZ31)&gt;0,"h","")),"")</f>
        <v/>
      </c>
      <c r="BB32" s="131" t="str">
        <f>IF(ISNUMBER(AZ31),IF(COUNTIF(JP_PAL,AZ31)&gt;0,"P",IF(COUNTIF(Feiertage,AZ31)&gt;0,"h","")),"")</f>
        <v/>
      </c>
      <c r="BC32" s="131" t="str">
        <f>IF(ISNUMBER(BC31),IF(COUNTIF(JP_StartSel,BC31)&gt;0,"S",IF(COUNTIF(Feiertage,BC31)&gt;0,"h","")),"")</f>
        <v/>
      </c>
      <c r="BD32" s="131" t="str">
        <f>IF(ISNUMBER(BC31),IF(COUNTIF(JP_StartInhalt,BC31)&gt;0,"I",IF(COUNTIF(Feiertage,BC31)&gt;0,"h","")),"")</f>
        <v/>
      </c>
      <c r="BE32" s="131" t="str">
        <f>IF(ISNUMBER(BC31),IF(COUNTIF(JP_PAL,BC31)&gt;0,"P",IF(COUNTIF(Feiertage,BC31)&gt;0,"h","")),"")</f>
        <v/>
      </c>
      <c r="BF32" s="131" t="str">
        <f>IF(ISNUMBER(BF31),IF(COUNTIF(JP_StartSel,BF31)&gt;0,"S",IF(COUNTIF(Feiertage,BF31)&gt;0,"h","")),"")</f>
        <v/>
      </c>
      <c r="BG32" s="131" t="str">
        <f>IF(ISNUMBER(BF31),IF(COUNTIF(JP_StartInhalt,BF31)&gt;0,"I",IF(COUNTIF(Feiertage,BF31)&gt;0,"h","")),"")</f>
        <v/>
      </c>
      <c r="BH32" s="131" t="str">
        <f>IF(ISNUMBER(BF31),IF(COUNTIF(JP_PAL,BF31)&gt;0,"P",IF(COUNTIF(Feiertage,BF31)&gt;0,"h","")),"")</f>
        <v/>
      </c>
      <c r="BI32" s="131" t="str">
        <f>IF(ISNUMBER(BI31),IF(COUNTIF(JP_StartSel,BI31)&gt;0,"S",IF(COUNTIF(Feiertage,BI31)&gt;0,"h","")),"")</f>
        <v/>
      </c>
      <c r="BJ32" s="131" t="str">
        <f>IF(ISNUMBER(BI31),IF(COUNTIF(JP_StartInhalt,BI31)&gt;0,"I",IF(COUNTIF(Feiertage,BI31)&gt;0,"h","")),"")</f>
        <v/>
      </c>
      <c r="BK32" s="131" t="str">
        <f>IF(ISNUMBER(BI31),IF(COUNTIF(JP_PAL,BI31)&gt;0,"P",IF(COUNTIF(Feiertage,BI31)&gt;0,"h","")),"")</f>
        <v/>
      </c>
      <c r="BL32" s="131" t="str">
        <f>IF(ISNUMBER(BL31),IF(COUNTIF(JP_StartSel,BL31)&gt;0,"S",IF(COUNTIF(Feiertage,BL31)&gt;0,"h","w")),"")</f>
        <v>S</v>
      </c>
      <c r="BM32" s="131" t="str">
        <f>IF(ISNUMBER(BL31),IF(COUNTIF(JP_StartInhalt,BL31)&gt;0,"I",IF(COUNTIF(Feiertage,BL31)&gt;0,"h","w")),"")</f>
        <v>w</v>
      </c>
      <c r="BN32" s="131" t="str">
        <f>IF(ISNUMBER(BL31),IF(COUNTIF(JP_PAL,BL31)&gt;0,"P",IF(COUNTIF(Feiertage,BL31)&gt;0,"h","w")),"")</f>
        <v>w</v>
      </c>
      <c r="BO32" s="131" t="str">
        <f>IF(ISNUMBER(BO31),IF(COUNTIF(JP_StartSel,BO31)&gt;0,"S",IF(COUNTIF(Feiertage,BO31)&gt;0,"h","w")),"")</f>
        <v>w</v>
      </c>
      <c r="BP32" s="131" t="str">
        <f>IF(ISNUMBER(BO31),IF(COUNTIF(JP_StartInhalt,BO31)&gt;0,"I",IF(COUNTIF(Feiertage,BO31)&gt;0,"h","w")),"")</f>
        <v>w</v>
      </c>
      <c r="BQ32" s="131" t="str">
        <f>IF(ISNUMBER(BO31),IF(COUNTIF(JP_PAL,BO31)&gt;0,"P",IF(COUNTIF(Feiertage,BO31)&gt;0,"h","w")),"")</f>
        <v>w</v>
      </c>
      <c r="BS32" s="129"/>
      <c r="BT32" s="131" t="str">
        <f>IF(ISNUMBER(BT31),IF(COUNTIF(JP_StartSel,BT31)&gt;0,"S",IF(COUNTIF(Feiertage,BT31)&gt;0,"h","")),"")</f>
        <v/>
      </c>
      <c r="BU32" s="131" t="str">
        <f>IF(ISNUMBER(BT31),IF(COUNTIF(JP_StartInhalt,BT31)&gt;0,"I",IF(COUNTIF(Feiertage,BT31)&gt;0,"h","")),"")</f>
        <v/>
      </c>
      <c r="BV32" s="131" t="str">
        <f>IF(ISNUMBER(BT31),IF(COUNTIF(JP_PAL,BT31)&gt;0,"P",IF(COUNTIF(Feiertage,BT31)&gt;0,"h","")),"")</f>
        <v/>
      </c>
      <c r="BW32" s="131" t="str">
        <f>IF(ISNUMBER(BW31),IF(COUNTIF(JP_StartSel,BW31)&gt;0,"S",IF(COUNTIF(Feiertage,BW31)&gt;0,"h","")),"")</f>
        <v/>
      </c>
      <c r="BX32" s="131" t="str">
        <f>IF(ISNUMBER(BW31),IF(COUNTIF(JP_StartInhalt,BW31)&gt;0,"I",IF(COUNTIF(Feiertage,BW31)&gt;0,"h","")),"")</f>
        <v/>
      </c>
      <c r="BY32" s="131" t="str">
        <f>IF(ISNUMBER(BW31),IF(COUNTIF(JP_PAL,BW31)&gt;0,"P",IF(COUNTIF(Feiertage,BW31)&gt;0,"h","")),"")</f>
        <v/>
      </c>
      <c r="BZ32" s="131" t="str">
        <f>IF(ISNUMBER(BZ31),IF(COUNTIF(JP_StartSel,BZ31)&gt;0,"S",IF(COUNTIF(Feiertage,BZ31)&gt;0,"h","")),"")</f>
        <v/>
      </c>
      <c r="CA32" s="131" t="str">
        <f>IF(ISNUMBER(BZ31),IF(COUNTIF(JP_StartInhalt,BZ31)&gt;0,"I",IF(COUNTIF(Feiertage,BZ31)&gt;0,"h","")),"")</f>
        <v/>
      </c>
      <c r="CB32" s="131" t="str">
        <f>IF(ISNUMBER(BZ31),IF(COUNTIF(JP_PAL,BZ31)&gt;0,"P",IF(COUNTIF(Feiertage,BZ31)&gt;0,"h","")),"")</f>
        <v/>
      </c>
      <c r="CC32" s="131" t="str">
        <f>IF(ISNUMBER(CC31),IF(COUNTIF(JP_StartSel,CC31)&gt;0,"S",IF(COUNTIF(Feiertage,CC31)&gt;0,"h","")),"")</f>
        <v/>
      </c>
      <c r="CD32" s="131" t="str">
        <f>IF(ISNUMBER(CC31),IF(COUNTIF(JP_StartInhalt,CC31)&gt;0,"I",IF(COUNTIF(Feiertage,CC31)&gt;0,"h","")),"")</f>
        <v/>
      </c>
      <c r="CE32" s="131" t="str">
        <f>IF(ISNUMBER(CC31),IF(COUNTIF(JP_PAL,CC31)&gt;0,"P",IF(COUNTIF(Feiertage,CC31)&gt;0,"h","")),"")</f>
        <v/>
      </c>
      <c r="CF32" s="131" t="str">
        <f>IF(ISNUMBER(CF31),IF(COUNTIF(JP_StartSel,CF31)&gt;0,"S",IF(COUNTIF(Feiertage,CF31)&gt;0,"h","")),"")</f>
        <v/>
      </c>
      <c r="CG32" s="131" t="str">
        <f>IF(ISNUMBER(CF31),IF(COUNTIF(JP_StartInhalt,CF31)&gt;0,"I",IF(COUNTIF(Feiertage,CF31)&gt;0,"h","")),"")</f>
        <v/>
      </c>
      <c r="CH32" s="131" t="str">
        <f>IF(ISNUMBER(CF31),IF(COUNTIF(JP_PAL,CF31)&gt;0,"P",IF(COUNTIF(Feiertage,CF31)&gt;0,"h","")),"")</f>
        <v/>
      </c>
      <c r="CI32" s="131" t="str">
        <f>IF(ISNUMBER(CI31),IF(COUNTIF(JP_StartSel,CI31)&gt;0,"S",IF(COUNTIF(Feiertage,CI31)&gt;0,"h","w")),"")</f>
        <v>S</v>
      </c>
      <c r="CJ32" s="131" t="str">
        <f>IF(ISNUMBER(CI31),IF(COUNTIF(JP_StartInhalt,CI31)&gt;0,"I",IF(COUNTIF(Feiertage,CI31)&gt;0,"h","w")),"")</f>
        <v>w</v>
      </c>
      <c r="CK32" s="131" t="str">
        <f>IF(ISNUMBER(CI31),IF(COUNTIF(JP_PAL,CI31)&gt;0,"P",IF(COUNTIF(Feiertage,CI31)&gt;0,"h","w")),"")</f>
        <v>w</v>
      </c>
      <c r="CL32" s="131" t="str">
        <f>IF(ISNUMBER(CL31),IF(COUNTIF(JP_StartSel,CL31)&gt;0,"S",IF(COUNTIF(Feiertage,CL31)&gt;0,"h","w")),"")</f>
        <v>w</v>
      </c>
      <c r="CM32" s="131" t="str">
        <f>IF(ISNUMBER(CL31),IF(COUNTIF(JP_StartInhalt,CL31)&gt;0,"I",IF(COUNTIF(Feiertage,CL31)&gt;0,"h","w")),"")</f>
        <v>w</v>
      </c>
      <c r="CN32" s="131" t="str">
        <f>IF(ISNUMBER(CL31),IF(COUNTIF(JP_PAL,CL31)&gt;0,"P",IF(COUNTIF(Feiertage,CL31)&gt;0,"h","w")),"")</f>
        <v>w</v>
      </c>
    </row>
    <row r="33" ht="16" customHeight="1">
      <c r="B33" s="128">
        <f>IF(OR(ISNUMBER(C33),ISNUMBER(U33)),_xlfn.ISOWEEKNUM($B$27-WEEKDAY($B$27,2)+15),"")</f>
        <v>19</v>
      </c>
      <c r="C33" s="130">
        <f>IF(MONTH($B$27-WEEKDAY($B$27,2)+15)=MONTH($B$27),$B$27-WEEKDAY($B$27,2)+15,"")</f>
        <v>46517</v>
      </c>
      <c r="D33" s="130"/>
      <c r="E33" s="130"/>
      <c r="F33" s="130">
        <f>IF(MONTH($B$27-WEEKDAY($B$27,2)+16)=MONTH($B$27),$B$27-WEEKDAY($B$27,2)+16,"")</f>
        <v>46518</v>
      </c>
      <c r="G33" s="130"/>
      <c r="H33" s="130"/>
      <c r="I33" s="130">
        <f>IF(MONTH($B$27-WEEKDAY($B$27,2)+17)=MONTH($B$27),$B$27-WEEKDAY($B$27,2)+17,"")</f>
        <v>46519</v>
      </c>
      <c r="J33" s="130"/>
      <c r="K33" s="130"/>
      <c r="L33" s="130">
        <f>IF(MONTH($B$27-WEEKDAY($B$27,2)+18)=MONTH($B$27),$B$27-WEEKDAY($B$27,2)+18,"")</f>
        <v>46520</v>
      </c>
      <c r="M33" s="130"/>
      <c r="N33" s="130"/>
      <c r="O33" s="130">
        <f>IF(MONTH($B$27-WEEKDAY($B$27,2)+19)=MONTH($B$27),$B$27-WEEKDAY($B$27,2)+19,"")</f>
        <v>46521</v>
      </c>
      <c r="P33" s="130"/>
      <c r="Q33" s="130"/>
      <c r="R33" s="130">
        <f>IF(MONTH($B$27-WEEKDAY($B$27,2)+20)=MONTH($B$27),$B$27-WEEKDAY($B$27,2)+20,"")</f>
        <v>46522</v>
      </c>
      <c r="S33" s="130"/>
      <c r="T33" s="130"/>
      <c r="U33" s="130">
        <f>IF(MONTH($B$27-WEEKDAY($B$27,2)+21)=MONTH($B$27),$B$27-WEEKDAY($B$27,2)+21,"")</f>
        <v>46523</v>
      </c>
      <c r="V33" s="130"/>
      <c r="W33" s="130"/>
      <c r="Y33" s="128">
        <f>IF(OR(ISNUMBER(Z33),ISNUMBER(AR33)),_xlfn.ISOWEEKNUM($Y$27-WEEKDAY($Y$27,2)+15),"")</f>
        <v>24</v>
      </c>
      <c r="Z33" s="130">
        <f>IF(MONTH($Y$27-WEEKDAY($Y$27,2)+15)=MONTH($Y$27),$Y$27-WEEKDAY($Y$27,2)+15,"")</f>
        <v>46552</v>
      </c>
      <c r="AA33" s="130"/>
      <c r="AB33" s="130"/>
      <c r="AC33" s="130">
        <f>IF(MONTH($Y$27-WEEKDAY($Y$27,2)+16)=MONTH($Y$27),$Y$27-WEEKDAY($Y$27,2)+16,"")</f>
        <v>46553</v>
      </c>
      <c r="AD33" s="130"/>
      <c r="AE33" s="130"/>
      <c r="AF33" s="130">
        <f>IF(MONTH($Y$27-WEEKDAY($Y$27,2)+17)=MONTH($Y$27),$Y$27-WEEKDAY($Y$27,2)+17,"")</f>
        <v>46554</v>
      </c>
      <c r="AG33" s="130"/>
      <c r="AH33" s="130"/>
      <c r="AI33" s="130">
        <f>IF(MONTH($Y$27-WEEKDAY($Y$27,2)+18)=MONTH($Y$27),$Y$27-WEEKDAY($Y$27,2)+18,"")</f>
        <v>46555</v>
      </c>
      <c r="AJ33" s="130"/>
      <c r="AK33" s="130"/>
      <c r="AL33" s="130">
        <f>IF(MONTH($Y$27-WEEKDAY($Y$27,2)+19)=MONTH($Y$27),$Y$27-WEEKDAY($Y$27,2)+19,"")</f>
        <v>46556</v>
      </c>
      <c r="AM33" s="130"/>
      <c r="AN33" s="130"/>
      <c r="AO33" s="130">
        <f>IF(MONTH($Y$27-WEEKDAY($Y$27,2)+20)=MONTH($Y$27),$Y$27-WEEKDAY($Y$27,2)+20,"")</f>
        <v>46557</v>
      </c>
      <c r="AP33" s="130"/>
      <c r="AQ33" s="130"/>
      <c r="AR33" s="130">
        <f>IF(MONTH($Y$27-WEEKDAY($Y$27,2)+21)=MONTH($Y$27),$Y$27-WEEKDAY($Y$27,2)+21,"")</f>
        <v>46558</v>
      </c>
      <c r="AS33" s="130"/>
      <c r="AT33" s="130"/>
      <c r="AV33" s="128">
        <f>IF(OR(ISNUMBER(AW33),ISNUMBER(BO33)),_xlfn.ISOWEEKNUM($AV$27-WEEKDAY($AV$27,2)+15),"")</f>
        <v>28</v>
      </c>
      <c r="AW33" s="130">
        <f>IF(MONTH($AV$27-WEEKDAY($AV$27,2)+15)=MONTH($AV$27),$AV$27-WEEKDAY($AV$27,2)+15,"")</f>
        <v>46580</v>
      </c>
      <c r="AX33" s="130"/>
      <c r="AY33" s="130"/>
      <c r="AZ33" s="130">
        <f>IF(MONTH($AV$27-WEEKDAY($AV$27,2)+16)=MONTH($AV$27),$AV$27-WEEKDAY($AV$27,2)+16,"")</f>
        <v>46581</v>
      </c>
      <c r="BA33" s="130"/>
      <c r="BB33" s="130"/>
      <c r="BC33" s="130">
        <f>IF(MONTH($AV$27-WEEKDAY($AV$27,2)+17)=MONTH($AV$27),$AV$27-WEEKDAY($AV$27,2)+17,"")</f>
        <v>46582</v>
      </c>
      <c r="BD33" s="130"/>
      <c r="BE33" s="130"/>
      <c r="BF33" s="130">
        <f>IF(MONTH($AV$27-WEEKDAY($AV$27,2)+18)=MONTH($AV$27),$AV$27-WEEKDAY($AV$27,2)+18,"")</f>
        <v>46583</v>
      </c>
      <c r="BG33" s="130"/>
      <c r="BH33" s="130"/>
      <c r="BI33" s="130">
        <f>IF(MONTH($AV$27-WEEKDAY($AV$27,2)+19)=MONTH($AV$27),$AV$27-WEEKDAY($AV$27,2)+19,"")</f>
        <v>46584</v>
      </c>
      <c r="BJ33" s="130"/>
      <c r="BK33" s="130"/>
      <c r="BL33" s="130">
        <f>IF(MONTH($AV$27-WEEKDAY($AV$27,2)+20)=MONTH($AV$27),$AV$27-WEEKDAY($AV$27,2)+20,"")</f>
        <v>46585</v>
      </c>
      <c r="BM33" s="130"/>
      <c r="BN33" s="130"/>
      <c r="BO33" s="130">
        <f>IF(MONTH($AV$27-WEEKDAY($AV$27,2)+21)=MONTH($AV$27),$AV$27-WEEKDAY($AV$27,2)+21,"")</f>
        <v>46586</v>
      </c>
      <c r="BP33" s="130"/>
      <c r="BQ33" s="130"/>
      <c r="BS33" s="128">
        <f>IF(OR(ISNUMBER(BT33),ISNUMBER(CL33)),_xlfn.ISOWEEKNUM($BS$27-WEEKDAY($BS$27,2)+15),"")</f>
        <v>32</v>
      </c>
      <c r="BT33" s="130">
        <f>IF(MONTH($BS$27-WEEKDAY($BS$27,2)+15)=MONTH($BS$27),$BS$27-WEEKDAY($BS$27,2)+15,"")</f>
        <v>46608</v>
      </c>
      <c r="BU33" s="130"/>
      <c r="BV33" s="130"/>
      <c r="BW33" s="130">
        <f>IF(MONTH($BS$27-WEEKDAY($BS$27,2)+16)=MONTH($BS$27),$BS$27-WEEKDAY($BS$27,2)+16,"")</f>
        <v>46609</v>
      </c>
      <c r="BX33" s="130"/>
      <c r="BY33" s="130"/>
      <c r="BZ33" s="130">
        <f>IF(MONTH($BS$27-WEEKDAY($BS$27,2)+17)=MONTH($BS$27),$BS$27-WEEKDAY($BS$27,2)+17,"")</f>
        <v>46610</v>
      </c>
      <c r="CA33" s="130"/>
      <c r="CB33" s="130"/>
      <c r="CC33" s="130">
        <f>IF(MONTH($BS$27-WEEKDAY($BS$27,2)+18)=MONTH($BS$27),$BS$27-WEEKDAY($BS$27,2)+18,"")</f>
        <v>46611</v>
      </c>
      <c r="CD33" s="130"/>
      <c r="CE33" s="130"/>
      <c r="CF33" s="130">
        <f>IF(MONTH($BS$27-WEEKDAY($BS$27,2)+19)=MONTH($BS$27),$BS$27-WEEKDAY($BS$27,2)+19,"")</f>
        <v>46612</v>
      </c>
      <c r="CG33" s="130"/>
      <c r="CH33" s="130"/>
      <c r="CI33" s="130">
        <f>IF(MONTH($BS$27-WEEKDAY($BS$27,2)+20)=MONTH($BS$27),$BS$27-WEEKDAY($BS$27,2)+20,"")</f>
        <v>46613</v>
      </c>
      <c r="CJ33" s="130"/>
      <c r="CK33" s="130"/>
      <c r="CL33" s="130">
        <f>IF(MONTH($BS$27-WEEKDAY($BS$27,2)+21)=MONTH($BS$27),$BS$27-WEEKDAY($BS$27,2)+21,"")</f>
        <v>46614</v>
      </c>
      <c r="CM33" s="130"/>
      <c r="CN33" s="130"/>
    </row>
    <row r="34" ht="10.5" customHeight="1">
      <c r="B34" s="129"/>
      <c r="C34" s="131" t="str">
        <f>IF(ISNUMBER(C33),IF(COUNTIF(JP_StartSel,C33)&gt;0,"S",IF(COUNTIF(Feiertage,C33)&gt;0,"h","")),"")</f>
        <v/>
      </c>
      <c r="D34" s="131" t="str">
        <f>IF(ISNUMBER(C33),IF(COUNTIF(JP_StartInhalt,C33)&gt;0,"I",IF(COUNTIF(Feiertage,C33)&gt;0,"h","")),"")</f>
        <v/>
      </c>
      <c r="E34" s="131" t="str">
        <f>IF(ISNUMBER(C33),IF(COUNTIF(JP_PAL,C33)&gt;0,"P",IF(COUNTIF(Feiertage,C33)&gt;0,"h","")),"")</f>
        <v/>
      </c>
      <c r="F34" s="131" t="str">
        <f>IF(ISNUMBER(F33),IF(COUNTIF(JP_StartSel,F33)&gt;0,"S",IF(COUNTIF(Feiertage,F33)&gt;0,"h","")),"")</f>
        <v/>
      </c>
      <c r="G34" s="131" t="str">
        <f>IF(ISNUMBER(F33),IF(COUNTIF(JP_StartInhalt,F33)&gt;0,"I",IF(COUNTIF(Feiertage,F33)&gt;0,"h","")),"")</f>
        <v/>
      </c>
      <c r="H34" s="131" t="str">
        <f>IF(ISNUMBER(F33),IF(COUNTIF(JP_PAL,F33)&gt;0,"P",IF(COUNTIF(Feiertage,F33)&gt;0,"h","")),"")</f>
        <v/>
      </c>
      <c r="I34" s="131" t="str">
        <f>IF(ISNUMBER(I33),IF(COUNTIF(JP_StartSel,I33)&gt;0,"S",IF(COUNTIF(Feiertage,I33)&gt;0,"h","")),"")</f>
        <v/>
      </c>
      <c r="J34" s="131" t="str">
        <f>IF(ISNUMBER(I33),IF(COUNTIF(JP_StartInhalt,I33)&gt;0,"I",IF(COUNTIF(Feiertage,I33)&gt;0,"h","")),"")</f>
        <v/>
      </c>
      <c r="K34" s="131" t="str">
        <f>IF(ISNUMBER(I33),IF(COUNTIF(JP_PAL,I33)&gt;0,"P",IF(COUNTIF(Feiertage,I33)&gt;0,"h","")),"")</f>
        <v/>
      </c>
      <c r="L34" s="131" t="str">
        <f>IF(ISNUMBER(L33),IF(COUNTIF(JP_StartSel,L33)&gt;0,"S",IF(COUNTIF(Feiertage,L33)&gt;0,"h","")),"")</f>
        <v/>
      </c>
      <c r="M34" s="131" t="str">
        <f>IF(ISNUMBER(L33),IF(COUNTIF(JP_StartInhalt,L33)&gt;0,"I",IF(COUNTIF(Feiertage,L33)&gt;0,"h","")),"")</f>
        <v/>
      </c>
      <c r="N34" s="131" t="str">
        <f>IF(ISNUMBER(L33),IF(COUNTIF(JP_PAL,L33)&gt;0,"P",IF(COUNTIF(Feiertage,L33)&gt;0,"h","")),"")</f>
        <v/>
      </c>
      <c r="O34" s="131" t="str">
        <f>IF(ISNUMBER(O33),IF(COUNTIF(JP_StartSel,O33)&gt;0,"S",IF(COUNTIF(Feiertage,O33)&gt;0,"h","")),"")</f>
        <v/>
      </c>
      <c r="P34" s="131" t="str">
        <f>IF(ISNUMBER(O33),IF(COUNTIF(JP_StartInhalt,O33)&gt;0,"I",IF(COUNTIF(Feiertage,O33)&gt;0,"h","")),"")</f>
        <v/>
      </c>
      <c r="Q34" s="131" t="str">
        <f>IF(ISNUMBER(O33),IF(COUNTIF(JP_PAL,O33)&gt;0,"P",IF(COUNTIF(Feiertage,O33)&gt;0,"h","")),"")</f>
        <v/>
      </c>
      <c r="R34" s="131" t="str">
        <f>IF(ISNUMBER(R33),IF(COUNTIF(JP_StartSel,R33)&gt;0,"S",IF(COUNTIF(Feiertage,R33)&gt;0,"h","w")),"")</f>
        <v>w</v>
      </c>
      <c r="S34" s="131" t="str">
        <f>IF(ISNUMBER(R33),IF(COUNTIF(JP_StartInhalt,R33)&gt;0,"I",IF(COUNTIF(Feiertage,R33)&gt;0,"h","w")),"")</f>
        <v>w</v>
      </c>
      <c r="T34" s="131" t="str">
        <f>IF(ISNUMBER(R33),IF(COUNTIF(JP_PAL,R33)&gt;0,"P",IF(COUNTIF(Feiertage,R33)&gt;0,"h","w")),"")</f>
        <v>w</v>
      </c>
      <c r="U34" s="131" t="str">
        <f>IF(ISNUMBER(U33),IF(COUNTIF(JP_StartSel,U33)&gt;0,"S",IF(COUNTIF(Feiertage,U33)&gt;0,"h","w")),"")</f>
        <v>w</v>
      </c>
      <c r="V34" s="131" t="str">
        <f>IF(ISNUMBER(U33),IF(COUNTIF(JP_StartInhalt,U33)&gt;0,"I",IF(COUNTIF(Feiertage,U33)&gt;0,"h","w")),"")</f>
        <v>w</v>
      </c>
      <c r="W34" s="131" t="str">
        <f>IF(ISNUMBER(U33),IF(COUNTIF(JP_PAL,U33)&gt;0,"P",IF(COUNTIF(Feiertage,U33)&gt;0,"h","w")),"")</f>
        <v>w</v>
      </c>
      <c r="Y34" s="129"/>
      <c r="Z34" s="131" t="str">
        <f>IF(ISNUMBER(Z33),IF(COUNTIF(JP_StartSel,Z33)&gt;0,"S",IF(COUNTIF(Feiertage,Z33)&gt;0,"h","")),"")</f>
        <v/>
      </c>
      <c r="AA34" s="131" t="str">
        <f>IF(ISNUMBER(Z33),IF(COUNTIF(JP_StartInhalt,Z33)&gt;0,"I",IF(COUNTIF(Feiertage,Z33)&gt;0,"h","")),"")</f>
        <v/>
      </c>
      <c r="AB34" s="131" t="str">
        <f>IF(ISNUMBER(Z33),IF(COUNTIF(JP_PAL,Z33)&gt;0,"P",IF(COUNTIF(Feiertage,Z33)&gt;0,"h","")),"")</f>
        <v/>
      </c>
      <c r="AC34" s="131" t="str">
        <f>IF(ISNUMBER(AC33),IF(COUNTIF(JP_StartSel,AC33)&gt;0,"S",IF(COUNTIF(Feiertage,AC33)&gt;0,"h","")),"")</f>
        <v/>
      </c>
      <c r="AD34" s="131" t="str">
        <f>IF(ISNUMBER(AC33),IF(COUNTIF(JP_StartInhalt,AC33)&gt;0,"I",IF(COUNTIF(Feiertage,AC33)&gt;0,"h","")),"")</f>
        <v/>
      </c>
      <c r="AE34" s="131" t="str">
        <f>IF(ISNUMBER(AC33),IF(COUNTIF(JP_PAL,AC33)&gt;0,"P",IF(COUNTIF(Feiertage,AC33)&gt;0,"h","")),"")</f>
        <v/>
      </c>
      <c r="AF34" s="131" t="str">
        <f>IF(ISNUMBER(AF33),IF(COUNTIF(JP_StartSel,AF33)&gt;0,"S",IF(COUNTIF(Feiertage,AF33)&gt;0,"h","")),"")</f>
        <v/>
      </c>
      <c r="AG34" s="131" t="str">
        <f>IF(ISNUMBER(AF33),IF(COUNTIF(JP_StartInhalt,AF33)&gt;0,"I",IF(COUNTIF(Feiertage,AF33)&gt;0,"h","")),"")</f>
        <v/>
      </c>
      <c r="AH34" s="131" t="str">
        <f>IF(ISNUMBER(AF33),IF(COUNTIF(JP_PAL,AF33)&gt;0,"P",IF(COUNTIF(Feiertage,AF33)&gt;0,"h","")),"")</f>
        <v/>
      </c>
      <c r="AI34" s="131" t="str">
        <f>IF(ISNUMBER(AI33),IF(COUNTIF(JP_StartSel,AI33)&gt;0,"S",IF(COUNTIF(Feiertage,AI33)&gt;0,"h","")),"")</f>
        <v/>
      </c>
      <c r="AJ34" s="131" t="str">
        <f>IF(ISNUMBER(AI33),IF(COUNTIF(JP_StartInhalt,AI33)&gt;0,"I",IF(COUNTIF(Feiertage,AI33)&gt;0,"h","")),"")</f>
        <v/>
      </c>
      <c r="AK34" s="131" t="str">
        <f>IF(ISNUMBER(AI33),IF(COUNTIF(JP_PAL,AI33)&gt;0,"P",IF(COUNTIF(Feiertage,AI33)&gt;0,"h","")),"")</f>
        <v/>
      </c>
      <c r="AL34" s="131" t="str">
        <f>IF(ISNUMBER(AL33),IF(COUNTIF(JP_StartSel,AL33)&gt;0,"S",IF(COUNTIF(Feiertage,AL33)&gt;0,"h","")),"")</f>
        <v/>
      </c>
      <c r="AM34" s="131" t="str">
        <f>IF(ISNUMBER(AL33),IF(COUNTIF(JP_StartInhalt,AL33)&gt;0,"I",IF(COUNTIF(Feiertage,AL33)&gt;0,"h","")),"")</f>
        <v/>
      </c>
      <c r="AN34" s="131" t="str">
        <f>IF(ISNUMBER(AL33),IF(COUNTIF(JP_PAL,AL33)&gt;0,"P",IF(COUNTIF(Feiertage,AL33)&gt;0,"h","")),"")</f>
        <v/>
      </c>
      <c r="AO34" s="131" t="str">
        <f>IF(ISNUMBER(AO33),IF(COUNTIF(JP_StartSel,AO33)&gt;0,"S",IF(COUNTIF(Feiertage,AO33)&gt;0,"h","w")),"")</f>
        <v>w</v>
      </c>
      <c r="AP34" s="131" t="str">
        <f>IF(ISNUMBER(AO33),IF(COUNTIF(JP_StartInhalt,AO33)&gt;0,"I",IF(COUNTIF(Feiertage,AO33)&gt;0,"h","w")),"")</f>
        <v>w</v>
      </c>
      <c r="AQ34" s="131" t="str">
        <f>IF(ISNUMBER(AO33),IF(COUNTIF(JP_PAL,AO33)&gt;0,"P",IF(COUNTIF(Feiertage,AO33)&gt;0,"h","w")),"")</f>
        <v>P</v>
      </c>
      <c r="AR34" s="131" t="str">
        <f>IF(ISNUMBER(AR33),IF(COUNTIF(JP_StartSel,AR33)&gt;0,"S",IF(COUNTIF(Feiertage,AR33)&gt;0,"h","w")),"")</f>
        <v>w</v>
      </c>
      <c r="AS34" s="131" t="str">
        <f>IF(ISNUMBER(AR33),IF(COUNTIF(JP_StartInhalt,AR33)&gt;0,"I",IF(COUNTIF(Feiertage,AR33)&gt;0,"h","w")),"")</f>
        <v>w</v>
      </c>
      <c r="AT34" s="131" t="str">
        <f>IF(ISNUMBER(AR33),IF(COUNTIF(JP_PAL,AR33)&gt;0,"P",IF(COUNTIF(Feiertage,AR33)&gt;0,"h","w")),"")</f>
        <v>w</v>
      </c>
      <c r="AV34" s="129"/>
      <c r="AW34" s="131" t="str">
        <f>IF(ISNUMBER(AW33),IF(COUNTIF(JP_StartSel,AW33)&gt;0,"S",IF(COUNTIF(Feiertage,AW33)&gt;0,"h","")),"")</f>
        <v/>
      </c>
      <c r="AX34" s="131" t="str">
        <f>IF(ISNUMBER(AW33),IF(COUNTIF(JP_StartInhalt,AW33)&gt;0,"I",IF(COUNTIF(Feiertage,AW33)&gt;0,"h","")),"")</f>
        <v/>
      </c>
      <c r="AY34" s="131" t="str">
        <f>IF(ISNUMBER(AW33),IF(COUNTIF(JP_PAL,AW33)&gt;0,"P",IF(COUNTIF(Feiertage,AW33)&gt;0,"h","")),"")</f>
        <v/>
      </c>
      <c r="AZ34" s="131" t="str">
        <f>IF(ISNUMBER(AZ33),IF(COUNTIF(JP_StartSel,AZ33)&gt;0,"S",IF(COUNTIF(Feiertage,AZ33)&gt;0,"h","")),"")</f>
        <v/>
      </c>
      <c r="BA34" s="131" t="str">
        <f>IF(ISNUMBER(AZ33),IF(COUNTIF(JP_StartInhalt,AZ33)&gt;0,"I",IF(COUNTIF(Feiertage,AZ33)&gt;0,"h","")),"")</f>
        <v/>
      </c>
      <c r="BB34" s="131" t="str">
        <f>IF(ISNUMBER(AZ33),IF(COUNTIF(JP_PAL,AZ33)&gt;0,"P",IF(COUNTIF(Feiertage,AZ33)&gt;0,"h","")),"")</f>
        <v/>
      </c>
      <c r="BC34" s="131" t="str">
        <f>IF(ISNUMBER(BC33),IF(COUNTIF(JP_StartSel,BC33)&gt;0,"S",IF(COUNTIF(Feiertage,BC33)&gt;0,"h","")),"")</f>
        <v/>
      </c>
      <c r="BD34" s="131" t="str">
        <f>IF(ISNUMBER(BC33),IF(COUNTIF(JP_StartInhalt,BC33)&gt;0,"I",IF(COUNTIF(Feiertage,BC33)&gt;0,"h","")),"")</f>
        <v/>
      </c>
      <c r="BE34" s="131" t="str">
        <f>IF(ISNUMBER(BC33),IF(COUNTIF(JP_PAL,BC33)&gt;0,"P",IF(COUNTIF(Feiertage,BC33)&gt;0,"h","")),"")</f>
        <v/>
      </c>
      <c r="BF34" s="131" t="str">
        <f>IF(ISNUMBER(BF33),IF(COUNTIF(JP_StartSel,BF33)&gt;0,"S",IF(COUNTIF(Feiertage,BF33)&gt;0,"h","")),"")</f>
        <v/>
      </c>
      <c r="BG34" s="131" t="str">
        <f>IF(ISNUMBER(BF33),IF(COUNTIF(JP_StartInhalt,BF33)&gt;0,"I",IF(COUNTIF(Feiertage,BF33)&gt;0,"h","")),"")</f>
        <v/>
      </c>
      <c r="BH34" s="131" t="str">
        <f>IF(ISNUMBER(BF33),IF(COUNTIF(JP_PAL,BF33)&gt;0,"P",IF(COUNTIF(Feiertage,BF33)&gt;0,"h","")),"")</f>
        <v/>
      </c>
      <c r="BI34" s="131" t="str">
        <f>IF(ISNUMBER(BI33),IF(COUNTIF(JP_StartSel,BI33)&gt;0,"S",IF(COUNTIF(Feiertage,BI33)&gt;0,"h","")),"")</f>
        <v/>
      </c>
      <c r="BJ34" s="131" t="str">
        <f>IF(ISNUMBER(BI33),IF(COUNTIF(JP_StartInhalt,BI33)&gt;0,"I",IF(COUNTIF(Feiertage,BI33)&gt;0,"h","")),"")</f>
        <v/>
      </c>
      <c r="BK34" s="131" t="str">
        <f>IF(ISNUMBER(BI33),IF(COUNTIF(JP_PAL,BI33)&gt;0,"P",IF(COUNTIF(Feiertage,BI33)&gt;0,"h","")),"")</f>
        <v/>
      </c>
      <c r="BL34" s="131" t="str">
        <f>IF(ISNUMBER(BL33),IF(COUNTIF(JP_StartSel,BL33)&gt;0,"S",IF(COUNTIF(Feiertage,BL33)&gt;0,"h","w")),"")</f>
        <v>w</v>
      </c>
      <c r="BM34" s="131" t="str">
        <f>IF(ISNUMBER(BL33),IF(COUNTIF(JP_StartInhalt,BL33)&gt;0,"I",IF(COUNTIF(Feiertage,BL33)&gt;0,"h","w")),"")</f>
        <v>w</v>
      </c>
      <c r="BN34" s="131" t="str">
        <f>IF(ISNUMBER(BL33),IF(COUNTIF(JP_PAL,BL33)&gt;0,"P",IF(COUNTIF(Feiertage,BL33)&gt;0,"h","w")),"")</f>
        <v>w</v>
      </c>
      <c r="BO34" s="131" t="str">
        <f>IF(ISNUMBER(BO33),IF(COUNTIF(JP_StartSel,BO33)&gt;0,"S",IF(COUNTIF(Feiertage,BO33)&gt;0,"h","w")),"")</f>
        <v>w</v>
      </c>
      <c r="BP34" s="131" t="str">
        <f>IF(ISNUMBER(BO33),IF(COUNTIF(JP_StartInhalt,BO33)&gt;0,"I",IF(COUNTIF(Feiertage,BO33)&gt;0,"h","w")),"")</f>
        <v>w</v>
      </c>
      <c r="BQ34" s="131" t="str">
        <f>IF(ISNUMBER(BO33),IF(COUNTIF(JP_PAL,BO33)&gt;0,"P",IF(COUNTIF(Feiertage,BO33)&gt;0,"h","w")),"")</f>
        <v>w</v>
      </c>
      <c r="BS34" s="129"/>
      <c r="BT34" s="131" t="str">
        <f>IF(ISNUMBER(BT33),IF(COUNTIF(JP_StartSel,BT33)&gt;0,"S",IF(COUNTIF(Feiertage,BT33)&gt;0,"h","")),"")</f>
        <v/>
      </c>
      <c r="BU34" s="131" t="str">
        <f>IF(ISNUMBER(BT33),IF(COUNTIF(JP_StartInhalt,BT33)&gt;0,"I",IF(COUNTIF(Feiertage,BT33)&gt;0,"h","")),"")</f>
        <v/>
      </c>
      <c r="BV34" s="131" t="str">
        <f>IF(ISNUMBER(BT33),IF(COUNTIF(JP_PAL,BT33)&gt;0,"P",IF(COUNTIF(Feiertage,BT33)&gt;0,"h","")),"")</f>
        <v/>
      </c>
      <c r="BW34" s="131" t="str">
        <f>IF(ISNUMBER(BW33),IF(COUNTIF(JP_StartSel,BW33)&gt;0,"S",IF(COUNTIF(Feiertage,BW33)&gt;0,"h","")),"")</f>
        <v/>
      </c>
      <c r="BX34" s="131" t="str">
        <f>IF(ISNUMBER(BW33),IF(COUNTIF(JP_StartInhalt,BW33)&gt;0,"I",IF(COUNTIF(Feiertage,BW33)&gt;0,"h","")),"")</f>
        <v/>
      </c>
      <c r="BY34" s="131" t="str">
        <f>IF(ISNUMBER(BW33),IF(COUNTIF(JP_PAL,BW33)&gt;0,"P",IF(COUNTIF(Feiertage,BW33)&gt;0,"h","")),"")</f>
        <v/>
      </c>
      <c r="BZ34" s="131" t="str">
        <f>IF(ISNUMBER(BZ33),IF(COUNTIF(JP_StartSel,BZ33)&gt;0,"S",IF(COUNTIF(Feiertage,BZ33)&gt;0,"h","")),"")</f>
        <v/>
      </c>
      <c r="CA34" s="131" t="str">
        <f>IF(ISNUMBER(BZ33),IF(COUNTIF(JP_StartInhalt,BZ33)&gt;0,"I",IF(COUNTIF(Feiertage,BZ33)&gt;0,"h","")),"")</f>
        <v>I</v>
      </c>
      <c r="CB34" s="131" t="str">
        <f>IF(ISNUMBER(BZ33),IF(COUNTIF(JP_PAL,BZ33)&gt;0,"P",IF(COUNTIF(Feiertage,BZ33)&gt;0,"h","")),"")</f>
        <v/>
      </c>
      <c r="CC34" s="131" t="str">
        <f>IF(ISNUMBER(CC33),IF(COUNTIF(JP_StartSel,CC33)&gt;0,"S",IF(COUNTIF(Feiertage,CC33)&gt;0,"h","")),"")</f>
        <v/>
      </c>
      <c r="CD34" s="131" t="str">
        <f>IF(ISNUMBER(CC33),IF(COUNTIF(JP_StartInhalt,CC33)&gt;0,"I",IF(COUNTIF(Feiertage,CC33)&gt;0,"h","")),"")</f>
        <v/>
      </c>
      <c r="CE34" s="131" t="str">
        <f>IF(ISNUMBER(CC33),IF(COUNTIF(JP_PAL,CC33)&gt;0,"P",IF(COUNTIF(Feiertage,CC33)&gt;0,"h","")),"")</f>
        <v/>
      </c>
      <c r="CF34" s="131" t="str">
        <f>IF(ISNUMBER(CF33),IF(COUNTIF(JP_StartSel,CF33)&gt;0,"S",IF(COUNTIF(Feiertage,CF33)&gt;0,"h","")),"")</f>
        <v/>
      </c>
      <c r="CG34" s="131" t="str">
        <f>IF(ISNUMBER(CF33),IF(COUNTIF(JP_StartInhalt,CF33)&gt;0,"I",IF(COUNTIF(Feiertage,CF33)&gt;0,"h","")),"")</f>
        <v/>
      </c>
      <c r="CH34" s="131" t="str">
        <f>IF(ISNUMBER(CF33),IF(COUNTIF(JP_PAL,CF33)&gt;0,"P",IF(COUNTIF(Feiertage,CF33)&gt;0,"h","")),"")</f>
        <v/>
      </c>
      <c r="CI34" s="131" t="str">
        <f>IF(ISNUMBER(CI33),IF(COUNTIF(JP_StartSel,CI33)&gt;0,"S",IF(COUNTIF(Feiertage,CI33)&gt;0,"h","w")),"")</f>
        <v>w</v>
      </c>
      <c r="CJ34" s="131" t="str">
        <f>IF(ISNUMBER(CI33),IF(COUNTIF(JP_StartInhalt,CI33)&gt;0,"I",IF(COUNTIF(Feiertage,CI33)&gt;0,"h","w")),"")</f>
        <v>w</v>
      </c>
      <c r="CK34" s="131" t="str">
        <f>IF(ISNUMBER(CI33),IF(COUNTIF(JP_PAL,CI33)&gt;0,"P",IF(COUNTIF(Feiertage,CI33)&gt;0,"h","w")),"")</f>
        <v>w</v>
      </c>
      <c r="CL34" s="131" t="str">
        <f>IF(ISNUMBER(CL33),IF(COUNTIF(JP_StartSel,CL33)&gt;0,"S",IF(COUNTIF(Feiertage,CL33)&gt;0,"h","w")),"")</f>
        <v>w</v>
      </c>
      <c r="CM34" s="131" t="str">
        <f>IF(ISNUMBER(CL33),IF(COUNTIF(JP_StartInhalt,CL33)&gt;0,"I",IF(COUNTIF(Feiertage,CL33)&gt;0,"h","w")),"")</f>
        <v>w</v>
      </c>
      <c r="CN34" s="131" t="str">
        <f>IF(ISNUMBER(CL33),IF(COUNTIF(JP_PAL,CL33)&gt;0,"P",IF(COUNTIF(Feiertage,CL33)&gt;0,"h","w")),"")</f>
        <v>w</v>
      </c>
    </row>
    <row r="35" ht="16" customHeight="1">
      <c r="B35" s="128">
        <f>IF(OR(ISNUMBER(C35),ISNUMBER(U35)),_xlfn.ISOWEEKNUM($B$27-WEEKDAY($B$27,2)+22),"")</f>
        <v>20</v>
      </c>
      <c r="C35" s="130">
        <f>IF(MONTH($B$27-WEEKDAY($B$27,2)+22)=MONTH($B$27),$B$27-WEEKDAY($B$27,2)+22,"")</f>
        <v>46524</v>
      </c>
      <c r="D35" s="130"/>
      <c r="E35" s="130"/>
      <c r="F35" s="130">
        <f>IF(MONTH($B$27-WEEKDAY($B$27,2)+23)=MONTH($B$27),$B$27-WEEKDAY($B$27,2)+23,"")</f>
        <v>46525</v>
      </c>
      <c r="G35" s="130"/>
      <c r="H35" s="130"/>
      <c r="I35" s="130">
        <f>IF(MONTH($B$27-WEEKDAY($B$27,2)+24)=MONTH($B$27),$B$27-WEEKDAY($B$27,2)+24,"")</f>
        <v>46526</v>
      </c>
      <c r="J35" s="130"/>
      <c r="K35" s="130"/>
      <c r="L35" s="130">
        <f>IF(MONTH($B$27-WEEKDAY($B$27,2)+25)=MONTH($B$27),$B$27-WEEKDAY($B$27,2)+25,"")</f>
        <v>46527</v>
      </c>
      <c r="M35" s="130"/>
      <c r="N35" s="130"/>
      <c r="O35" s="130">
        <f>IF(MONTH($B$27-WEEKDAY($B$27,2)+26)=MONTH($B$27),$B$27-WEEKDAY($B$27,2)+26,"")</f>
        <v>46528</v>
      </c>
      <c r="P35" s="130"/>
      <c r="Q35" s="130"/>
      <c r="R35" s="130">
        <f>IF(MONTH($B$27-WEEKDAY($B$27,2)+27)=MONTH($B$27),$B$27-WEEKDAY($B$27,2)+27,"")</f>
        <v>46529</v>
      </c>
      <c r="S35" s="130"/>
      <c r="T35" s="130"/>
      <c r="U35" s="130">
        <f>IF(MONTH($B$27-WEEKDAY($B$27,2)+28)=MONTH($B$27),$B$27-WEEKDAY($B$27,2)+28,"")</f>
        <v>46530</v>
      </c>
      <c r="V35" s="130"/>
      <c r="W35" s="130"/>
      <c r="Y35" s="128">
        <f>IF(OR(ISNUMBER(Z35),ISNUMBER(AR35)),_xlfn.ISOWEEKNUM($Y$27-WEEKDAY($Y$27,2)+22),"")</f>
        <v>25</v>
      </c>
      <c r="Z35" s="130">
        <f>IF(MONTH($Y$27-WEEKDAY($Y$27,2)+22)=MONTH($Y$27),$Y$27-WEEKDAY($Y$27,2)+22,"")</f>
        <v>46559</v>
      </c>
      <c r="AA35" s="130"/>
      <c r="AB35" s="130"/>
      <c r="AC35" s="130">
        <f>IF(MONTH($Y$27-WEEKDAY($Y$27,2)+23)=MONTH($Y$27),$Y$27-WEEKDAY($Y$27,2)+23,"")</f>
        <v>46560</v>
      </c>
      <c r="AD35" s="130"/>
      <c r="AE35" s="130"/>
      <c r="AF35" s="130">
        <f>IF(MONTH($Y$27-WEEKDAY($Y$27,2)+24)=MONTH($Y$27),$Y$27-WEEKDAY($Y$27,2)+24,"")</f>
        <v>46561</v>
      </c>
      <c r="AG35" s="130"/>
      <c r="AH35" s="130"/>
      <c r="AI35" s="130">
        <f>IF(MONTH($Y$27-WEEKDAY($Y$27,2)+25)=MONTH($Y$27),$Y$27-WEEKDAY($Y$27,2)+25,"")</f>
        <v>46562</v>
      </c>
      <c r="AJ35" s="130"/>
      <c r="AK35" s="130"/>
      <c r="AL35" s="130">
        <f>IF(MONTH($Y$27-WEEKDAY($Y$27,2)+26)=MONTH($Y$27),$Y$27-WEEKDAY($Y$27,2)+26,"")</f>
        <v>46563</v>
      </c>
      <c r="AM35" s="130"/>
      <c r="AN35" s="130"/>
      <c r="AO35" s="130">
        <f>IF(MONTH($Y$27-WEEKDAY($Y$27,2)+27)=MONTH($Y$27),$Y$27-WEEKDAY($Y$27,2)+27,"")</f>
        <v>46564</v>
      </c>
      <c r="AP35" s="130"/>
      <c r="AQ35" s="130"/>
      <c r="AR35" s="130">
        <f>IF(MONTH($Y$27-WEEKDAY($Y$27,2)+28)=MONTH($Y$27),$Y$27-WEEKDAY($Y$27,2)+28,"")</f>
        <v>46565</v>
      </c>
      <c r="AS35" s="130"/>
      <c r="AT35" s="130"/>
      <c r="AV35" s="128">
        <f>IF(OR(ISNUMBER(AW35),ISNUMBER(BO35)),_xlfn.ISOWEEKNUM($AV$27-WEEKDAY($AV$27,2)+22),"")</f>
        <v>29</v>
      </c>
      <c r="AW35" s="130">
        <f>IF(MONTH($AV$27-WEEKDAY($AV$27,2)+22)=MONTH($AV$27),$AV$27-WEEKDAY($AV$27,2)+22,"")</f>
        <v>46587</v>
      </c>
      <c r="AX35" s="130"/>
      <c r="AY35" s="130"/>
      <c r="AZ35" s="130">
        <f>IF(MONTH($AV$27-WEEKDAY($AV$27,2)+23)=MONTH($AV$27),$AV$27-WEEKDAY($AV$27,2)+23,"")</f>
        <v>46588</v>
      </c>
      <c r="BA35" s="130"/>
      <c r="BB35" s="130"/>
      <c r="BC35" s="130">
        <f>IF(MONTH($AV$27-WEEKDAY($AV$27,2)+24)=MONTH($AV$27),$AV$27-WEEKDAY($AV$27,2)+24,"")</f>
        <v>46589</v>
      </c>
      <c r="BD35" s="130"/>
      <c r="BE35" s="130"/>
      <c r="BF35" s="130">
        <f>IF(MONTH($AV$27-WEEKDAY($AV$27,2)+25)=MONTH($AV$27),$AV$27-WEEKDAY($AV$27,2)+25,"")</f>
        <v>46590</v>
      </c>
      <c r="BG35" s="130"/>
      <c r="BH35" s="130"/>
      <c r="BI35" s="130">
        <f>IF(MONTH($AV$27-WEEKDAY($AV$27,2)+26)=MONTH($AV$27),$AV$27-WEEKDAY($AV$27,2)+26,"")</f>
        <v>46591</v>
      </c>
      <c r="BJ35" s="130"/>
      <c r="BK35" s="130"/>
      <c r="BL35" s="130">
        <f>IF(MONTH($AV$27-WEEKDAY($AV$27,2)+27)=MONTH($AV$27),$AV$27-WEEKDAY($AV$27,2)+27,"")</f>
        <v>46592</v>
      </c>
      <c r="BM35" s="130"/>
      <c r="BN35" s="130"/>
      <c r="BO35" s="130">
        <f>IF(MONTH($AV$27-WEEKDAY($AV$27,2)+28)=MONTH($AV$27),$AV$27-WEEKDAY($AV$27,2)+28,"")</f>
        <v>46593</v>
      </c>
      <c r="BP35" s="130"/>
      <c r="BQ35" s="130"/>
      <c r="BS35" s="128">
        <f>IF(OR(ISNUMBER(BT35),ISNUMBER(CL35)),_xlfn.ISOWEEKNUM($BS$27-WEEKDAY($BS$27,2)+22),"")</f>
        <v>33</v>
      </c>
      <c r="BT35" s="130">
        <f>IF(MONTH($BS$27-WEEKDAY($BS$27,2)+22)=MONTH($BS$27),$BS$27-WEEKDAY($BS$27,2)+22,"")</f>
        <v>46615</v>
      </c>
      <c r="BU35" s="130"/>
      <c r="BV35" s="130"/>
      <c r="BW35" s="130">
        <f>IF(MONTH($BS$27-WEEKDAY($BS$27,2)+23)=MONTH($BS$27),$BS$27-WEEKDAY($BS$27,2)+23,"")</f>
        <v>46616</v>
      </c>
      <c r="BX35" s="130"/>
      <c r="BY35" s="130"/>
      <c r="BZ35" s="130">
        <f>IF(MONTH($BS$27-WEEKDAY($BS$27,2)+24)=MONTH($BS$27),$BS$27-WEEKDAY($BS$27,2)+24,"")</f>
        <v>46617</v>
      </c>
      <c r="CA35" s="130"/>
      <c r="CB35" s="130"/>
      <c r="CC35" s="130">
        <f>IF(MONTH($BS$27-WEEKDAY($BS$27,2)+25)=MONTH($BS$27),$BS$27-WEEKDAY($BS$27,2)+25,"")</f>
        <v>46618</v>
      </c>
      <c r="CD35" s="130"/>
      <c r="CE35" s="130"/>
      <c r="CF35" s="130">
        <f>IF(MONTH($BS$27-WEEKDAY($BS$27,2)+26)=MONTH($BS$27),$BS$27-WEEKDAY($BS$27,2)+26,"")</f>
        <v>46619</v>
      </c>
      <c r="CG35" s="130"/>
      <c r="CH35" s="130"/>
      <c r="CI35" s="130">
        <f>IF(MONTH($BS$27-WEEKDAY($BS$27,2)+27)=MONTH($BS$27),$BS$27-WEEKDAY($BS$27,2)+27,"")</f>
        <v>46620</v>
      </c>
      <c r="CJ35" s="130"/>
      <c r="CK35" s="130"/>
      <c r="CL35" s="130">
        <f>IF(MONTH($BS$27-WEEKDAY($BS$27,2)+28)=MONTH($BS$27),$BS$27-WEEKDAY($BS$27,2)+28,"")</f>
        <v>46621</v>
      </c>
      <c r="CM35" s="130"/>
      <c r="CN35" s="130"/>
    </row>
    <row r="36" ht="10.5" customHeight="1">
      <c r="B36" s="129"/>
      <c r="C36" s="131" t="str">
        <f>IF(ISNUMBER(C35),IF(COUNTIF(JP_StartSel,C35)&gt;0,"S",IF(COUNTIF(Feiertage,C35)&gt;0,"h","")),"")</f>
        <v>h</v>
      </c>
      <c r="D36" s="131" t="str">
        <f>IF(ISNUMBER(C35),IF(COUNTIF(JP_StartInhalt,C35)&gt;0,"I",IF(COUNTIF(Feiertage,C35)&gt;0,"h","")),"")</f>
        <v>h</v>
      </c>
      <c r="E36" s="131" t="str">
        <f>IF(ISNUMBER(C35),IF(COUNTIF(JP_PAL,C35)&gt;0,"P",IF(COUNTIF(Feiertage,C35)&gt;0,"h","")),"")</f>
        <v>h</v>
      </c>
      <c r="F36" s="131" t="str">
        <f>IF(ISNUMBER(F35),IF(COUNTIF(JP_StartSel,F35)&gt;0,"S",IF(COUNTIF(Feiertage,F35)&gt;0,"h","")),"")</f>
        <v/>
      </c>
      <c r="G36" s="131" t="str">
        <f>IF(ISNUMBER(F35),IF(COUNTIF(JP_StartInhalt,F35)&gt;0,"I",IF(COUNTIF(Feiertage,F35)&gt;0,"h","")),"")</f>
        <v/>
      </c>
      <c r="H36" s="131" t="str">
        <f>IF(ISNUMBER(F35),IF(COUNTIF(JP_PAL,F35)&gt;0,"P",IF(COUNTIF(Feiertage,F35)&gt;0,"h","")),"")</f>
        <v/>
      </c>
      <c r="I36" s="131" t="str">
        <f>IF(ISNUMBER(I35),IF(COUNTIF(JP_StartSel,I35)&gt;0,"S",IF(COUNTIF(Feiertage,I35)&gt;0,"h","")),"")</f>
        <v/>
      </c>
      <c r="J36" s="131" t="str">
        <f>IF(ISNUMBER(I35),IF(COUNTIF(JP_StartInhalt,I35)&gt;0,"I",IF(COUNTIF(Feiertage,I35)&gt;0,"h","")),"")</f>
        <v/>
      </c>
      <c r="K36" s="131" t="str">
        <f>IF(ISNUMBER(I35),IF(COUNTIF(JP_PAL,I35)&gt;0,"P",IF(COUNTIF(Feiertage,I35)&gt;0,"h","")),"")</f>
        <v/>
      </c>
      <c r="L36" s="131" t="str">
        <f>IF(ISNUMBER(L35),IF(COUNTIF(JP_StartSel,L35)&gt;0,"S",IF(COUNTIF(Feiertage,L35)&gt;0,"h","")),"")</f>
        <v/>
      </c>
      <c r="M36" s="131" t="str">
        <f>IF(ISNUMBER(L35),IF(COUNTIF(JP_StartInhalt,L35)&gt;0,"I",IF(COUNTIF(Feiertage,L35)&gt;0,"h","")),"")</f>
        <v/>
      </c>
      <c r="N36" s="131" t="str">
        <f>IF(ISNUMBER(L35),IF(COUNTIF(JP_PAL,L35)&gt;0,"P",IF(COUNTIF(Feiertage,L35)&gt;0,"h","")),"")</f>
        <v/>
      </c>
      <c r="O36" s="131" t="str">
        <f>IF(ISNUMBER(O35),IF(COUNTIF(JP_StartSel,O35)&gt;0,"S",IF(COUNTIF(Feiertage,O35)&gt;0,"h","")),"")</f>
        <v/>
      </c>
      <c r="P36" s="131" t="str">
        <f>IF(ISNUMBER(O35),IF(COUNTIF(JP_StartInhalt,O35)&gt;0,"I",IF(COUNTIF(Feiertage,O35)&gt;0,"h","")),"")</f>
        <v/>
      </c>
      <c r="Q36" s="131" t="str">
        <f>IF(ISNUMBER(O35),IF(COUNTIF(JP_PAL,O35)&gt;0,"P",IF(COUNTIF(Feiertage,O35)&gt;0,"h","")),"")</f>
        <v/>
      </c>
      <c r="R36" s="131" t="str">
        <f>IF(ISNUMBER(R35),IF(COUNTIF(JP_StartSel,R35)&gt;0,"S",IF(COUNTIF(Feiertage,R35)&gt;0,"h","w")),"")</f>
        <v>w</v>
      </c>
      <c r="S36" s="131" t="str">
        <f>IF(ISNUMBER(R35),IF(COUNTIF(JP_StartInhalt,R35)&gt;0,"I",IF(COUNTIF(Feiertage,R35)&gt;0,"h","w")),"")</f>
        <v>w</v>
      </c>
      <c r="T36" s="131" t="str">
        <f>IF(ISNUMBER(R35),IF(COUNTIF(JP_PAL,R35)&gt;0,"P",IF(COUNTIF(Feiertage,R35)&gt;0,"h","w")),"")</f>
        <v>w</v>
      </c>
      <c r="U36" s="131" t="str">
        <f>IF(ISNUMBER(U35),IF(COUNTIF(JP_StartSel,U35)&gt;0,"S",IF(COUNTIF(Feiertage,U35)&gt;0,"h","w")),"")</f>
        <v>w</v>
      </c>
      <c r="V36" s="131" t="str">
        <f>IF(ISNUMBER(U35),IF(COUNTIF(JP_StartInhalt,U35)&gt;0,"I",IF(COUNTIF(Feiertage,U35)&gt;0,"h","w")),"")</f>
        <v>w</v>
      </c>
      <c r="W36" s="131" t="str">
        <f>IF(ISNUMBER(U35),IF(COUNTIF(JP_PAL,U35)&gt;0,"P",IF(COUNTIF(Feiertage,U35)&gt;0,"h","w")),"")</f>
        <v>w</v>
      </c>
      <c r="Y36" s="129"/>
      <c r="Z36" s="131" t="str">
        <f>IF(ISNUMBER(Z35),IF(COUNTIF(JP_StartSel,Z35)&gt;0,"S",IF(COUNTIF(Feiertage,Z35)&gt;0,"h","")),"")</f>
        <v/>
      </c>
      <c r="AA36" s="131" t="str">
        <f>IF(ISNUMBER(Z35),IF(COUNTIF(JP_StartInhalt,Z35)&gt;0,"I",IF(COUNTIF(Feiertage,Z35)&gt;0,"h","")),"")</f>
        <v/>
      </c>
      <c r="AB36" s="131" t="str">
        <f>IF(ISNUMBER(Z35),IF(COUNTIF(JP_PAL,Z35)&gt;0,"P",IF(COUNTIF(Feiertage,Z35)&gt;0,"h","")),"")</f>
        <v/>
      </c>
      <c r="AC36" s="131" t="str">
        <f>IF(ISNUMBER(AC35),IF(COUNTIF(JP_StartSel,AC35)&gt;0,"S",IF(COUNTIF(Feiertage,AC35)&gt;0,"h","")),"")</f>
        <v/>
      </c>
      <c r="AD36" s="131" t="str">
        <f>IF(ISNUMBER(AC35),IF(COUNTIF(JP_StartInhalt,AC35)&gt;0,"I",IF(COUNTIF(Feiertage,AC35)&gt;0,"h","")),"")</f>
        <v/>
      </c>
      <c r="AE36" s="131" t="str">
        <f>IF(ISNUMBER(AC35),IF(COUNTIF(JP_PAL,AC35)&gt;0,"P",IF(COUNTIF(Feiertage,AC35)&gt;0,"h","")),"")</f>
        <v/>
      </c>
      <c r="AF36" s="131" t="str">
        <f>IF(ISNUMBER(AF35),IF(COUNTIF(JP_StartSel,AF35)&gt;0,"S",IF(COUNTIF(Feiertage,AF35)&gt;0,"h","")),"")</f>
        <v/>
      </c>
      <c r="AG36" s="131" t="str">
        <f>IF(ISNUMBER(AF35),IF(COUNTIF(JP_StartInhalt,AF35)&gt;0,"I",IF(COUNTIF(Feiertage,AF35)&gt;0,"h","")),"")</f>
        <v/>
      </c>
      <c r="AH36" s="131" t="str">
        <f>IF(ISNUMBER(AF35),IF(COUNTIF(JP_PAL,AF35)&gt;0,"P",IF(COUNTIF(Feiertage,AF35)&gt;0,"h","")),"")</f>
        <v/>
      </c>
      <c r="AI36" s="131" t="str">
        <f>IF(ISNUMBER(AI35),IF(COUNTIF(JP_StartSel,AI35)&gt;0,"S",IF(COUNTIF(Feiertage,AI35)&gt;0,"h","")),"")</f>
        <v/>
      </c>
      <c r="AJ36" s="131" t="str">
        <f>IF(ISNUMBER(AI35),IF(COUNTIF(JP_StartInhalt,AI35)&gt;0,"I",IF(COUNTIF(Feiertage,AI35)&gt;0,"h","")),"")</f>
        <v/>
      </c>
      <c r="AK36" s="131" t="str">
        <f>IF(ISNUMBER(AI35),IF(COUNTIF(JP_PAL,AI35)&gt;0,"P",IF(COUNTIF(Feiertage,AI35)&gt;0,"h","")),"")</f>
        <v/>
      </c>
      <c r="AL36" s="131" t="str">
        <f>IF(ISNUMBER(AL35),IF(COUNTIF(JP_StartSel,AL35)&gt;0,"S",IF(COUNTIF(Feiertage,AL35)&gt;0,"h","")),"")</f>
        <v/>
      </c>
      <c r="AM36" s="131" t="str">
        <f>IF(ISNUMBER(AL35),IF(COUNTIF(JP_StartInhalt,AL35)&gt;0,"I",IF(COUNTIF(Feiertage,AL35)&gt;0,"h","")),"")</f>
        <v/>
      </c>
      <c r="AN36" s="131" t="str">
        <f>IF(ISNUMBER(AL35),IF(COUNTIF(JP_PAL,AL35)&gt;0,"P",IF(COUNTIF(Feiertage,AL35)&gt;0,"h","")),"")</f>
        <v/>
      </c>
      <c r="AO36" s="131" t="str">
        <f>IF(ISNUMBER(AO35),IF(COUNTIF(JP_StartSel,AO35)&gt;0,"S",IF(COUNTIF(Feiertage,AO35)&gt;0,"h","w")),"")</f>
        <v>w</v>
      </c>
      <c r="AP36" s="131" t="str">
        <f>IF(ISNUMBER(AO35),IF(COUNTIF(JP_StartInhalt,AO35)&gt;0,"I",IF(COUNTIF(Feiertage,AO35)&gt;0,"h","w")),"")</f>
        <v>w</v>
      </c>
      <c r="AQ36" s="131" t="str">
        <f>IF(ISNUMBER(AO35),IF(COUNTIF(JP_PAL,AO35)&gt;0,"P",IF(COUNTIF(Feiertage,AO35)&gt;0,"h","w")),"")</f>
        <v>w</v>
      </c>
      <c r="AR36" s="131" t="str">
        <f>IF(ISNUMBER(AR35),IF(COUNTIF(JP_StartSel,AR35)&gt;0,"S",IF(COUNTIF(Feiertage,AR35)&gt;0,"h","w")),"")</f>
        <v>w</v>
      </c>
      <c r="AS36" s="131" t="str">
        <f>IF(ISNUMBER(AR35),IF(COUNTIF(JP_StartInhalt,AR35)&gt;0,"I",IF(COUNTIF(Feiertage,AR35)&gt;0,"h","w")),"")</f>
        <v>w</v>
      </c>
      <c r="AT36" s="131" t="str">
        <f>IF(ISNUMBER(AR35),IF(COUNTIF(JP_PAL,AR35)&gt;0,"P",IF(COUNTIF(Feiertage,AR35)&gt;0,"h","w")),"")</f>
        <v>w</v>
      </c>
      <c r="AV36" s="129"/>
      <c r="AW36" s="131" t="str">
        <f>IF(ISNUMBER(AW35),IF(COUNTIF(JP_StartSel,AW35)&gt;0,"S",IF(COUNTIF(Feiertage,AW35)&gt;0,"h","")),"")</f>
        <v/>
      </c>
      <c r="AX36" s="131" t="str">
        <f>IF(ISNUMBER(AW35),IF(COUNTIF(JP_StartInhalt,AW35)&gt;0,"I",IF(COUNTIF(Feiertage,AW35)&gt;0,"h","")),"")</f>
        <v/>
      </c>
      <c r="AY36" s="131" t="str">
        <f>IF(ISNUMBER(AW35),IF(COUNTIF(JP_PAL,AW35)&gt;0,"P",IF(COUNTIF(Feiertage,AW35)&gt;0,"h","")),"")</f>
        <v/>
      </c>
      <c r="AZ36" s="131" t="str">
        <f>IF(ISNUMBER(AZ35),IF(COUNTIF(JP_StartSel,AZ35)&gt;0,"S",IF(COUNTIF(Feiertage,AZ35)&gt;0,"h","")),"")</f>
        <v/>
      </c>
      <c r="BA36" s="131" t="str">
        <f>IF(ISNUMBER(AZ35),IF(COUNTIF(JP_StartInhalt,AZ35)&gt;0,"I",IF(COUNTIF(Feiertage,AZ35)&gt;0,"h","")),"")</f>
        <v/>
      </c>
      <c r="BB36" s="131" t="str">
        <f>IF(ISNUMBER(AZ35),IF(COUNTIF(JP_PAL,AZ35)&gt;0,"P",IF(COUNTIF(Feiertage,AZ35)&gt;0,"h","")),"")</f>
        <v/>
      </c>
      <c r="BC36" s="131" t="str">
        <f>IF(ISNUMBER(BC35),IF(COUNTIF(JP_StartSel,BC35)&gt;0,"S",IF(COUNTIF(Feiertage,BC35)&gt;0,"h","")),"")</f>
        <v/>
      </c>
      <c r="BD36" s="131" t="str">
        <f>IF(ISNUMBER(BC35),IF(COUNTIF(JP_StartInhalt,BC35)&gt;0,"I",IF(COUNTIF(Feiertage,BC35)&gt;0,"h","")),"")</f>
        <v/>
      </c>
      <c r="BE36" s="131" t="str">
        <f>IF(ISNUMBER(BC35),IF(COUNTIF(JP_PAL,BC35)&gt;0,"P",IF(COUNTIF(Feiertage,BC35)&gt;0,"h","")),"")</f>
        <v/>
      </c>
      <c r="BF36" s="131" t="str">
        <f>IF(ISNUMBER(BF35),IF(COUNTIF(JP_StartSel,BF35)&gt;0,"S",IF(COUNTIF(Feiertage,BF35)&gt;0,"h","")),"")</f>
        <v/>
      </c>
      <c r="BG36" s="131" t="str">
        <f>IF(ISNUMBER(BF35),IF(COUNTIF(JP_StartInhalt,BF35)&gt;0,"I",IF(COUNTIF(Feiertage,BF35)&gt;0,"h","")),"")</f>
        <v/>
      </c>
      <c r="BH36" s="131" t="str">
        <f>IF(ISNUMBER(BF35),IF(COUNTIF(JP_PAL,BF35)&gt;0,"P",IF(COUNTIF(Feiertage,BF35)&gt;0,"h","")),"")</f>
        <v/>
      </c>
      <c r="BI36" s="131" t="str">
        <f>IF(ISNUMBER(BI35),IF(COUNTIF(JP_StartSel,BI35)&gt;0,"S",IF(COUNTIF(Feiertage,BI35)&gt;0,"h","")),"")</f>
        <v/>
      </c>
      <c r="BJ36" s="131" t="str">
        <f>IF(ISNUMBER(BI35),IF(COUNTIF(JP_StartInhalt,BI35)&gt;0,"I",IF(COUNTIF(Feiertage,BI35)&gt;0,"h","")),"")</f>
        <v/>
      </c>
      <c r="BK36" s="131" t="str">
        <f>IF(ISNUMBER(BI35),IF(COUNTIF(JP_PAL,BI35)&gt;0,"P",IF(COUNTIF(Feiertage,BI35)&gt;0,"h","")),"")</f>
        <v/>
      </c>
      <c r="BL36" s="131" t="str">
        <f>IF(ISNUMBER(BL35),IF(COUNTIF(JP_StartSel,BL35)&gt;0,"S",IF(COUNTIF(Feiertage,BL35)&gt;0,"h","w")),"")</f>
        <v>S</v>
      </c>
      <c r="BM36" s="131" t="str">
        <f>IF(ISNUMBER(BL35),IF(COUNTIF(JP_StartInhalt,BL35)&gt;0,"I",IF(COUNTIF(Feiertage,BL35)&gt;0,"h","w")),"")</f>
        <v>w</v>
      </c>
      <c r="BN36" s="131" t="str">
        <f>IF(ISNUMBER(BL35),IF(COUNTIF(JP_PAL,BL35)&gt;0,"P",IF(COUNTIF(Feiertage,BL35)&gt;0,"h","w")),"")</f>
        <v>w</v>
      </c>
      <c r="BO36" s="131" t="str">
        <f>IF(ISNUMBER(BO35),IF(COUNTIF(JP_StartSel,BO35)&gt;0,"S",IF(COUNTIF(Feiertage,BO35)&gt;0,"h","w")),"")</f>
        <v>w</v>
      </c>
      <c r="BP36" s="131" t="str">
        <f>IF(ISNUMBER(BO35),IF(COUNTIF(JP_StartInhalt,BO35)&gt;0,"I",IF(COUNTIF(Feiertage,BO35)&gt;0,"h","w")),"")</f>
        <v>w</v>
      </c>
      <c r="BQ36" s="131" t="str">
        <f>IF(ISNUMBER(BO35),IF(COUNTIF(JP_PAL,BO35)&gt;0,"P",IF(COUNTIF(Feiertage,BO35)&gt;0,"h","w")),"")</f>
        <v>w</v>
      </c>
      <c r="BS36" s="129"/>
      <c r="BT36" s="131" t="str">
        <f>IF(ISNUMBER(BT35),IF(COUNTIF(JP_StartSel,BT35)&gt;0,"S",IF(COUNTIF(Feiertage,BT35)&gt;0,"h","")),"")</f>
        <v/>
      </c>
      <c r="BU36" s="131" t="str">
        <f>IF(ISNUMBER(BT35),IF(COUNTIF(JP_StartInhalt,BT35)&gt;0,"I",IF(COUNTIF(Feiertage,BT35)&gt;0,"h","")),"")</f>
        <v/>
      </c>
      <c r="BV36" s="131" t="str">
        <f>IF(ISNUMBER(BT35),IF(COUNTIF(JP_PAL,BT35)&gt;0,"P",IF(COUNTIF(Feiertage,BT35)&gt;0,"h","")),"")</f>
        <v/>
      </c>
      <c r="BW36" s="131" t="str">
        <f>IF(ISNUMBER(BW35),IF(COUNTIF(JP_StartSel,BW35)&gt;0,"S",IF(COUNTIF(Feiertage,BW35)&gt;0,"h","")),"")</f>
        <v/>
      </c>
      <c r="BX36" s="131" t="str">
        <f>IF(ISNUMBER(BW35),IF(COUNTIF(JP_StartInhalt,BW35)&gt;0,"I",IF(COUNTIF(Feiertage,BW35)&gt;0,"h","")),"")</f>
        <v/>
      </c>
      <c r="BY36" s="131" t="str">
        <f>IF(ISNUMBER(BW35),IF(COUNTIF(JP_PAL,BW35)&gt;0,"P",IF(COUNTIF(Feiertage,BW35)&gt;0,"h","")),"")</f>
        <v/>
      </c>
      <c r="BZ36" s="131" t="str">
        <f>IF(ISNUMBER(BZ35),IF(COUNTIF(JP_StartSel,BZ35)&gt;0,"S",IF(COUNTIF(Feiertage,BZ35)&gt;0,"h","")),"")</f>
        <v/>
      </c>
      <c r="CA36" s="131" t="str">
        <f>IF(ISNUMBER(BZ35),IF(COUNTIF(JP_StartInhalt,BZ35)&gt;0,"I",IF(COUNTIF(Feiertage,BZ35)&gt;0,"h","")),"")</f>
        <v/>
      </c>
      <c r="CB36" s="131" t="str">
        <f>IF(ISNUMBER(BZ35),IF(COUNTIF(JP_PAL,BZ35)&gt;0,"P",IF(COUNTIF(Feiertage,BZ35)&gt;0,"h","")),"")</f>
        <v/>
      </c>
      <c r="CC36" s="131" t="str">
        <f>IF(ISNUMBER(CC35),IF(COUNTIF(JP_StartSel,CC35)&gt;0,"S",IF(COUNTIF(Feiertage,CC35)&gt;0,"h","")),"")</f>
        <v/>
      </c>
      <c r="CD36" s="131" t="str">
        <f>IF(ISNUMBER(CC35),IF(COUNTIF(JP_StartInhalt,CC35)&gt;0,"I",IF(COUNTIF(Feiertage,CC35)&gt;0,"h","")),"")</f>
        <v/>
      </c>
      <c r="CE36" s="131" t="str">
        <f>IF(ISNUMBER(CC35),IF(COUNTIF(JP_PAL,CC35)&gt;0,"P",IF(COUNTIF(Feiertage,CC35)&gt;0,"h","")),"")</f>
        <v/>
      </c>
      <c r="CF36" s="131" t="str">
        <f>IF(ISNUMBER(CF35),IF(COUNTIF(JP_StartSel,CF35)&gt;0,"S",IF(COUNTIF(Feiertage,CF35)&gt;0,"h","")),"")</f>
        <v/>
      </c>
      <c r="CG36" s="131" t="str">
        <f>IF(ISNUMBER(CF35),IF(COUNTIF(JP_StartInhalt,CF35)&gt;0,"I",IF(COUNTIF(Feiertage,CF35)&gt;0,"h","")),"")</f>
        <v/>
      </c>
      <c r="CH36" s="131" t="str">
        <f>IF(ISNUMBER(CF35),IF(COUNTIF(JP_PAL,CF35)&gt;0,"P",IF(COUNTIF(Feiertage,CF35)&gt;0,"h","")),"")</f>
        <v/>
      </c>
      <c r="CI36" s="131" t="str">
        <f>IF(ISNUMBER(CI35),IF(COUNTIF(JP_StartSel,CI35)&gt;0,"S",IF(COUNTIF(Feiertage,CI35)&gt;0,"h","w")),"")</f>
        <v>w</v>
      </c>
      <c r="CJ36" s="131" t="str">
        <f>IF(ISNUMBER(CI35),IF(COUNTIF(JP_StartInhalt,CI35)&gt;0,"I",IF(COUNTIF(Feiertage,CI35)&gt;0,"h","w")),"")</f>
        <v>w</v>
      </c>
      <c r="CK36" s="131" t="str">
        <f>IF(ISNUMBER(CI35),IF(COUNTIF(JP_PAL,CI35)&gt;0,"P",IF(COUNTIF(Feiertage,CI35)&gt;0,"h","w")),"")</f>
        <v>w</v>
      </c>
      <c r="CL36" s="131" t="str">
        <f>IF(ISNUMBER(CL35),IF(COUNTIF(JP_StartSel,CL35)&gt;0,"S",IF(COUNTIF(Feiertage,CL35)&gt;0,"h","w")),"")</f>
        <v>w</v>
      </c>
      <c r="CM36" s="131" t="str">
        <f>IF(ISNUMBER(CL35),IF(COUNTIF(JP_StartInhalt,CL35)&gt;0,"I",IF(COUNTIF(Feiertage,CL35)&gt;0,"h","w")),"")</f>
        <v>w</v>
      </c>
      <c r="CN36" s="131" t="str">
        <f>IF(ISNUMBER(CL35),IF(COUNTIF(JP_PAL,CL35)&gt;0,"P",IF(COUNTIF(Feiertage,CL35)&gt;0,"h","w")),"")</f>
        <v>w</v>
      </c>
    </row>
    <row r="37" ht="16" customHeight="1">
      <c r="B37" s="128">
        <f>IF(OR(ISNUMBER(C37),ISNUMBER(U37)),_xlfn.ISOWEEKNUM($B$27-WEEKDAY($B$27,2)+29),"")</f>
        <v>21</v>
      </c>
      <c r="C37" s="130">
        <f>IF(MONTH($B$27-WEEKDAY($B$27,2)+29)=MONTH($B$27),$B$27-WEEKDAY($B$27,2)+29,"")</f>
        <v>46531</v>
      </c>
      <c r="D37" s="130"/>
      <c r="E37" s="130"/>
      <c r="F37" s="130">
        <f>IF(MONTH($B$27-WEEKDAY($B$27,2)+30)=MONTH($B$27),$B$27-WEEKDAY($B$27,2)+30,"")</f>
        <v>46532</v>
      </c>
      <c r="G37" s="130"/>
      <c r="H37" s="130"/>
      <c r="I37" s="130">
        <f>IF(MONTH($B$27-WEEKDAY($B$27,2)+31)=MONTH($B$27),$B$27-WEEKDAY($B$27,2)+31,"")</f>
        <v>46533</v>
      </c>
      <c r="J37" s="130"/>
      <c r="K37" s="130"/>
      <c r="L37" s="130">
        <f>IF(MONTH($B$27-WEEKDAY($B$27,2)+32)=MONTH($B$27),$B$27-WEEKDAY($B$27,2)+32,"")</f>
        <v>46534</v>
      </c>
      <c r="M37" s="130"/>
      <c r="N37" s="130"/>
      <c r="O37" s="130">
        <f>IF(MONTH($B$27-WEEKDAY($B$27,2)+33)=MONTH($B$27),$B$27-WEEKDAY($B$27,2)+33,"")</f>
        <v>46535</v>
      </c>
      <c r="P37" s="130"/>
      <c r="Q37" s="130"/>
      <c r="R37" s="130">
        <f>IF(MONTH($B$27-WEEKDAY($B$27,2)+34)=MONTH($B$27),$B$27-WEEKDAY($B$27,2)+34,"")</f>
        <v>46536</v>
      </c>
      <c r="S37" s="130"/>
      <c r="T37" s="130"/>
      <c r="U37" s="130">
        <f>IF(MONTH($B$27-WEEKDAY($B$27,2)+35)=MONTH($B$27),$B$27-WEEKDAY($B$27,2)+35,"")</f>
        <v>46537</v>
      </c>
      <c r="V37" s="130"/>
      <c r="W37" s="130"/>
      <c r="Y37" s="128">
        <f>IF(OR(ISNUMBER(Z37),ISNUMBER(AR37)),_xlfn.ISOWEEKNUM($Y$27-WEEKDAY($Y$27,2)+29),"")</f>
        <v>26</v>
      </c>
      <c r="Z37" s="130">
        <f>IF(MONTH($Y$27-WEEKDAY($Y$27,2)+29)=MONTH($Y$27),$Y$27-WEEKDAY($Y$27,2)+29,"")</f>
        <v>46566</v>
      </c>
      <c r="AA37" s="130"/>
      <c r="AB37" s="130"/>
      <c r="AC37" s="130">
        <f>IF(MONTH($Y$27-WEEKDAY($Y$27,2)+30)=MONTH($Y$27),$Y$27-WEEKDAY($Y$27,2)+30,"")</f>
        <v>46567</v>
      </c>
      <c r="AD37" s="130"/>
      <c r="AE37" s="130"/>
      <c r="AF37" s="130">
        <f>IF(MONTH($Y$27-WEEKDAY($Y$27,2)+31)=MONTH($Y$27),$Y$27-WEEKDAY($Y$27,2)+31,"")</f>
        <v>46568</v>
      </c>
      <c r="AG37" s="130"/>
      <c r="AH37" s="130"/>
      <c r="AI37" s="130" t="str">
        <f>IF(MONTH($Y$27-WEEKDAY($Y$27,2)+32)=MONTH($Y$27),$Y$27-WEEKDAY($Y$27,2)+32,"")</f>
        <v/>
      </c>
      <c r="AJ37" s="130"/>
      <c r="AK37" s="130"/>
      <c r="AL37" s="130" t="str">
        <f>IF(MONTH($Y$27-WEEKDAY($Y$27,2)+33)=MONTH($Y$27),$Y$27-WEEKDAY($Y$27,2)+33,"")</f>
        <v/>
      </c>
      <c r="AM37" s="130"/>
      <c r="AN37" s="130"/>
      <c r="AO37" s="130" t="str">
        <f>IF(MONTH($Y$27-WEEKDAY($Y$27,2)+34)=MONTH($Y$27),$Y$27-WEEKDAY($Y$27,2)+34,"")</f>
        <v/>
      </c>
      <c r="AP37" s="130"/>
      <c r="AQ37" s="130"/>
      <c r="AR37" s="130" t="str">
        <f>IF(MONTH($Y$27-WEEKDAY($Y$27,2)+35)=MONTH($Y$27),$Y$27-WEEKDAY($Y$27,2)+35,"")</f>
        <v/>
      </c>
      <c r="AS37" s="130"/>
      <c r="AT37" s="130"/>
      <c r="AV37" s="128">
        <f>IF(OR(ISNUMBER(AW37),ISNUMBER(BO37)),_xlfn.ISOWEEKNUM($AV$27-WEEKDAY($AV$27,2)+29),"")</f>
        <v>30</v>
      </c>
      <c r="AW37" s="130">
        <f>IF(MONTH($AV$27-WEEKDAY($AV$27,2)+29)=MONTH($AV$27),$AV$27-WEEKDAY($AV$27,2)+29,"")</f>
        <v>46594</v>
      </c>
      <c r="AX37" s="130"/>
      <c r="AY37" s="130"/>
      <c r="AZ37" s="130">
        <f>IF(MONTH($AV$27-WEEKDAY($AV$27,2)+30)=MONTH($AV$27),$AV$27-WEEKDAY($AV$27,2)+30,"")</f>
        <v>46595</v>
      </c>
      <c r="BA37" s="130"/>
      <c r="BB37" s="130"/>
      <c r="BC37" s="130">
        <f>IF(MONTH($AV$27-WEEKDAY($AV$27,2)+31)=MONTH($AV$27),$AV$27-WEEKDAY($AV$27,2)+31,"")</f>
        <v>46596</v>
      </c>
      <c r="BD37" s="130"/>
      <c r="BE37" s="130"/>
      <c r="BF37" s="130">
        <f>IF(MONTH($AV$27-WEEKDAY($AV$27,2)+32)=MONTH($AV$27),$AV$27-WEEKDAY($AV$27,2)+32,"")</f>
        <v>46597</v>
      </c>
      <c r="BG37" s="130"/>
      <c r="BH37" s="130"/>
      <c r="BI37" s="130">
        <f>IF(MONTH($AV$27-WEEKDAY($AV$27,2)+33)=MONTH($AV$27),$AV$27-WEEKDAY($AV$27,2)+33,"")</f>
        <v>46598</v>
      </c>
      <c r="BJ37" s="130"/>
      <c r="BK37" s="130"/>
      <c r="BL37" s="130">
        <f>IF(MONTH($AV$27-WEEKDAY($AV$27,2)+34)=MONTH($AV$27),$AV$27-WEEKDAY($AV$27,2)+34,"")</f>
        <v>46599</v>
      </c>
      <c r="BM37" s="130"/>
      <c r="BN37" s="130"/>
      <c r="BO37" s="130" t="str">
        <f>IF(MONTH($AV$27-WEEKDAY($AV$27,2)+35)=MONTH($AV$27),$AV$27-WEEKDAY($AV$27,2)+35,"")</f>
        <v/>
      </c>
      <c r="BP37" s="130"/>
      <c r="BQ37" s="130"/>
      <c r="BS37" s="128">
        <f>IF(OR(ISNUMBER(BT37),ISNUMBER(CL37)),_xlfn.ISOWEEKNUM($BS$27-WEEKDAY($BS$27,2)+29),"")</f>
        <v>34</v>
      </c>
      <c r="BT37" s="130">
        <f>IF(MONTH($BS$27-WEEKDAY($BS$27,2)+29)=MONTH($BS$27),$BS$27-WEEKDAY($BS$27,2)+29,"")</f>
        <v>46622</v>
      </c>
      <c r="BU37" s="130"/>
      <c r="BV37" s="130"/>
      <c r="BW37" s="130">
        <f>IF(MONTH($BS$27-WEEKDAY($BS$27,2)+30)=MONTH($BS$27),$BS$27-WEEKDAY($BS$27,2)+30,"")</f>
        <v>46623</v>
      </c>
      <c r="BX37" s="130"/>
      <c r="BY37" s="130"/>
      <c r="BZ37" s="130">
        <f>IF(MONTH($BS$27-WEEKDAY($BS$27,2)+31)=MONTH($BS$27),$BS$27-WEEKDAY($BS$27,2)+31,"")</f>
        <v>46624</v>
      </c>
      <c r="CA37" s="130"/>
      <c r="CB37" s="130"/>
      <c r="CC37" s="130">
        <f>IF(MONTH($BS$27-WEEKDAY($BS$27,2)+32)=MONTH($BS$27),$BS$27-WEEKDAY($BS$27,2)+32,"")</f>
        <v>46625</v>
      </c>
      <c r="CD37" s="130"/>
      <c r="CE37" s="130"/>
      <c r="CF37" s="130">
        <f>IF(MONTH($BS$27-WEEKDAY($BS$27,2)+33)=MONTH($BS$27),$BS$27-WEEKDAY($BS$27,2)+33,"")</f>
        <v>46626</v>
      </c>
      <c r="CG37" s="130"/>
      <c r="CH37" s="130"/>
      <c r="CI37" s="130">
        <f>IF(MONTH($BS$27-WEEKDAY($BS$27,2)+34)=MONTH($BS$27),$BS$27-WEEKDAY($BS$27,2)+34,"")</f>
        <v>46627</v>
      </c>
      <c r="CJ37" s="130"/>
      <c r="CK37" s="130"/>
      <c r="CL37" s="130">
        <f>IF(MONTH($BS$27-WEEKDAY($BS$27,2)+35)=MONTH($BS$27),$BS$27-WEEKDAY($BS$27,2)+35,"")</f>
        <v>46628</v>
      </c>
      <c r="CM37" s="130"/>
      <c r="CN37" s="130"/>
    </row>
    <row r="38" ht="10.5" customHeight="1">
      <c r="B38" s="129"/>
      <c r="C38" s="131" t="str">
        <f>IF(ISNUMBER(C37),IF(COUNTIF(JP_StartSel,C37)&gt;0,"S",IF(COUNTIF(Feiertage,C37)&gt;0,"h","")),"")</f>
        <v/>
      </c>
      <c r="D38" s="131" t="str">
        <f>IF(ISNUMBER(C37),IF(COUNTIF(JP_StartInhalt,C37)&gt;0,"I",IF(COUNTIF(Feiertage,C37)&gt;0,"h","")),"")</f>
        <v/>
      </c>
      <c r="E38" s="131" t="str">
        <f>IF(ISNUMBER(C37),IF(COUNTIF(JP_PAL,C37)&gt;0,"P",IF(COUNTIF(Feiertage,C37)&gt;0,"h","")),"")</f>
        <v/>
      </c>
      <c r="F38" s="131" t="str">
        <f>IF(ISNUMBER(F37),IF(COUNTIF(JP_StartSel,F37)&gt;0,"S",IF(COUNTIF(Feiertage,F37)&gt;0,"h","")),"")</f>
        <v/>
      </c>
      <c r="G38" s="131" t="str">
        <f>IF(ISNUMBER(F37),IF(COUNTIF(JP_StartInhalt,F37)&gt;0,"I",IF(COUNTIF(Feiertage,F37)&gt;0,"h","")),"")</f>
        <v/>
      </c>
      <c r="H38" s="131" t="str">
        <f>IF(ISNUMBER(F37),IF(COUNTIF(JP_PAL,F37)&gt;0,"P",IF(COUNTIF(Feiertage,F37)&gt;0,"h","")),"")</f>
        <v/>
      </c>
      <c r="I38" s="131" t="str">
        <f>IF(ISNUMBER(I37),IF(COUNTIF(JP_StartSel,I37)&gt;0,"S",IF(COUNTIF(Feiertage,I37)&gt;0,"h","")),"")</f>
        <v/>
      </c>
      <c r="J38" s="131" t="str">
        <f>IF(ISNUMBER(I37),IF(COUNTIF(JP_StartInhalt,I37)&gt;0,"I",IF(COUNTIF(Feiertage,I37)&gt;0,"h","")),"")</f>
        <v/>
      </c>
      <c r="K38" s="131" t="str">
        <f>IF(ISNUMBER(I37),IF(COUNTIF(JP_PAL,I37)&gt;0,"P",IF(COUNTIF(Feiertage,I37)&gt;0,"h","")),"")</f>
        <v/>
      </c>
      <c r="L38" s="131" t="str">
        <f>IF(ISNUMBER(L37),IF(COUNTIF(JP_StartSel,L37)&gt;0,"S",IF(COUNTIF(Feiertage,L37)&gt;0,"h","")),"")</f>
        <v>h</v>
      </c>
      <c r="M38" s="131" t="str">
        <f>IF(ISNUMBER(L37),IF(COUNTIF(JP_StartInhalt,L37)&gt;0,"I",IF(COUNTIF(Feiertage,L37)&gt;0,"h","")),"")</f>
        <v>h</v>
      </c>
      <c r="N38" s="131" t="str">
        <f>IF(ISNUMBER(L37),IF(COUNTIF(JP_PAL,L37)&gt;0,"P",IF(COUNTIF(Feiertage,L37)&gt;0,"h","")),"")</f>
        <v>h</v>
      </c>
      <c r="O38" s="131" t="str">
        <f>IF(ISNUMBER(O37),IF(COUNTIF(JP_StartSel,O37)&gt;0,"S",IF(COUNTIF(Feiertage,O37)&gt;0,"h","")),"")</f>
        <v/>
      </c>
      <c r="P38" s="131" t="str">
        <f>IF(ISNUMBER(O37),IF(COUNTIF(JP_StartInhalt,O37)&gt;0,"I",IF(COUNTIF(Feiertage,O37)&gt;0,"h","")),"")</f>
        <v/>
      </c>
      <c r="Q38" s="131" t="str">
        <f>IF(ISNUMBER(O37),IF(COUNTIF(JP_PAL,O37)&gt;0,"P",IF(COUNTIF(Feiertage,O37)&gt;0,"h","")),"")</f>
        <v/>
      </c>
      <c r="R38" s="131" t="str">
        <f>IF(ISNUMBER(R37),IF(COUNTIF(JP_StartSel,R37)&gt;0,"S",IF(COUNTIF(Feiertage,R37)&gt;0,"h","w")),"")</f>
        <v>w</v>
      </c>
      <c r="S38" s="131" t="str">
        <f>IF(ISNUMBER(R37),IF(COUNTIF(JP_StartInhalt,R37)&gt;0,"I",IF(COUNTIF(Feiertage,R37)&gt;0,"h","w")),"")</f>
        <v>w</v>
      </c>
      <c r="T38" s="131" t="str">
        <f>IF(ISNUMBER(R37),IF(COUNTIF(JP_PAL,R37)&gt;0,"P",IF(COUNTIF(Feiertage,R37)&gt;0,"h","w")),"")</f>
        <v>w</v>
      </c>
      <c r="U38" s="131" t="str">
        <f>IF(ISNUMBER(U37),IF(COUNTIF(JP_StartSel,U37)&gt;0,"S",IF(COUNTIF(Feiertage,U37)&gt;0,"h","w")),"")</f>
        <v>w</v>
      </c>
      <c r="V38" s="131" t="str">
        <f>IF(ISNUMBER(U37),IF(COUNTIF(JP_StartInhalt,U37)&gt;0,"I",IF(COUNTIF(Feiertage,U37)&gt;0,"h","w")),"")</f>
        <v>w</v>
      </c>
      <c r="W38" s="131" t="str">
        <f>IF(ISNUMBER(U37),IF(COUNTIF(JP_PAL,U37)&gt;0,"P",IF(COUNTIF(Feiertage,U37)&gt;0,"h","w")),"")</f>
        <v>w</v>
      </c>
      <c r="Y38" s="129"/>
      <c r="Z38" s="131" t="str">
        <f>IF(ISNUMBER(Z37),IF(COUNTIF(JP_StartSel,Z37)&gt;0,"S",IF(COUNTIF(Feiertage,Z37)&gt;0,"h","")),"")</f>
        <v/>
      </c>
      <c r="AA38" s="131" t="str">
        <f>IF(ISNUMBER(Z37),IF(COUNTIF(JP_StartInhalt,Z37)&gt;0,"I",IF(COUNTIF(Feiertage,Z37)&gt;0,"h","")),"")</f>
        <v/>
      </c>
      <c r="AB38" s="131" t="str">
        <f>IF(ISNUMBER(Z37),IF(COUNTIF(JP_PAL,Z37)&gt;0,"P",IF(COUNTIF(Feiertage,Z37)&gt;0,"h","")),"")</f>
        <v/>
      </c>
      <c r="AC38" s="131" t="str">
        <f>IF(ISNUMBER(AC37),IF(COUNTIF(JP_StartSel,AC37)&gt;0,"S",IF(COUNTIF(Feiertage,AC37)&gt;0,"h","")),"")</f>
        <v/>
      </c>
      <c r="AD38" s="131" t="str">
        <f>IF(ISNUMBER(AC37),IF(COUNTIF(JP_StartInhalt,AC37)&gt;0,"I",IF(COUNTIF(Feiertage,AC37)&gt;0,"h","")),"")</f>
        <v/>
      </c>
      <c r="AE38" s="131" t="str">
        <f>IF(ISNUMBER(AC37),IF(COUNTIF(JP_PAL,AC37)&gt;0,"P",IF(COUNTIF(Feiertage,AC37)&gt;0,"h","")),"")</f>
        <v/>
      </c>
      <c r="AF38" s="131" t="str">
        <f>IF(ISNUMBER(AF37),IF(COUNTIF(JP_StartSel,AF37)&gt;0,"S",IF(COUNTIF(Feiertage,AF37)&gt;0,"h","")),"")</f>
        <v/>
      </c>
      <c r="AG38" s="131" t="str">
        <f>IF(ISNUMBER(AF37),IF(COUNTIF(JP_StartInhalt,AF37)&gt;0,"I",IF(COUNTIF(Feiertage,AF37)&gt;0,"h","")),"")</f>
        <v>I</v>
      </c>
      <c r="AH38" s="131" t="str">
        <f>IF(ISNUMBER(AF37),IF(COUNTIF(JP_PAL,AF37)&gt;0,"P",IF(COUNTIF(Feiertage,AF37)&gt;0,"h","")),"")</f>
        <v/>
      </c>
      <c r="AI38" s="131" t="str">
        <f>IF(ISNUMBER(AI37),IF(COUNTIF(JP_StartSel,AI37)&gt;0,"S",IF(COUNTIF(Feiertage,AI37)&gt;0,"h","")),"")</f>
        <v/>
      </c>
      <c r="AJ38" s="131" t="str">
        <f>IF(ISNUMBER(AI37),IF(COUNTIF(JP_StartInhalt,AI37)&gt;0,"I",IF(COUNTIF(Feiertage,AI37)&gt;0,"h","")),"")</f>
        <v/>
      </c>
      <c r="AK38" s="131" t="str">
        <f>IF(ISNUMBER(AI37),IF(COUNTIF(JP_PAL,AI37)&gt;0,"P",IF(COUNTIF(Feiertage,AI37)&gt;0,"h","")),"")</f>
        <v/>
      </c>
      <c r="AL38" s="131" t="str">
        <f>IF(ISNUMBER(AL37),IF(COUNTIF(JP_StartSel,AL37)&gt;0,"S",IF(COUNTIF(Feiertage,AL37)&gt;0,"h","")),"")</f>
        <v/>
      </c>
      <c r="AM38" s="131" t="str">
        <f>IF(ISNUMBER(AL37),IF(COUNTIF(JP_StartInhalt,AL37)&gt;0,"I",IF(COUNTIF(Feiertage,AL37)&gt;0,"h","")),"")</f>
        <v/>
      </c>
      <c r="AN38" s="131" t="str">
        <f>IF(ISNUMBER(AL37),IF(COUNTIF(JP_PAL,AL37)&gt;0,"P",IF(COUNTIF(Feiertage,AL37)&gt;0,"h","")),"")</f>
        <v/>
      </c>
      <c r="AO38" s="131" t="str">
        <f>IF(ISNUMBER(AO37),IF(COUNTIF(JP_StartSel,AO37)&gt;0,"S",IF(COUNTIF(Feiertage,AO37)&gt;0,"h","w")),"")</f>
        <v/>
      </c>
      <c r="AP38" s="131" t="str">
        <f>IF(ISNUMBER(AO37),IF(COUNTIF(JP_StartInhalt,AO37)&gt;0,"I",IF(COUNTIF(Feiertage,AO37)&gt;0,"h","w")),"")</f>
        <v/>
      </c>
      <c r="AQ38" s="131" t="str">
        <f>IF(ISNUMBER(AO37),IF(COUNTIF(JP_PAL,AO37)&gt;0,"P",IF(COUNTIF(Feiertage,AO37)&gt;0,"h","w")),"")</f>
        <v/>
      </c>
      <c r="AR38" s="131" t="str">
        <f>IF(ISNUMBER(AR37),IF(COUNTIF(JP_StartSel,AR37)&gt;0,"S",IF(COUNTIF(Feiertage,AR37)&gt;0,"h","w")),"")</f>
        <v/>
      </c>
      <c r="AS38" s="131" t="str">
        <f>IF(ISNUMBER(AR37),IF(COUNTIF(JP_StartInhalt,AR37)&gt;0,"I",IF(COUNTIF(Feiertage,AR37)&gt;0,"h","w")),"")</f>
        <v/>
      </c>
      <c r="AT38" s="131" t="str">
        <f>IF(ISNUMBER(AR37),IF(COUNTIF(JP_PAL,AR37)&gt;0,"P",IF(COUNTIF(Feiertage,AR37)&gt;0,"h","w")),"")</f>
        <v/>
      </c>
      <c r="AV38" s="129"/>
      <c r="AW38" s="131" t="str">
        <f>IF(ISNUMBER(AW37),IF(COUNTIF(JP_StartSel,AW37)&gt;0,"S",IF(COUNTIF(Feiertage,AW37)&gt;0,"h","")),"")</f>
        <v/>
      </c>
      <c r="AX38" s="131" t="str">
        <f>IF(ISNUMBER(AW37),IF(COUNTIF(JP_StartInhalt,AW37)&gt;0,"I",IF(COUNTIF(Feiertage,AW37)&gt;0,"h","")),"")</f>
        <v/>
      </c>
      <c r="AY38" s="131" t="str">
        <f>IF(ISNUMBER(AW37),IF(COUNTIF(JP_PAL,AW37)&gt;0,"P",IF(COUNTIF(Feiertage,AW37)&gt;0,"h","")),"")</f>
        <v/>
      </c>
      <c r="AZ38" s="131" t="str">
        <f>IF(ISNUMBER(AZ37),IF(COUNTIF(JP_StartSel,AZ37)&gt;0,"S",IF(COUNTIF(Feiertage,AZ37)&gt;0,"h","")),"")</f>
        <v/>
      </c>
      <c r="BA38" s="131" t="str">
        <f>IF(ISNUMBER(AZ37),IF(COUNTIF(JP_StartInhalt,AZ37)&gt;0,"I",IF(COUNTIF(Feiertage,AZ37)&gt;0,"h","")),"")</f>
        <v/>
      </c>
      <c r="BB38" s="131" t="str">
        <f>IF(ISNUMBER(AZ37),IF(COUNTIF(JP_PAL,AZ37)&gt;0,"P",IF(COUNTIF(Feiertage,AZ37)&gt;0,"h","")),"")</f>
        <v/>
      </c>
      <c r="BC38" s="131" t="str">
        <f>IF(ISNUMBER(BC37),IF(COUNTIF(JP_StartSel,BC37)&gt;0,"S",IF(COUNTIF(Feiertage,BC37)&gt;0,"h","")),"")</f>
        <v/>
      </c>
      <c r="BD38" s="131" t="str">
        <f>IF(ISNUMBER(BC37),IF(COUNTIF(JP_StartInhalt,BC37)&gt;0,"I",IF(COUNTIF(Feiertage,BC37)&gt;0,"h","")),"")</f>
        <v>I</v>
      </c>
      <c r="BE38" s="131" t="str">
        <f>IF(ISNUMBER(BC37),IF(COUNTIF(JP_PAL,BC37)&gt;0,"P",IF(COUNTIF(Feiertage,BC37)&gt;0,"h","")),"")</f>
        <v/>
      </c>
      <c r="BF38" s="131" t="str">
        <f>IF(ISNUMBER(BF37),IF(COUNTIF(JP_StartSel,BF37)&gt;0,"S",IF(COUNTIF(Feiertage,BF37)&gt;0,"h","")),"")</f>
        <v/>
      </c>
      <c r="BG38" s="131" t="str">
        <f>IF(ISNUMBER(BF37),IF(COUNTIF(JP_StartInhalt,BF37)&gt;0,"I",IF(COUNTIF(Feiertage,BF37)&gt;0,"h","")),"")</f>
        <v/>
      </c>
      <c r="BH38" s="131" t="str">
        <f>IF(ISNUMBER(BF37),IF(COUNTIF(JP_PAL,BF37)&gt;0,"P",IF(COUNTIF(Feiertage,BF37)&gt;0,"h","")),"")</f>
        <v/>
      </c>
      <c r="BI38" s="131" t="str">
        <f>IF(ISNUMBER(BI37),IF(COUNTIF(JP_StartSel,BI37)&gt;0,"S",IF(COUNTIF(Feiertage,BI37)&gt;0,"h","")),"")</f>
        <v/>
      </c>
      <c r="BJ38" s="131" t="str">
        <f>IF(ISNUMBER(BI37),IF(COUNTIF(JP_StartInhalt,BI37)&gt;0,"I",IF(COUNTIF(Feiertage,BI37)&gt;0,"h","")),"")</f>
        <v/>
      </c>
      <c r="BK38" s="131" t="str">
        <f>IF(ISNUMBER(BI37),IF(COUNTIF(JP_PAL,BI37)&gt;0,"P",IF(COUNTIF(Feiertage,BI37)&gt;0,"h","")),"")</f>
        <v/>
      </c>
      <c r="BL38" s="131" t="str">
        <f>IF(ISNUMBER(BL37),IF(COUNTIF(JP_StartSel,BL37)&gt;0,"S",IF(COUNTIF(Feiertage,BL37)&gt;0,"h","w")),"")</f>
        <v>w</v>
      </c>
      <c r="BM38" s="131" t="str">
        <f>IF(ISNUMBER(BL37),IF(COUNTIF(JP_StartInhalt,BL37)&gt;0,"I",IF(COUNTIF(Feiertage,BL37)&gt;0,"h","w")),"")</f>
        <v>w</v>
      </c>
      <c r="BN38" s="131" t="str">
        <f>IF(ISNUMBER(BL37),IF(COUNTIF(JP_PAL,BL37)&gt;0,"P",IF(COUNTIF(Feiertage,BL37)&gt;0,"h","w")),"")</f>
        <v>w</v>
      </c>
      <c r="BO38" s="131" t="str">
        <f>IF(ISNUMBER(BO37),IF(COUNTIF(JP_StartSel,BO37)&gt;0,"S",IF(COUNTIF(Feiertage,BO37)&gt;0,"h","w")),"")</f>
        <v/>
      </c>
      <c r="BP38" s="131" t="str">
        <f>IF(ISNUMBER(BO37),IF(COUNTIF(JP_StartInhalt,BO37)&gt;0,"I",IF(COUNTIF(Feiertage,BO37)&gt;0,"h","w")),"")</f>
        <v/>
      </c>
      <c r="BQ38" s="131" t="str">
        <f>IF(ISNUMBER(BO37),IF(COUNTIF(JP_PAL,BO37)&gt;0,"P",IF(COUNTIF(Feiertage,BO37)&gt;0,"h","w")),"")</f>
        <v/>
      </c>
      <c r="BS38" s="129"/>
      <c r="BT38" s="131" t="str">
        <f>IF(ISNUMBER(BT37),IF(COUNTIF(JP_StartSel,BT37)&gt;0,"S",IF(COUNTIF(Feiertage,BT37)&gt;0,"h","")),"")</f>
        <v/>
      </c>
      <c r="BU38" s="131" t="str">
        <f>IF(ISNUMBER(BT37),IF(COUNTIF(JP_StartInhalt,BT37)&gt;0,"I",IF(COUNTIF(Feiertage,BT37)&gt;0,"h","")),"")</f>
        <v/>
      </c>
      <c r="BV38" s="131" t="str">
        <f>IF(ISNUMBER(BT37),IF(COUNTIF(JP_PAL,BT37)&gt;0,"P",IF(COUNTIF(Feiertage,BT37)&gt;0,"h","")),"")</f>
        <v/>
      </c>
      <c r="BW38" s="131" t="str">
        <f>IF(ISNUMBER(BW37),IF(COUNTIF(JP_StartSel,BW37)&gt;0,"S",IF(COUNTIF(Feiertage,BW37)&gt;0,"h","")),"")</f>
        <v/>
      </c>
      <c r="BX38" s="131" t="str">
        <f>IF(ISNUMBER(BW37),IF(COUNTIF(JP_StartInhalt,BW37)&gt;0,"I",IF(COUNTIF(Feiertage,BW37)&gt;0,"h","")),"")</f>
        <v/>
      </c>
      <c r="BY38" s="131" t="str">
        <f>IF(ISNUMBER(BW37),IF(COUNTIF(JP_PAL,BW37)&gt;0,"P",IF(COUNTIF(Feiertage,BW37)&gt;0,"h","")),"")</f>
        <v/>
      </c>
      <c r="BZ38" s="131" t="str">
        <f>IF(ISNUMBER(BZ37),IF(COUNTIF(JP_StartSel,BZ37)&gt;0,"S",IF(COUNTIF(Feiertage,BZ37)&gt;0,"h","")),"")</f>
        <v/>
      </c>
      <c r="CA38" s="131" t="str">
        <f>IF(ISNUMBER(BZ37),IF(COUNTIF(JP_StartInhalt,BZ37)&gt;0,"I",IF(COUNTIF(Feiertage,BZ37)&gt;0,"h","")),"")</f>
        <v>I</v>
      </c>
      <c r="CB38" s="131" t="str">
        <f>IF(ISNUMBER(BZ37),IF(COUNTIF(JP_PAL,BZ37)&gt;0,"P",IF(COUNTIF(Feiertage,BZ37)&gt;0,"h","")),"")</f>
        <v/>
      </c>
      <c r="CC38" s="131" t="str">
        <f>IF(ISNUMBER(CC37),IF(COUNTIF(JP_StartSel,CC37)&gt;0,"S",IF(COUNTIF(Feiertage,CC37)&gt;0,"h","")),"")</f>
        <v/>
      </c>
      <c r="CD38" s="131" t="str">
        <f>IF(ISNUMBER(CC37),IF(COUNTIF(JP_StartInhalt,CC37)&gt;0,"I",IF(COUNTIF(Feiertage,CC37)&gt;0,"h","")),"")</f>
        <v/>
      </c>
      <c r="CE38" s="131" t="str">
        <f>IF(ISNUMBER(CC37),IF(COUNTIF(JP_PAL,CC37)&gt;0,"P",IF(COUNTIF(Feiertage,CC37)&gt;0,"h","")),"")</f>
        <v/>
      </c>
      <c r="CF38" s="131" t="str">
        <f>IF(ISNUMBER(CF37),IF(COUNTIF(JP_StartSel,CF37)&gt;0,"S",IF(COUNTIF(Feiertage,CF37)&gt;0,"h","")),"")</f>
        <v/>
      </c>
      <c r="CG38" s="131" t="str">
        <f>IF(ISNUMBER(CF37),IF(COUNTIF(JP_StartInhalt,CF37)&gt;0,"I",IF(COUNTIF(Feiertage,CF37)&gt;0,"h","")),"")</f>
        <v/>
      </c>
      <c r="CH38" s="131" t="str">
        <f>IF(ISNUMBER(CF37),IF(COUNTIF(JP_PAL,CF37)&gt;0,"P",IF(COUNTIF(Feiertage,CF37)&gt;0,"h","")),"")</f>
        <v>P</v>
      </c>
      <c r="CI38" s="131" t="str">
        <f>IF(ISNUMBER(CI37),IF(COUNTIF(JP_StartSel,CI37)&gt;0,"S",IF(COUNTIF(Feiertage,CI37)&gt;0,"h","w")),"")</f>
        <v>w</v>
      </c>
      <c r="CJ38" s="131" t="str">
        <f>IF(ISNUMBER(CI37),IF(COUNTIF(JP_StartInhalt,CI37)&gt;0,"I",IF(COUNTIF(Feiertage,CI37)&gt;0,"h","w")),"")</f>
        <v>w</v>
      </c>
      <c r="CK38" s="131" t="str">
        <f>IF(ISNUMBER(CI37),IF(COUNTIF(JP_PAL,CI37)&gt;0,"P",IF(COUNTIF(Feiertage,CI37)&gt;0,"h","w")),"")</f>
        <v>w</v>
      </c>
      <c r="CL38" s="131" t="str">
        <f>IF(ISNUMBER(CL37),IF(COUNTIF(JP_StartSel,CL37)&gt;0,"S",IF(COUNTIF(Feiertage,CL37)&gt;0,"h","w")),"")</f>
        <v>w</v>
      </c>
      <c r="CM38" s="131" t="str">
        <f>IF(ISNUMBER(CL37),IF(COUNTIF(JP_StartInhalt,CL37)&gt;0,"I",IF(COUNTIF(Feiertage,CL37)&gt;0,"h","w")),"")</f>
        <v>w</v>
      </c>
      <c r="CN38" s="131" t="str">
        <f>IF(ISNUMBER(CL37),IF(COUNTIF(JP_PAL,CL37)&gt;0,"P",IF(COUNTIF(Feiertage,CL37)&gt;0,"h","w")),"")</f>
        <v>w</v>
      </c>
    </row>
    <row r="39" ht="16" customHeight="1">
      <c r="B39" s="128">
        <f>IF(OR(ISNUMBER(C39),ISNUMBER(U39)),_xlfn.ISOWEEKNUM($B$27-WEEKDAY($B$27,2)+36),"")</f>
        <v>22</v>
      </c>
      <c r="C39" s="130">
        <f>IF(MONTH($B$27-WEEKDAY($B$27,2)+36)=MONTH($B$27),$B$27-WEEKDAY($B$27,2)+36,"")</f>
        <v>46538</v>
      </c>
      <c r="D39" s="130"/>
      <c r="E39" s="130"/>
      <c r="F39" s="130" t="str">
        <f>IF(MONTH($B$27-WEEKDAY($B$27,2)+37)=MONTH($B$27),$B$27-WEEKDAY($B$27,2)+37,"")</f>
        <v/>
      </c>
      <c r="G39" s="130"/>
      <c r="H39" s="130"/>
      <c r="I39" s="130" t="str">
        <f>IF(MONTH($B$27-WEEKDAY($B$27,2)+38)=MONTH($B$27),$B$27-WEEKDAY($B$27,2)+38,"")</f>
        <v/>
      </c>
      <c r="J39" s="130"/>
      <c r="K39" s="130"/>
      <c r="L39" s="130" t="str">
        <f>IF(MONTH($B$27-WEEKDAY($B$27,2)+39)=MONTH($B$27),$B$27-WEEKDAY($B$27,2)+39,"")</f>
        <v/>
      </c>
      <c r="M39" s="130"/>
      <c r="N39" s="130"/>
      <c r="O39" s="130" t="str">
        <f>IF(MONTH($B$27-WEEKDAY($B$27,2)+40)=MONTH($B$27),$B$27-WEEKDAY($B$27,2)+40,"")</f>
        <v/>
      </c>
      <c r="P39" s="130"/>
      <c r="Q39" s="130"/>
      <c r="R39" s="130" t="str">
        <f>IF(MONTH($B$27-WEEKDAY($B$27,2)+41)=MONTH($B$27),$B$27-WEEKDAY($B$27,2)+41,"")</f>
        <v/>
      </c>
      <c r="S39" s="130"/>
      <c r="T39" s="130"/>
      <c r="U39" s="130" t="str">
        <f>IF(MONTH($B$27-WEEKDAY($B$27,2)+42)=MONTH($B$27),$B$27-WEEKDAY($B$27,2)+42,"")</f>
        <v/>
      </c>
      <c r="V39" s="130"/>
      <c r="W39" s="130"/>
      <c r="Y39" s="128" t="str">
        <f>IF(OR(ISNUMBER(Z39),ISNUMBER(AR39)),_xlfn.ISOWEEKNUM($Y$27-WEEKDAY($Y$27,2)+36),"")</f>
        <v/>
      </c>
      <c r="Z39" s="130" t="str">
        <f>IF(MONTH($Y$27-WEEKDAY($Y$27,2)+36)=MONTH($Y$27),$Y$27-WEEKDAY($Y$27,2)+36,"")</f>
        <v/>
      </c>
      <c r="AA39" s="130"/>
      <c r="AB39" s="130"/>
      <c r="AC39" s="130" t="str">
        <f>IF(MONTH($Y$27-WEEKDAY($Y$27,2)+37)=MONTH($Y$27),$Y$27-WEEKDAY($Y$27,2)+37,"")</f>
        <v/>
      </c>
      <c r="AD39" s="130"/>
      <c r="AE39" s="130"/>
      <c r="AF39" s="130" t="str">
        <f>IF(MONTH($Y$27-WEEKDAY($Y$27,2)+38)=MONTH($Y$27),$Y$27-WEEKDAY($Y$27,2)+38,"")</f>
        <v/>
      </c>
      <c r="AG39" s="130"/>
      <c r="AH39" s="130"/>
      <c r="AI39" s="130" t="str">
        <f>IF(MONTH($Y$27-WEEKDAY($Y$27,2)+39)=MONTH($Y$27),$Y$27-WEEKDAY($Y$27,2)+39,"")</f>
        <v/>
      </c>
      <c r="AJ39" s="130"/>
      <c r="AK39" s="130"/>
      <c r="AL39" s="130" t="str">
        <f>IF(MONTH($Y$27-WEEKDAY($Y$27,2)+40)=MONTH($Y$27),$Y$27-WEEKDAY($Y$27,2)+40,"")</f>
        <v/>
      </c>
      <c r="AM39" s="130"/>
      <c r="AN39" s="130"/>
      <c r="AO39" s="130" t="str">
        <f>IF(MONTH($Y$27-WEEKDAY($Y$27,2)+41)=MONTH($Y$27),$Y$27-WEEKDAY($Y$27,2)+41,"")</f>
        <v/>
      </c>
      <c r="AP39" s="130"/>
      <c r="AQ39" s="130"/>
      <c r="AR39" s="130" t="str">
        <f>IF(MONTH($Y$27-WEEKDAY($Y$27,2)+42)=MONTH($Y$27),$Y$27-WEEKDAY($Y$27,2)+42,"")</f>
        <v/>
      </c>
      <c r="AS39" s="130"/>
      <c r="AT39" s="130"/>
      <c r="AV39" s="128" t="str">
        <f>IF(OR(ISNUMBER(AW39),ISNUMBER(BO39)),_xlfn.ISOWEEKNUM($AV$27-WEEKDAY($AV$27,2)+36),"")</f>
        <v/>
      </c>
      <c r="AW39" s="130" t="str">
        <f>IF(MONTH($AV$27-WEEKDAY($AV$27,2)+36)=MONTH($AV$27),$AV$27-WEEKDAY($AV$27,2)+36,"")</f>
        <v/>
      </c>
      <c r="AX39" s="130"/>
      <c r="AY39" s="130"/>
      <c r="AZ39" s="130" t="str">
        <f>IF(MONTH($AV$27-WEEKDAY($AV$27,2)+37)=MONTH($AV$27),$AV$27-WEEKDAY($AV$27,2)+37,"")</f>
        <v/>
      </c>
      <c r="BA39" s="130"/>
      <c r="BB39" s="130"/>
      <c r="BC39" s="130" t="str">
        <f>IF(MONTH($AV$27-WEEKDAY($AV$27,2)+38)=MONTH($AV$27),$AV$27-WEEKDAY($AV$27,2)+38,"")</f>
        <v/>
      </c>
      <c r="BD39" s="130"/>
      <c r="BE39" s="130"/>
      <c r="BF39" s="130" t="str">
        <f>IF(MONTH($AV$27-WEEKDAY($AV$27,2)+39)=MONTH($AV$27),$AV$27-WEEKDAY($AV$27,2)+39,"")</f>
        <v/>
      </c>
      <c r="BG39" s="130"/>
      <c r="BH39" s="130"/>
      <c r="BI39" s="130" t="str">
        <f>IF(MONTH($AV$27-WEEKDAY($AV$27,2)+40)=MONTH($AV$27),$AV$27-WEEKDAY($AV$27,2)+40,"")</f>
        <v/>
      </c>
      <c r="BJ39" s="130"/>
      <c r="BK39" s="130"/>
      <c r="BL39" s="130" t="str">
        <f>IF(MONTH($AV$27-WEEKDAY($AV$27,2)+41)=MONTH($AV$27),$AV$27-WEEKDAY($AV$27,2)+41,"")</f>
        <v/>
      </c>
      <c r="BM39" s="130"/>
      <c r="BN39" s="130"/>
      <c r="BO39" s="130" t="str">
        <f>IF(MONTH($AV$27-WEEKDAY($AV$27,2)+42)=MONTH($AV$27),$AV$27-WEEKDAY($AV$27,2)+42,"")</f>
        <v/>
      </c>
      <c r="BP39" s="130"/>
      <c r="BQ39" s="130"/>
      <c r="BS39" s="128">
        <f>IF(OR(ISNUMBER(BT39),ISNUMBER(CL39)),_xlfn.ISOWEEKNUM($BS$27-WEEKDAY($BS$27,2)+36),"")</f>
        <v>35</v>
      </c>
      <c r="BT39" s="130">
        <f>IF(MONTH($BS$27-WEEKDAY($BS$27,2)+36)=MONTH($BS$27),$BS$27-WEEKDAY($BS$27,2)+36,"")</f>
        <v>46629</v>
      </c>
      <c r="BU39" s="130"/>
      <c r="BV39" s="130"/>
      <c r="BW39" s="130">
        <f>IF(MONTH($BS$27-WEEKDAY($BS$27,2)+37)=MONTH($BS$27),$BS$27-WEEKDAY($BS$27,2)+37,"")</f>
        <v>46630</v>
      </c>
      <c r="BX39" s="130"/>
      <c r="BY39" s="130"/>
      <c r="BZ39" s="130" t="str">
        <f>IF(MONTH($BS$27-WEEKDAY($BS$27,2)+38)=MONTH($BS$27),$BS$27-WEEKDAY($BS$27,2)+38,"")</f>
        <v/>
      </c>
      <c r="CA39" s="130"/>
      <c r="CB39" s="130"/>
      <c r="CC39" s="130" t="str">
        <f>IF(MONTH($BS$27-WEEKDAY($BS$27,2)+39)=MONTH($BS$27),$BS$27-WEEKDAY($BS$27,2)+39,"")</f>
        <v/>
      </c>
      <c r="CD39" s="130"/>
      <c r="CE39" s="130"/>
      <c r="CF39" s="130" t="str">
        <f>IF(MONTH($BS$27-WEEKDAY($BS$27,2)+40)=MONTH($BS$27),$BS$27-WEEKDAY($BS$27,2)+40,"")</f>
        <v/>
      </c>
      <c r="CG39" s="130"/>
      <c r="CH39" s="130"/>
      <c r="CI39" s="130" t="str">
        <f>IF(MONTH($BS$27-WEEKDAY($BS$27,2)+41)=MONTH($BS$27),$BS$27-WEEKDAY($BS$27,2)+41,"")</f>
        <v/>
      </c>
      <c r="CJ39" s="130"/>
      <c r="CK39" s="130"/>
      <c r="CL39" s="130" t="str">
        <f>IF(MONTH($BS$27-WEEKDAY($BS$27,2)+42)=MONTH($BS$27),$BS$27-WEEKDAY($BS$27,2)+42,"")</f>
        <v/>
      </c>
      <c r="CM39" s="130"/>
      <c r="CN39" s="130"/>
    </row>
    <row r="40" ht="10.5" customHeight="1">
      <c r="B40" s="129"/>
      <c r="C40" s="131" t="str">
        <f>IF(ISNUMBER(C39),IF(COUNTIF(JP_StartSel,C39)&gt;0,"S",IF(COUNTIF(Feiertage,C39)&gt;0,"h","")),"")</f>
        <v/>
      </c>
      <c r="D40" s="131" t="str">
        <f>IF(ISNUMBER(C39),IF(COUNTIF(JP_StartInhalt,C39)&gt;0,"I",IF(COUNTIF(Feiertage,C39)&gt;0,"h","")),"")</f>
        <v/>
      </c>
      <c r="E40" s="131" t="str">
        <f>IF(ISNUMBER(C39),IF(COUNTIF(JP_PAL,C39)&gt;0,"P",IF(COUNTIF(Feiertage,C39)&gt;0,"h","")),"")</f>
        <v/>
      </c>
      <c r="F40" s="131" t="str">
        <f>IF(ISNUMBER(F39),IF(COUNTIF(JP_StartSel,F39)&gt;0,"S",IF(COUNTIF(Feiertage,F39)&gt;0,"h","")),"")</f>
        <v/>
      </c>
      <c r="G40" s="131" t="str">
        <f>IF(ISNUMBER(F39),IF(COUNTIF(JP_StartInhalt,F39)&gt;0,"I",IF(COUNTIF(Feiertage,F39)&gt;0,"h","")),"")</f>
        <v/>
      </c>
      <c r="H40" s="131" t="str">
        <f>IF(ISNUMBER(F39),IF(COUNTIF(JP_PAL,F39)&gt;0,"P",IF(COUNTIF(Feiertage,F39)&gt;0,"h","")),"")</f>
        <v/>
      </c>
      <c r="I40" s="131" t="str">
        <f>IF(ISNUMBER(I39),IF(COUNTIF(JP_StartSel,I39)&gt;0,"S",IF(COUNTIF(Feiertage,I39)&gt;0,"h","")),"")</f>
        <v/>
      </c>
      <c r="J40" s="131" t="str">
        <f>IF(ISNUMBER(I39),IF(COUNTIF(JP_StartInhalt,I39)&gt;0,"I",IF(COUNTIF(Feiertage,I39)&gt;0,"h","")),"")</f>
        <v/>
      </c>
      <c r="K40" s="131" t="str">
        <f>IF(ISNUMBER(I39),IF(COUNTIF(JP_PAL,I39)&gt;0,"P",IF(COUNTIF(Feiertage,I39)&gt;0,"h","")),"")</f>
        <v/>
      </c>
      <c r="L40" s="131" t="str">
        <f>IF(ISNUMBER(L39),IF(COUNTIF(JP_StartSel,L39)&gt;0,"S",IF(COUNTIF(Feiertage,L39)&gt;0,"h","")),"")</f>
        <v/>
      </c>
      <c r="M40" s="131" t="str">
        <f>IF(ISNUMBER(L39),IF(COUNTIF(JP_StartInhalt,L39)&gt;0,"I",IF(COUNTIF(Feiertage,L39)&gt;0,"h","")),"")</f>
        <v/>
      </c>
      <c r="N40" s="131" t="str">
        <f>IF(ISNUMBER(L39),IF(COUNTIF(JP_PAL,L39)&gt;0,"P",IF(COUNTIF(Feiertage,L39)&gt;0,"h","")),"")</f>
        <v/>
      </c>
      <c r="O40" s="131" t="str">
        <f>IF(ISNUMBER(O39),IF(COUNTIF(JP_StartSel,O39)&gt;0,"S",IF(COUNTIF(Feiertage,O39)&gt;0,"h","")),"")</f>
        <v/>
      </c>
      <c r="P40" s="131" t="str">
        <f>IF(ISNUMBER(O39),IF(COUNTIF(JP_StartInhalt,O39)&gt;0,"I",IF(COUNTIF(Feiertage,O39)&gt;0,"h","")),"")</f>
        <v/>
      </c>
      <c r="Q40" s="131" t="str">
        <f>IF(ISNUMBER(O39),IF(COUNTIF(JP_PAL,O39)&gt;0,"P",IF(COUNTIF(Feiertage,O39)&gt;0,"h","")),"")</f>
        <v/>
      </c>
      <c r="R40" s="131" t="str">
        <f>IF(ISNUMBER(R39),IF(COUNTIF(JP_StartSel,R39)&gt;0,"S",IF(COUNTIF(Feiertage,R39)&gt;0,"h","w")),"")</f>
        <v/>
      </c>
      <c r="S40" s="131" t="str">
        <f>IF(ISNUMBER(R39),IF(COUNTIF(JP_StartInhalt,R39)&gt;0,"I",IF(COUNTIF(Feiertage,R39)&gt;0,"h","w")),"")</f>
        <v/>
      </c>
      <c r="T40" s="131" t="str">
        <f>IF(ISNUMBER(R39),IF(COUNTIF(JP_PAL,R39)&gt;0,"P",IF(COUNTIF(Feiertage,R39)&gt;0,"h","w")),"")</f>
        <v/>
      </c>
      <c r="U40" s="131" t="str">
        <f>IF(ISNUMBER(U39),IF(COUNTIF(JP_StartSel,U39)&gt;0,"S",IF(COUNTIF(Feiertage,U39)&gt;0,"h","w")),"")</f>
        <v/>
      </c>
      <c r="V40" s="131" t="str">
        <f>IF(ISNUMBER(U39),IF(COUNTIF(JP_StartInhalt,U39)&gt;0,"I",IF(COUNTIF(Feiertage,U39)&gt;0,"h","w")),"")</f>
        <v/>
      </c>
      <c r="W40" s="131" t="str">
        <f>IF(ISNUMBER(U39),IF(COUNTIF(JP_PAL,U39)&gt;0,"P",IF(COUNTIF(Feiertage,U39)&gt;0,"h","w")),"")</f>
        <v/>
      </c>
      <c r="Y40" s="129"/>
      <c r="Z40" s="131" t="str">
        <f>IF(ISNUMBER(Z39),IF(COUNTIF(JP_StartSel,Z39)&gt;0,"S",IF(COUNTIF(Feiertage,Z39)&gt;0,"h","")),"")</f>
        <v/>
      </c>
      <c r="AA40" s="131" t="str">
        <f>IF(ISNUMBER(Z39),IF(COUNTIF(JP_StartInhalt,Z39)&gt;0,"I",IF(COUNTIF(Feiertage,Z39)&gt;0,"h","")),"")</f>
        <v/>
      </c>
      <c r="AB40" s="131" t="str">
        <f>IF(ISNUMBER(Z39),IF(COUNTIF(JP_PAL,Z39)&gt;0,"P",IF(COUNTIF(Feiertage,Z39)&gt;0,"h","")),"")</f>
        <v/>
      </c>
      <c r="AC40" s="131" t="str">
        <f>IF(ISNUMBER(AC39),IF(COUNTIF(JP_StartSel,AC39)&gt;0,"S",IF(COUNTIF(Feiertage,AC39)&gt;0,"h","")),"")</f>
        <v/>
      </c>
      <c r="AD40" s="131" t="str">
        <f>IF(ISNUMBER(AC39),IF(COUNTIF(JP_StartInhalt,AC39)&gt;0,"I",IF(COUNTIF(Feiertage,AC39)&gt;0,"h","")),"")</f>
        <v/>
      </c>
      <c r="AE40" s="131" t="str">
        <f>IF(ISNUMBER(AC39),IF(COUNTIF(JP_PAL,AC39)&gt;0,"P",IF(COUNTIF(Feiertage,AC39)&gt;0,"h","")),"")</f>
        <v/>
      </c>
      <c r="AF40" s="131" t="str">
        <f>IF(ISNUMBER(AF39),IF(COUNTIF(JP_StartSel,AF39)&gt;0,"S",IF(COUNTIF(Feiertage,AF39)&gt;0,"h","")),"")</f>
        <v/>
      </c>
      <c r="AG40" s="131" t="str">
        <f>IF(ISNUMBER(AF39),IF(COUNTIF(JP_StartInhalt,AF39)&gt;0,"I",IF(COUNTIF(Feiertage,AF39)&gt;0,"h","")),"")</f>
        <v/>
      </c>
      <c r="AH40" s="131" t="str">
        <f>IF(ISNUMBER(AF39),IF(COUNTIF(JP_PAL,AF39)&gt;0,"P",IF(COUNTIF(Feiertage,AF39)&gt;0,"h","")),"")</f>
        <v/>
      </c>
      <c r="AI40" s="131" t="str">
        <f>IF(ISNUMBER(AI39),IF(COUNTIF(JP_StartSel,AI39)&gt;0,"S",IF(COUNTIF(Feiertage,AI39)&gt;0,"h","")),"")</f>
        <v/>
      </c>
      <c r="AJ40" s="131" t="str">
        <f>IF(ISNUMBER(AI39),IF(COUNTIF(JP_StartInhalt,AI39)&gt;0,"I",IF(COUNTIF(Feiertage,AI39)&gt;0,"h","")),"")</f>
        <v/>
      </c>
      <c r="AK40" s="131" t="str">
        <f>IF(ISNUMBER(AI39),IF(COUNTIF(JP_PAL,AI39)&gt;0,"P",IF(COUNTIF(Feiertage,AI39)&gt;0,"h","")),"")</f>
        <v/>
      </c>
      <c r="AL40" s="131" t="str">
        <f>IF(ISNUMBER(AL39),IF(COUNTIF(JP_StartSel,AL39)&gt;0,"S",IF(COUNTIF(Feiertage,AL39)&gt;0,"h","")),"")</f>
        <v/>
      </c>
      <c r="AM40" s="131" t="str">
        <f>IF(ISNUMBER(AL39),IF(COUNTIF(JP_StartInhalt,AL39)&gt;0,"I",IF(COUNTIF(Feiertage,AL39)&gt;0,"h","")),"")</f>
        <v/>
      </c>
      <c r="AN40" s="131" t="str">
        <f>IF(ISNUMBER(AL39),IF(COUNTIF(JP_PAL,AL39)&gt;0,"P",IF(COUNTIF(Feiertage,AL39)&gt;0,"h","")),"")</f>
        <v/>
      </c>
      <c r="AO40" s="131" t="str">
        <f>IF(ISNUMBER(AO39),IF(COUNTIF(JP_StartSel,AO39)&gt;0,"S",IF(COUNTIF(Feiertage,AO39)&gt;0,"h","w")),"")</f>
        <v/>
      </c>
      <c r="AP40" s="131" t="str">
        <f>IF(ISNUMBER(AO39),IF(COUNTIF(JP_StartInhalt,AO39)&gt;0,"I",IF(COUNTIF(Feiertage,AO39)&gt;0,"h","w")),"")</f>
        <v/>
      </c>
      <c r="AQ40" s="131" t="str">
        <f>IF(ISNUMBER(AO39),IF(COUNTIF(JP_PAL,AO39)&gt;0,"P",IF(COUNTIF(Feiertage,AO39)&gt;0,"h","w")),"")</f>
        <v/>
      </c>
      <c r="AR40" s="131" t="str">
        <f>IF(ISNUMBER(AR39),IF(COUNTIF(JP_StartSel,AR39)&gt;0,"S",IF(COUNTIF(Feiertage,AR39)&gt;0,"h","w")),"")</f>
        <v/>
      </c>
      <c r="AS40" s="131" t="str">
        <f>IF(ISNUMBER(AR39),IF(COUNTIF(JP_StartInhalt,AR39)&gt;0,"I",IF(COUNTIF(Feiertage,AR39)&gt;0,"h","w")),"")</f>
        <v/>
      </c>
      <c r="AT40" s="131" t="str">
        <f>IF(ISNUMBER(AR39),IF(COUNTIF(JP_PAL,AR39)&gt;0,"P",IF(COUNTIF(Feiertage,AR39)&gt;0,"h","w")),"")</f>
        <v/>
      </c>
      <c r="AV40" s="129"/>
      <c r="AW40" s="131" t="str">
        <f>IF(ISNUMBER(AW39),IF(COUNTIF(JP_StartSel,AW39)&gt;0,"S",IF(COUNTIF(Feiertage,AW39)&gt;0,"h","")),"")</f>
        <v/>
      </c>
      <c r="AX40" s="131" t="str">
        <f>IF(ISNUMBER(AW39),IF(COUNTIF(JP_StartInhalt,AW39)&gt;0,"I",IF(COUNTIF(Feiertage,AW39)&gt;0,"h","")),"")</f>
        <v/>
      </c>
      <c r="AY40" s="131" t="str">
        <f>IF(ISNUMBER(AW39),IF(COUNTIF(JP_PAL,AW39)&gt;0,"P",IF(COUNTIF(Feiertage,AW39)&gt;0,"h","")),"")</f>
        <v/>
      </c>
      <c r="AZ40" s="131" t="str">
        <f>IF(ISNUMBER(AZ39),IF(COUNTIF(JP_StartSel,AZ39)&gt;0,"S",IF(COUNTIF(Feiertage,AZ39)&gt;0,"h","")),"")</f>
        <v/>
      </c>
      <c r="BA40" s="131" t="str">
        <f>IF(ISNUMBER(AZ39),IF(COUNTIF(JP_StartInhalt,AZ39)&gt;0,"I",IF(COUNTIF(Feiertage,AZ39)&gt;0,"h","")),"")</f>
        <v/>
      </c>
      <c r="BB40" s="131" t="str">
        <f>IF(ISNUMBER(AZ39),IF(COUNTIF(JP_PAL,AZ39)&gt;0,"P",IF(COUNTIF(Feiertage,AZ39)&gt;0,"h","")),"")</f>
        <v/>
      </c>
      <c r="BC40" s="131" t="str">
        <f>IF(ISNUMBER(BC39),IF(COUNTIF(JP_StartSel,BC39)&gt;0,"S",IF(COUNTIF(Feiertage,BC39)&gt;0,"h","")),"")</f>
        <v/>
      </c>
      <c r="BD40" s="131" t="str">
        <f>IF(ISNUMBER(BC39),IF(COUNTIF(JP_StartInhalt,BC39)&gt;0,"I",IF(COUNTIF(Feiertage,BC39)&gt;0,"h","")),"")</f>
        <v/>
      </c>
      <c r="BE40" s="131" t="str">
        <f>IF(ISNUMBER(BC39),IF(COUNTIF(JP_PAL,BC39)&gt;0,"P",IF(COUNTIF(Feiertage,BC39)&gt;0,"h","")),"")</f>
        <v/>
      </c>
      <c r="BF40" s="131" t="str">
        <f>IF(ISNUMBER(BF39),IF(COUNTIF(JP_StartSel,BF39)&gt;0,"S",IF(COUNTIF(Feiertage,BF39)&gt;0,"h","")),"")</f>
        <v/>
      </c>
      <c r="BG40" s="131" t="str">
        <f>IF(ISNUMBER(BF39),IF(COUNTIF(JP_StartInhalt,BF39)&gt;0,"I",IF(COUNTIF(Feiertage,BF39)&gt;0,"h","")),"")</f>
        <v/>
      </c>
      <c r="BH40" s="131" t="str">
        <f>IF(ISNUMBER(BF39),IF(COUNTIF(JP_PAL,BF39)&gt;0,"P",IF(COUNTIF(Feiertage,BF39)&gt;0,"h","")),"")</f>
        <v/>
      </c>
      <c r="BI40" s="131" t="str">
        <f>IF(ISNUMBER(BI39),IF(COUNTIF(JP_StartSel,BI39)&gt;0,"S",IF(COUNTIF(Feiertage,BI39)&gt;0,"h","")),"")</f>
        <v/>
      </c>
      <c r="BJ40" s="131" t="str">
        <f>IF(ISNUMBER(BI39),IF(COUNTIF(JP_StartInhalt,BI39)&gt;0,"I",IF(COUNTIF(Feiertage,BI39)&gt;0,"h","")),"")</f>
        <v/>
      </c>
      <c r="BK40" s="131" t="str">
        <f>IF(ISNUMBER(BI39),IF(COUNTIF(JP_PAL,BI39)&gt;0,"P",IF(COUNTIF(Feiertage,BI39)&gt;0,"h","")),"")</f>
        <v/>
      </c>
      <c r="BL40" s="131" t="str">
        <f>IF(ISNUMBER(BL39),IF(COUNTIF(JP_StartSel,BL39)&gt;0,"S",IF(COUNTIF(Feiertage,BL39)&gt;0,"h","w")),"")</f>
        <v/>
      </c>
      <c r="BM40" s="131" t="str">
        <f>IF(ISNUMBER(BL39),IF(COUNTIF(JP_StartInhalt,BL39)&gt;0,"I",IF(COUNTIF(Feiertage,BL39)&gt;0,"h","w")),"")</f>
        <v/>
      </c>
      <c r="BN40" s="131" t="str">
        <f>IF(ISNUMBER(BL39),IF(COUNTIF(JP_PAL,BL39)&gt;0,"P",IF(COUNTIF(Feiertage,BL39)&gt;0,"h","w")),"")</f>
        <v/>
      </c>
      <c r="BO40" s="131" t="str">
        <f>IF(ISNUMBER(BO39),IF(COUNTIF(JP_StartSel,BO39)&gt;0,"S",IF(COUNTIF(Feiertage,BO39)&gt;0,"h","w")),"")</f>
        <v/>
      </c>
      <c r="BP40" s="131" t="str">
        <f>IF(ISNUMBER(BO39),IF(COUNTIF(JP_StartInhalt,BO39)&gt;0,"I",IF(COUNTIF(Feiertage,BO39)&gt;0,"h","w")),"")</f>
        <v/>
      </c>
      <c r="BQ40" s="131" t="str">
        <f>IF(ISNUMBER(BO39),IF(COUNTIF(JP_PAL,BO39)&gt;0,"P",IF(COUNTIF(Feiertage,BO39)&gt;0,"h","w")),"")</f>
        <v/>
      </c>
      <c r="BS40" s="129"/>
      <c r="BT40" s="131" t="str">
        <f>IF(ISNUMBER(BT39),IF(COUNTIF(JP_StartSel,BT39)&gt;0,"S",IF(COUNTIF(Feiertage,BT39)&gt;0,"h","")),"")</f>
        <v/>
      </c>
      <c r="BU40" s="131" t="str">
        <f>IF(ISNUMBER(BT39),IF(COUNTIF(JP_StartInhalt,BT39)&gt;0,"I",IF(COUNTIF(Feiertage,BT39)&gt;0,"h","")),"")</f>
        <v/>
      </c>
      <c r="BV40" s="131" t="str">
        <f>IF(ISNUMBER(BT39),IF(COUNTIF(JP_PAL,BT39)&gt;0,"P",IF(COUNTIF(Feiertage,BT39)&gt;0,"h","")),"")</f>
        <v/>
      </c>
      <c r="BW40" s="131" t="str">
        <f>IF(ISNUMBER(BW39),IF(COUNTIF(JP_StartSel,BW39)&gt;0,"S",IF(COUNTIF(Feiertage,BW39)&gt;0,"h","")),"")</f>
        <v/>
      </c>
      <c r="BX40" s="131" t="str">
        <f>IF(ISNUMBER(BW39),IF(COUNTIF(JP_StartInhalt,BW39)&gt;0,"I",IF(COUNTIF(Feiertage,BW39)&gt;0,"h","")),"")</f>
        <v/>
      </c>
      <c r="BY40" s="131" t="str">
        <f>IF(ISNUMBER(BW39),IF(COUNTIF(JP_PAL,BW39)&gt;0,"P",IF(COUNTIF(Feiertage,BW39)&gt;0,"h","")),"")</f>
        <v/>
      </c>
      <c r="BZ40" s="131" t="str">
        <f>IF(ISNUMBER(BZ39),IF(COUNTIF(JP_StartSel,BZ39)&gt;0,"S",IF(COUNTIF(Feiertage,BZ39)&gt;0,"h","")),"")</f>
        <v/>
      </c>
      <c r="CA40" s="131" t="str">
        <f>IF(ISNUMBER(BZ39),IF(COUNTIF(JP_StartInhalt,BZ39)&gt;0,"I",IF(COUNTIF(Feiertage,BZ39)&gt;0,"h","")),"")</f>
        <v/>
      </c>
      <c r="CB40" s="131" t="str">
        <f>IF(ISNUMBER(BZ39),IF(COUNTIF(JP_PAL,BZ39)&gt;0,"P",IF(COUNTIF(Feiertage,BZ39)&gt;0,"h","")),"")</f>
        <v/>
      </c>
      <c r="CC40" s="131" t="str">
        <f>IF(ISNUMBER(CC39),IF(COUNTIF(JP_StartSel,CC39)&gt;0,"S",IF(COUNTIF(Feiertage,CC39)&gt;0,"h","")),"")</f>
        <v/>
      </c>
      <c r="CD40" s="131" t="str">
        <f>IF(ISNUMBER(CC39),IF(COUNTIF(JP_StartInhalt,CC39)&gt;0,"I",IF(COUNTIF(Feiertage,CC39)&gt;0,"h","")),"")</f>
        <v/>
      </c>
      <c r="CE40" s="131" t="str">
        <f>IF(ISNUMBER(CC39),IF(COUNTIF(JP_PAL,CC39)&gt;0,"P",IF(COUNTIF(Feiertage,CC39)&gt;0,"h","")),"")</f>
        <v/>
      </c>
      <c r="CF40" s="131" t="str">
        <f>IF(ISNUMBER(CF39),IF(COUNTIF(JP_StartSel,CF39)&gt;0,"S",IF(COUNTIF(Feiertage,CF39)&gt;0,"h","")),"")</f>
        <v/>
      </c>
      <c r="CG40" s="131" t="str">
        <f>IF(ISNUMBER(CF39),IF(COUNTIF(JP_StartInhalt,CF39)&gt;0,"I",IF(COUNTIF(Feiertage,CF39)&gt;0,"h","")),"")</f>
        <v/>
      </c>
      <c r="CH40" s="131" t="str">
        <f>IF(ISNUMBER(CF39),IF(COUNTIF(JP_PAL,CF39)&gt;0,"P",IF(COUNTIF(Feiertage,CF39)&gt;0,"h","")),"")</f>
        <v/>
      </c>
      <c r="CI40" s="131" t="str">
        <f>IF(ISNUMBER(CI39),IF(COUNTIF(JP_StartSel,CI39)&gt;0,"S",IF(COUNTIF(Feiertage,CI39)&gt;0,"h","w")),"")</f>
        <v/>
      </c>
      <c r="CJ40" s="131" t="str">
        <f>IF(ISNUMBER(CI39),IF(COUNTIF(JP_StartInhalt,CI39)&gt;0,"I",IF(COUNTIF(Feiertage,CI39)&gt;0,"h","w")),"")</f>
        <v/>
      </c>
      <c r="CK40" s="131" t="str">
        <f>IF(ISNUMBER(CI39),IF(COUNTIF(JP_PAL,CI39)&gt;0,"P",IF(COUNTIF(Feiertage,CI39)&gt;0,"h","w")),"")</f>
        <v/>
      </c>
      <c r="CL40" s="131" t="str">
        <f>IF(ISNUMBER(CL39),IF(COUNTIF(JP_StartSel,CL39)&gt;0,"S",IF(COUNTIF(Feiertage,CL39)&gt;0,"h","w")),"")</f>
        <v/>
      </c>
      <c r="CM40" s="131" t="str">
        <f>IF(ISNUMBER(CL39),IF(COUNTIF(JP_StartInhalt,CL39)&gt;0,"I",IF(COUNTIF(Feiertage,CL39)&gt;0,"h","w")),"")</f>
        <v/>
      </c>
      <c r="CN40" s="131" t="str">
        <f>IF(ISNUMBER(CL39),IF(COUNTIF(JP_PAL,CL39)&gt;0,"P",IF(COUNTIF(Feiertage,CL39)&gt;0,"h","w")),"")</f>
        <v/>
      </c>
    </row>
    <row r="41" ht="22" customHeight="1">
      <c r="B41" s="132" t="str">
        <f t="array" ref="B41">_xlfn.TEXTJOIN("  ·  ",TRUE,IF(MONTH(Feiertage)=MONTH($B$27),TEXT(DAY(Feiertage),"00")&amp;"."&amp;TEXT(MONTH(Feiertage),"00")&amp;". "&amp;Feiertage_Name,""))</f>
        <v>01.05. Tag der Arbeit  ·  06.05. Christi Himmelfahrt  ·  17.05. Pfingstmontag  ·  27.05. Fronleichnam</v>
      </c>
      <c r="C41" s="132"/>
      <c r="D41" s="132"/>
      <c r="E41" s="132"/>
      <c r="F41" s="132"/>
      <c r="G41" s="132"/>
      <c r="H41" s="132"/>
      <c r="I41" s="132"/>
      <c r="J41" s="132"/>
      <c r="K41" s="132"/>
      <c r="L41" s="132"/>
      <c r="M41" s="132"/>
      <c r="N41" s="132"/>
      <c r="O41" s="132"/>
      <c r="P41" s="132"/>
      <c r="Q41" s="132"/>
      <c r="R41" s="132"/>
      <c r="S41" s="132"/>
      <c r="T41" s="132"/>
      <c r="U41" s="132"/>
      <c r="V41" s="132"/>
      <c r="W41" s="132"/>
      <c r="Y41" s="132" t="str">
        <f t="array" ref="Y41">_xlfn.TEXTJOIN("  ·  ",TRUE,IF(MONTH(Feiertage)=MONTH($Y$27),TEXT(DAY(Feiertage),"00")&amp;"."&amp;TEXT(MONTH(Feiertage),"00")&amp;". "&amp;Feiertage_Name,""))</f>
        <v/>
      </c>
      <c r="Z41" s="132"/>
      <c r="AA41" s="132"/>
      <c r="AB41" s="132"/>
      <c r="AC41" s="132"/>
      <c r="AD41" s="132"/>
      <c r="AE41" s="132"/>
      <c r="AF41" s="132"/>
      <c r="AG41" s="132"/>
      <c r="AH41" s="132"/>
      <c r="AI41" s="132"/>
      <c r="AJ41" s="132"/>
      <c r="AK41" s="132"/>
      <c r="AL41" s="132"/>
      <c r="AM41" s="132"/>
      <c r="AN41" s="132"/>
      <c r="AO41" s="132"/>
      <c r="AP41" s="132"/>
      <c r="AQ41" s="132"/>
      <c r="AR41" s="132"/>
      <c r="AS41" s="132"/>
      <c r="AT41" s="132"/>
      <c r="AV41" s="132" t="str">
        <f t="array" ref="AV41">_xlfn.TEXTJOIN("  ·  ",TRUE,IF(MONTH(Feiertage)=MONTH($AV$27),TEXT(DAY(Feiertage),"00")&amp;"."&amp;TEXT(MONTH(Feiertage),"00")&amp;". "&amp;Feiertage_Name,""))</f>
        <v/>
      </c>
      <c r="AW41" s="132"/>
      <c r="AX41" s="132"/>
      <c r="AY41" s="132"/>
      <c r="AZ41" s="132"/>
      <c r="BA41" s="132"/>
      <c r="BB41" s="132"/>
      <c r="BC41" s="132"/>
      <c r="BD41" s="132"/>
      <c r="BE41" s="132"/>
      <c r="BF41" s="132"/>
      <c r="BG41" s="132"/>
      <c r="BH41" s="132"/>
      <c r="BI41" s="132"/>
      <c r="BJ41" s="132"/>
      <c r="BK41" s="132"/>
      <c r="BL41" s="132"/>
      <c r="BM41" s="132"/>
      <c r="BN41" s="132"/>
      <c r="BO41" s="132"/>
      <c r="BP41" s="132"/>
      <c r="BQ41" s="132"/>
      <c r="BS41" s="132" t="str">
        <f t="array" ref="BS41">_xlfn.TEXTJOIN("  ·  ",TRUE,IF(MONTH(Feiertage)=MONTH($BS$27),TEXT(DAY(Feiertage),"00")&amp;"."&amp;TEXT(MONTH(Feiertage),"00")&amp;". "&amp;Feiertage_Name,""))</f>
        <v/>
      </c>
      <c r="BT41" s="132"/>
      <c r="BU41" s="132"/>
      <c r="BV41" s="132"/>
      <c r="BW41" s="132"/>
      <c r="BX41" s="132"/>
      <c r="BY41" s="132"/>
      <c r="BZ41" s="132"/>
      <c r="CA41" s="132"/>
      <c r="CB41" s="132"/>
      <c r="CC41" s="132"/>
      <c r="CD41" s="132"/>
      <c r="CE41" s="132"/>
      <c r="CF41" s="132"/>
      <c r="CG41" s="132"/>
      <c r="CH41" s="132"/>
      <c r="CI41" s="132"/>
      <c r="CJ41" s="132"/>
      <c r="CK41" s="132"/>
      <c r="CL41" s="132"/>
      <c r="CM41" s="132"/>
      <c r="CN41" s="132"/>
    </row>
    <row r="42" ht="8" customHeight="1"/>
    <row r="43" ht="20" customHeight="1">
      <c r="B43" s="124">
        <f>DATE(Planungsjahr,9,1)</f>
        <v>46631</v>
      </c>
      <c r="C43" s="125"/>
      <c r="D43" s="125"/>
      <c r="E43" s="125"/>
      <c r="F43" s="125"/>
      <c r="G43" s="125"/>
      <c r="H43" s="125"/>
      <c r="I43" s="125"/>
      <c r="J43" s="125"/>
      <c r="K43" s="125"/>
      <c r="L43" s="125"/>
      <c r="M43" s="125"/>
      <c r="N43" s="125"/>
      <c r="O43" s="125"/>
      <c r="P43" s="125"/>
      <c r="Q43" s="125"/>
      <c r="R43" s="125"/>
      <c r="S43" s="125"/>
      <c r="T43" s="125"/>
      <c r="U43" s="125"/>
      <c r="V43" s="125"/>
      <c r="W43" s="125"/>
      <c r="Y43" s="124">
        <f>DATE(Planungsjahr,10,1)</f>
        <v>46661</v>
      </c>
      <c r="Z43" s="125"/>
      <c r="AA43" s="125"/>
      <c r="AB43" s="125"/>
      <c r="AC43" s="125"/>
      <c r="AD43" s="125"/>
      <c r="AE43" s="125"/>
      <c r="AF43" s="125"/>
      <c r="AG43" s="125"/>
      <c r="AH43" s="125"/>
      <c r="AI43" s="125"/>
      <c r="AJ43" s="125"/>
      <c r="AK43" s="125"/>
      <c r="AL43" s="125"/>
      <c r="AM43" s="125"/>
      <c r="AN43" s="125"/>
      <c r="AO43" s="125"/>
      <c r="AP43" s="125"/>
      <c r="AQ43" s="125"/>
      <c r="AR43" s="125"/>
      <c r="AS43" s="125"/>
      <c r="AT43" s="125"/>
      <c r="AV43" s="124">
        <f>DATE(Planungsjahr,11,1)</f>
        <v>46692</v>
      </c>
      <c r="AW43" s="125"/>
      <c r="AX43" s="125"/>
      <c r="AY43" s="125"/>
      <c r="AZ43" s="125"/>
      <c r="BA43" s="125"/>
      <c r="BB43" s="125"/>
      <c r="BC43" s="125"/>
      <c r="BD43" s="125"/>
      <c r="BE43" s="125"/>
      <c r="BF43" s="125"/>
      <c r="BG43" s="125"/>
      <c r="BH43" s="125"/>
      <c r="BI43" s="125"/>
      <c r="BJ43" s="125"/>
      <c r="BK43" s="125"/>
      <c r="BL43" s="125"/>
      <c r="BM43" s="125"/>
      <c r="BN43" s="125"/>
      <c r="BO43" s="125"/>
      <c r="BP43" s="125"/>
      <c r="BQ43" s="125"/>
      <c r="BS43" s="124">
        <f>DATE(Planungsjahr,12,1)</f>
        <v>46722</v>
      </c>
      <c r="BT43" s="125"/>
      <c r="BU43" s="125"/>
      <c r="BV43" s="125"/>
      <c r="BW43" s="125"/>
      <c r="BX43" s="125"/>
      <c r="BY43" s="125"/>
      <c r="BZ43" s="125"/>
      <c r="CA43" s="125"/>
      <c r="CB43" s="125"/>
      <c r="CC43" s="125"/>
      <c r="CD43" s="125"/>
      <c r="CE43" s="125"/>
      <c r="CF43" s="125"/>
      <c r="CG43" s="125"/>
      <c r="CH43" s="125"/>
      <c r="CI43" s="125"/>
      <c r="CJ43" s="125"/>
      <c r="CK43" s="125"/>
      <c r="CL43" s="125"/>
      <c r="CM43" s="125"/>
      <c r="CN43" s="125"/>
    </row>
    <row r="44" ht="14" customHeight="1">
      <c r="B44" s="127" t="s">
        <v>76</v>
      </c>
      <c r="C44" s="126" t="s">
        <v>77</v>
      </c>
      <c r="D44" s="126"/>
      <c r="E44" s="126"/>
      <c r="F44" s="126" t="s">
        <v>78</v>
      </c>
      <c r="G44" s="126"/>
      <c r="H44" s="126"/>
      <c r="I44" s="126" t="s">
        <v>79</v>
      </c>
      <c r="J44" s="126"/>
      <c r="K44" s="126"/>
      <c r="L44" s="126" t="s">
        <v>80</v>
      </c>
      <c r="M44" s="126"/>
      <c r="N44" s="126"/>
      <c r="O44" s="126" t="s">
        <v>81</v>
      </c>
      <c r="P44" s="126"/>
      <c r="Q44" s="126"/>
      <c r="R44" s="126" t="s">
        <v>82</v>
      </c>
      <c r="S44" s="126"/>
      <c r="T44" s="126"/>
      <c r="U44" s="126" t="s">
        <v>83</v>
      </c>
      <c r="V44" s="126"/>
      <c r="W44" s="126"/>
      <c r="Y44" s="127" t="s">
        <v>76</v>
      </c>
      <c r="Z44" s="126" t="s">
        <v>77</v>
      </c>
      <c r="AA44" s="126"/>
      <c r="AB44" s="126"/>
      <c r="AC44" s="126" t="s">
        <v>78</v>
      </c>
      <c r="AD44" s="126"/>
      <c r="AE44" s="126"/>
      <c r="AF44" s="126" t="s">
        <v>79</v>
      </c>
      <c r="AG44" s="126"/>
      <c r="AH44" s="126"/>
      <c r="AI44" s="126" t="s">
        <v>80</v>
      </c>
      <c r="AJ44" s="126"/>
      <c r="AK44" s="126"/>
      <c r="AL44" s="126" t="s">
        <v>81</v>
      </c>
      <c r="AM44" s="126"/>
      <c r="AN44" s="126"/>
      <c r="AO44" s="126" t="s">
        <v>82</v>
      </c>
      <c r="AP44" s="126"/>
      <c r="AQ44" s="126"/>
      <c r="AR44" s="126" t="s">
        <v>83</v>
      </c>
      <c r="AS44" s="126"/>
      <c r="AT44" s="126"/>
      <c r="AV44" s="127" t="s">
        <v>76</v>
      </c>
      <c r="AW44" s="126" t="s">
        <v>77</v>
      </c>
      <c r="AX44" s="126"/>
      <c r="AY44" s="126"/>
      <c r="AZ44" s="126" t="s">
        <v>78</v>
      </c>
      <c r="BA44" s="126"/>
      <c r="BB44" s="126"/>
      <c r="BC44" s="126" t="s">
        <v>79</v>
      </c>
      <c r="BD44" s="126"/>
      <c r="BE44" s="126"/>
      <c r="BF44" s="126" t="s">
        <v>80</v>
      </c>
      <c r="BG44" s="126"/>
      <c r="BH44" s="126"/>
      <c r="BI44" s="126" t="s">
        <v>81</v>
      </c>
      <c r="BJ44" s="126"/>
      <c r="BK44" s="126"/>
      <c r="BL44" s="126" t="s">
        <v>82</v>
      </c>
      <c r="BM44" s="126"/>
      <c r="BN44" s="126"/>
      <c r="BO44" s="126" t="s">
        <v>83</v>
      </c>
      <c r="BP44" s="126"/>
      <c r="BQ44" s="126"/>
      <c r="BS44" s="127" t="s">
        <v>76</v>
      </c>
      <c r="BT44" s="126" t="s">
        <v>77</v>
      </c>
      <c r="BU44" s="126"/>
      <c r="BV44" s="126"/>
      <c r="BW44" s="126" t="s">
        <v>78</v>
      </c>
      <c r="BX44" s="126"/>
      <c r="BY44" s="126"/>
      <c r="BZ44" s="126" t="s">
        <v>79</v>
      </c>
      <c r="CA44" s="126"/>
      <c r="CB44" s="126"/>
      <c r="CC44" s="126" t="s">
        <v>80</v>
      </c>
      <c r="CD44" s="126"/>
      <c r="CE44" s="126"/>
      <c r="CF44" s="126" t="s">
        <v>81</v>
      </c>
      <c r="CG44" s="126"/>
      <c r="CH44" s="126"/>
      <c r="CI44" s="126" t="s">
        <v>82</v>
      </c>
      <c r="CJ44" s="126"/>
      <c r="CK44" s="126"/>
      <c r="CL44" s="126" t="s">
        <v>83</v>
      </c>
      <c r="CM44" s="126"/>
      <c r="CN44" s="126"/>
    </row>
    <row r="45" ht="16" customHeight="1">
      <c r="B45" s="128">
        <f>IF(OR(ISNUMBER(C45),ISNUMBER(U45)),_xlfn.ISOWEEKNUM($B$43-WEEKDAY($B$43,2)+1),"")</f>
        <v>35</v>
      </c>
      <c r="C45" s="130" t="str">
        <f>IF(MONTH($B$43-WEEKDAY($B$43,2)+1)=MONTH($B$43),$B$43-WEEKDAY($B$43,2)+1,"")</f>
        <v/>
      </c>
      <c r="D45" s="130"/>
      <c r="E45" s="130"/>
      <c r="F45" s="130" t="str">
        <f>IF(MONTH($B$43-WEEKDAY($B$43,2)+2)=MONTH($B$43),$B$43-WEEKDAY($B$43,2)+2,"")</f>
        <v/>
      </c>
      <c r="G45" s="130"/>
      <c r="H45" s="130"/>
      <c r="I45" s="130">
        <f>IF(MONTH($B$43-WEEKDAY($B$43,2)+3)=MONTH($B$43),$B$43-WEEKDAY($B$43,2)+3,"")</f>
        <v>46631</v>
      </c>
      <c r="J45" s="130"/>
      <c r="K45" s="130"/>
      <c r="L45" s="130">
        <f>IF(MONTH($B$43-WEEKDAY($B$43,2)+4)=MONTH($B$43),$B$43-WEEKDAY($B$43,2)+4,"")</f>
        <v>46632</v>
      </c>
      <c r="M45" s="130"/>
      <c r="N45" s="130"/>
      <c r="O45" s="130">
        <f>IF(MONTH($B$43-WEEKDAY($B$43,2)+5)=MONTH($B$43),$B$43-WEEKDAY($B$43,2)+5,"")</f>
        <v>46633</v>
      </c>
      <c r="P45" s="130"/>
      <c r="Q45" s="130"/>
      <c r="R45" s="130">
        <f>IF(MONTH($B$43-WEEKDAY($B$43,2)+6)=MONTH($B$43),$B$43-WEEKDAY($B$43,2)+6,"")</f>
        <v>46634</v>
      </c>
      <c r="S45" s="130"/>
      <c r="T45" s="130"/>
      <c r="U45" s="130">
        <f>IF(MONTH($B$43-WEEKDAY($B$43,2)+7)=MONTH($B$43),$B$43-WEEKDAY($B$43,2)+7,"")</f>
        <v>46635</v>
      </c>
      <c r="V45" s="130"/>
      <c r="W45" s="130"/>
      <c r="Y45" s="128">
        <f>IF(OR(ISNUMBER(Z45),ISNUMBER(AR45)),_xlfn.ISOWEEKNUM($Y$43-WEEKDAY($Y$43,2)+1),"")</f>
        <v>39</v>
      </c>
      <c r="Z45" s="130" t="str">
        <f>IF(MONTH($Y$43-WEEKDAY($Y$43,2)+1)=MONTH($Y$43),$Y$43-WEEKDAY($Y$43,2)+1,"")</f>
        <v/>
      </c>
      <c r="AA45" s="130"/>
      <c r="AB45" s="130"/>
      <c r="AC45" s="130" t="str">
        <f>IF(MONTH($Y$43-WEEKDAY($Y$43,2)+2)=MONTH($Y$43),$Y$43-WEEKDAY($Y$43,2)+2,"")</f>
        <v/>
      </c>
      <c r="AD45" s="130"/>
      <c r="AE45" s="130"/>
      <c r="AF45" s="130" t="str">
        <f>IF(MONTH($Y$43-WEEKDAY($Y$43,2)+3)=MONTH($Y$43),$Y$43-WEEKDAY($Y$43,2)+3,"")</f>
        <v/>
      </c>
      <c r="AG45" s="130"/>
      <c r="AH45" s="130"/>
      <c r="AI45" s="130" t="str">
        <f>IF(MONTH($Y$43-WEEKDAY($Y$43,2)+4)=MONTH($Y$43),$Y$43-WEEKDAY($Y$43,2)+4,"")</f>
        <v/>
      </c>
      <c r="AJ45" s="130"/>
      <c r="AK45" s="130"/>
      <c r="AL45" s="130">
        <f>IF(MONTH($Y$43-WEEKDAY($Y$43,2)+5)=MONTH($Y$43),$Y$43-WEEKDAY($Y$43,2)+5,"")</f>
        <v>46661</v>
      </c>
      <c r="AM45" s="130"/>
      <c r="AN45" s="130"/>
      <c r="AO45" s="130">
        <f>IF(MONTH($Y$43-WEEKDAY($Y$43,2)+6)=MONTH($Y$43),$Y$43-WEEKDAY($Y$43,2)+6,"")</f>
        <v>46662</v>
      </c>
      <c r="AP45" s="130"/>
      <c r="AQ45" s="130"/>
      <c r="AR45" s="130">
        <f>IF(MONTH($Y$43-WEEKDAY($Y$43,2)+7)=MONTH($Y$43),$Y$43-WEEKDAY($Y$43,2)+7,"")</f>
        <v>46663</v>
      </c>
      <c r="AS45" s="130"/>
      <c r="AT45" s="130"/>
      <c r="AV45" s="128">
        <f>IF(OR(ISNUMBER(AW45),ISNUMBER(BO45)),_xlfn.ISOWEEKNUM($AV$43-WEEKDAY($AV$43,2)+1),"")</f>
        <v>44</v>
      </c>
      <c r="AW45" s="130">
        <f>IF(MONTH($AV$43-WEEKDAY($AV$43,2)+1)=MONTH($AV$43),$AV$43-WEEKDAY($AV$43,2)+1,"")</f>
        <v>46692</v>
      </c>
      <c r="AX45" s="130"/>
      <c r="AY45" s="130"/>
      <c r="AZ45" s="130">
        <f>IF(MONTH($AV$43-WEEKDAY($AV$43,2)+2)=MONTH($AV$43),$AV$43-WEEKDAY($AV$43,2)+2,"")</f>
        <v>46693</v>
      </c>
      <c r="BA45" s="130"/>
      <c r="BB45" s="130"/>
      <c r="BC45" s="130">
        <f>IF(MONTH($AV$43-WEEKDAY($AV$43,2)+3)=MONTH($AV$43),$AV$43-WEEKDAY($AV$43,2)+3,"")</f>
        <v>46694</v>
      </c>
      <c r="BD45" s="130"/>
      <c r="BE45" s="130"/>
      <c r="BF45" s="130">
        <f>IF(MONTH($AV$43-WEEKDAY($AV$43,2)+4)=MONTH($AV$43),$AV$43-WEEKDAY($AV$43,2)+4,"")</f>
        <v>46695</v>
      </c>
      <c r="BG45" s="130"/>
      <c r="BH45" s="130"/>
      <c r="BI45" s="130">
        <f>IF(MONTH($AV$43-WEEKDAY($AV$43,2)+5)=MONTH($AV$43),$AV$43-WEEKDAY($AV$43,2)+5,"")</f>
        <v>46696</v>
      </c>
      <c r="BJ45" s="130"/>
      <c r="BK45" s="130"/>
      <c r="BL45" s="130">
        <f>IF(MONTH($AV$43-WEEKDAY($AV$43,2)+6)=MONTH($AV$43),$AV$43-WEEKDAY($AV$43,2)+6,"")</f>
        <v>46697</v>
      </c>
      <c r="BM45" s="130"/>
      <c r="BN45" s="130"/>
      <c r="BO45" s="130">
        <f>IF(MONTH($AV$43-WEEKDAY($AV$43,2)+7)=MONTH($AV$43),$AV$43-WEEKDAY($AV$43,2)+7,"")</f>
        <v>46698</v>
      </c>
      <c r="BP45" s="130"/>
      <c r="BQ45" s="130"/>
      <c r="BS45" s="128">
        <f>IF(OR(ISNUMBER(BT45),ISNUMBER(CL45)),_xlfn.ISOWEEKNUM($BS$43-WEEKDAY($BS$43,2)+1),"")</f>
        <v>48</v>
      </c>
      <c r="BT45" s="130" t="str">
        <f>IF(MONTH($BS$43-WEEKDAY($BS$43,2)+1)=MONTH($BS$43),$BS$43-WEEKDAY($BS$43,2)+1,"")</f>
        <v/>
      </c>
      <c r="BU45" s="130"/>
      <c r="BV45" s="130"/>
      <c r="BW45" s="130" t="str">
        <f>IF(MONTH($BS$43-WEEKDAY($BS$43,2)+2)=MONTH($BS$43),$BS$43-WEEKDAY($BS$43,2)+2,"")</f>
        <v/>
      </c>
      <c r="BX45" s="130"/>
      <c r="BY45" s="130"/>
      <c r="BZ45" s="130">
        <f>IF(MONTH($BS$43-WEEKDAY($BS$43,2)+3)=MONTH($BS$43),$BS$43-WEEKDAY($BS$43,2)+3,"")</f>
        <v>46722</v>
      </c>
      <c r="CA45" s="130"/>
      <c r="CB45" s="130"/>
      <c r="CC45" s="130">
        <f>IF(MONTH($BS$43-WEEKDAY($BS$43,2)+4)=MONTH($BS$43),$BS$43-WEEKDAY($BS$43,2)+4,"")</f>
        <v>46723</v>
      </c>
      <c r="CD45" s="130"/>
      <c r="CE45" s="130"/>
      <c r="CF45" s="130">
        <f>IF(MONTH($BS$43-WEEKDAY($BS$43,2)+5)=MONTH($BS$43),$BS$43-WEEKDAY($BS$43,2)+5,"")</f>
        <v>46724</v>
      </c>
      <c r="CG45" s="130"/>
      <c r="CH45" s="130"/>
      <c r="CI45" s="130">
        <f>IF(MONTH($BS$43-WEEKDAY($BS$43,2)+6)=MONTH($BS$43),$BS$43-WEEKDAY($BS$43,2)+6,"")</f>
        <v>46725</v>
      </c>
      <c r="CJ45" s="130"/>
      <c r="CK45" s="130"/>
      <c r="CL45" s="130">
        <f>IF(MONTH($BS$43-WEEKDAY($BS$43,2)+7)=MONTH($BS$43),$BS$43-WEEKDAY($BS$43,2)+7,"")</f>
        <v>46726</v>
      </c>
      <c r="CM45" s="130"/>
      <c r="CN45" s="130"/>
    </row>
    <row r="46" ht="10.5" customHeight="1">
      <c r="B46" s="129"/>
      <c r="C46" s="131" t="str">
        <f>IF(ISNUMBER(C45),IF(COUNTIF(JP_StartSel,C45)&gt;0,"S",IF(COUNTIF(Feiertage,C45)&gt;0,"h","")),"")</f>
        <v/>
      </c>
      <c r="D46" s="131" t="str">
        <f>IF(ISNUMBER(C45),IF(COUNTIF(JP_StartInhalt,C45)&gt;0,"I",IF(COUNTIF(Feiertage,C45)&gt;0,"h","")),"")</f>
        <v/>
      </c>
      <c r="E46" s="131" t="str">
        <f>IF(ISNUMBER(C45),IF(COUNTIF(JP_PAL,C45)&gt;0,"P",IF(COUNTIF(Feiertage,C45)&gt;0,"h","")),"")</f>
        <v/>
      </c>
      <c r="F46" s="131" t="str">
        <f>IF(ISNUMBER(F45),IF(COUNTIF(JP_StartSel,F45)&gt;0,"S",IF(COUNTIF(Feiertage,F45)&gt;0,"h","")),"")</f>
        <v/>
      </c>
      <c r="G46" s="131" t="str">
        <f>IF(ISNUMBER(F45),IF(COUNTIF(JP_StartInhalt,F45)&gt;0,"I",IF(COUNTIF(Feiertage,F45)&gt;0,"h","")),"")</f>
        <v/>
      </c>
      <c r="H46" s="131" t="str">
        <f>IF(ISNUMBER(F45),IF(COUNTIF(JP_PAL,F45)&gt;0,"P",IF(COUNTIF(Feiertage,F45)&gt;0,"h","")),"")</f>
        <v/>
      </c>
      <c r="I46" s="131" t="str">
        <f>IF(ISNUMBER(I45),IF(COUNTIF(JP_StartSel,I45)&gt;0,"S",IF(COUNTIF(Feiertage,I45)&gt;0,"h","")),"")</f>
        <v/>
      </c>
      <c r="J46" s="131" t="str">
        <f>IF(ISNUMBER(I45),IF(COUNTIF(JP_StartInhalt,I45)&gt;0,"I",IF(COUNTIF(Feiertage,I45)&gt;0,"h","")),"")</f>
        <v/>
      </c>
      <c r="K46" s="131" t="str">
        <f>IF(ISNUMBER(I45),IF(COUNTIF(JP_PAL,I45)&gt;0,"P",IF(COUNTIF(Feiertage,I45)&gt;0,"h","")),"")</f>
        <v/>
      </c>
      <c r="L46" s="131" t="str">
        <f>IF(ISNUMBER(L45),IF(COUNTIF(JP_StartSel,L45)&gt;0,"S",IF(COUNTIF(Feiertage,L45)&gt;0,"h","")),"")</f>
        <v/>
      </c>
      <c r="M46" s="131" t="str">
        <f>IF(ISNUMBER(L45),IF(COUNTIF(JP_StartInhalt,L45)&gt;0,"I",IF(COUNTIF(Feiertage,L45)&gt;0,"h","")),"")</f>
        <v/>
      </c>
      <c r="N46" s="131" t="str">
        <f>IF(ISNUMBER(L45),IF(COUNTIF(JP_PAL,L45)&gt;0,"P",IF(COUNTIF(Feiertage,L45)&gt;0,"h","")),"")</f>
        <v/>
      </c>
      <c r="O46" s="131" t="str">
        <f>IF(ISNUMBER(O45),IF(COUNTIF(JP_StartSel,O45)&gt;0,"S",IF(COUNTIF(Feiertage,O45)&gt;0,"h","")),"")</f>
        <v/>
      </c>
      <c r="P46" s="131" t="str">
        <f>IF(ISNUMBER(O45),IF(COUNTIF(JP_StartInhalt,O45)&gt;0,"I",IF(COUNTIF(Feiertage,O45)&gt;0,"h","")),"")</f>
        <v/>
      </c>
      <c r="Q46" s="131" t="str">
        <f>IF(ISNUMBER(O45),IF(COUNTIF(JP_PAL,O45)&gt;0,"P",IF(COUNTIF(Feiertage,O45)&gt;0,"h","")),"")</f>
        <v/>
      </c>
      <c r="R46" s="131" t="str">
        <f>IF(ISNUMBER(R45),IF(COUNTIF(JP_StartSel,R45)&gt;0,"S",IF(COUNTIF(Feiertage,R45)&gt;0,"h","w")),"")</f>
        <v>w</v>
      </c>
      <c r="S46" s="131" t="str">
        <f>IF(ISNUMBER(R45),IF(COUNTIF(JP_StartInhalt,R45)&gt;0,"I",IF(COUNTIF(Feiertage,R45)&gt;0,"h","w")),"")</f>
        <v>w</v>
      </c>
      <c r="T46" s="131" t="str">
        <f>IF(ISNUMBER(R45),IF(COUNTIF(JP_PAL,R45)&gt;0,"P",IF(COUNTIF(Feiertage,R45)&gt;0,"h","w")),"")</f>
        <v>w</v>
      </c>
      <c r="U46" s="131" t="str">
        <f>IF(ISNUMBER(U45),IF(COUNTIF(JP_StartSel,U45)&gt;0,"S",IF(COUNTIF(Feiertage,U45)&gt;0,"h","w")),"")</f>
        <v>w</v>
      </c>
      <c r="V46" s="131" t="str">
        <f>IF(ISNUMBER(U45),IF(COUNTIF(JP_StartInhalt,U45)&gt;0,"I",IF(COUNTIF(Feiertage,U45)&gt;0,"h","w")),"")</f>
        <v>w</v>
      </c>
      <c r="W46" s="131" t="str">
        <f>IF(ISNUMBER(U45),IF(COUNTIF(JP_PAL,U45)&gt;0,"P",IF(COUNTIF(Feiertage,U45)&gt;0,"h","w")),"")</f>
        <v>w</v>
      </c>
      <c r="Y46" s="129"/>
      <c r="Z46" s="131" t="str">
        <f>IF(ISNUMBER(Z45),IF(COUNTIF(JP_StartSel,Z45)&gt;0,"S",IF(COUNTIF(Feiertage,Z45)&gt;0,"h","")),"")</f>
        <v/>
      </c>
      <c r="AA46" s="131" t="str">
        <f>IF(ISNUMBER(Z45),IF(COUNTIF(JP_StartInhalt,Z45)&gt;0,"I",IF(COUNTIF(Feiertage,Z45)&gt;0,"h","")),"")</f>
        <v/>
      </c>
      <c r="AB46" s="131" t="str">
        <f>IF(ISNUMBER(Z45),IF(COUNTIF(JP_PAL,Z45)&gt;0,"P",IF(COUNTIF(Feiertage,Z45)&gt;0,"h","")),"")</f>
        <v/>
      </c>
      <c r="AC46" s="131" t="str">
        <f>IF(ISNUMBER(AC45),IF(COUNTIF(JP_StartSel,AC45)&gt;0,"S",IF(COUNTIF(Feiertage,AC45)&gt;0,"h","")),"")</f>
        <v/>
      </c>
      <c r="AD46" s="131" t="str">
        <f>IF(ISNUMBER(AC45),IF(COUNTIF(JP_StartInhalt,AC45)&gt;0,"I",IF(COUNTIF(Feiertage,AC45)&gt;0,"h","")),"")</f>
        <v/>
      </c>
      <c r="AE46" s="131" t="str">
        <f>IF(ISNUMBER(AC45),IF(COUNTIF(JP_PAL,AC45)&gt;0,"P",IF(COUNTIF(Feiertage,AC45)&gt;0,"h","")),"")</f>
        <v/>
      </c>
      <c r="AF46" s="131" t="str">
        <f>IF(ISNUMBER(AF45),IF(COUNTIF(JP_StartSel,AF45)&gt;0,"S",IF(COUNTIF(Feiertage,AF45)&gt;0,"h","")),"")</f>
        <v/>
      </c>
      <c r="AG46" s="131" t="str">
        <f>IF(ISNUMBER(AF45),IF(COUNTIF(JP_StartInhalt,AF45)&gt;0,"I",IF(COUNTIF(Feiertage,AF45)&gt;0,"h","")),"")</f>
        <v/>
      </c>
      <c r="AH46" s="131" t="str">
        <f>IF(ISNUMBER(AF45),IF(COUNTIF(JP_PAL,AF45)&gt;0,"P",IF(COUNTIF(Feiertage,AF45)&gt;0,"h","")),"")</f>
        <v/>
      </c>
      <c r="AI46" s="131" t="str">
        <f>IF(ISNUMBER(AI45),IF(COUNTIF(JP_StartSel,AI45)&gt;0,"S",IF(COUNTIF(Feiertage,AI45)&gt;0,"h","")),"")</f>
        <v/>
      </c>
      <c r="AJ46" s="131" t="str">
        <f>IF(ISNUMBER(AI45),IF(COUNTIF(JP_StartInhalt,AI45)&gt;0,"I",IF(COUNTIF(Feiertage,AI45)&gt;0,"h","")),"")</f>
        <v/>
      </c>
      <c r="AK46" s="131" t="str">
        <f>IF(ISNUMBER(AI45),IF(COUNTIF(JP_PAL,AI45)&gt;0,"P",IF(COUNTIF(Feiertage,AI45)&gt;0,"h","")),"")</f>
        <v/>
      </c>
      <c r="AL46" s="131" t="str">
        <f>IF(ISNUMBER(AL45),IF(COUNTIF(JP_StartSel,AL45)&gt;0,"S",IF(COUNTIF(Feiertage,AL45)&gt;0,"h","")),"")</f>
        <v/>
      </c>
      <c r="AM46" s="131" t="str">
        <f>IF(ISNUMBER(AL45),IF(COUNTIF(JP_StartInhalt,AL45)&gt;0,"I",IF(COUNTIF(Feiertage,AL45)&gt;0,"h","")),"")</f>
        <v/>
      </c>
      <c r="AN46" s="131" t="str">
        <f>IF(ISNUMBER(AL45),IF(COUNTIF(JP_PAL,AL45)&gt;0,"P",IF(COUNTIF(Feiertage,AL45)&gt;0,"h","")),"")</f>
        <v/>
      </c>
      <c r="AO46" s="131" t="str">
        <f>IF(ISNUMBER(AO45),IF(COUNTIF(JP_StartSel,AO45)&gt;0,"S",IF(COUNTIF(Feiertage,AO45)&gt;0,"h","w")),"")</f>
        <v>w</v>
      </c>
      <c r="AP46" s="131" t="str">
        <f>IF(ISNUMBER(AO45),IF(COUNTIF(JP_StartInhalt,AO45)&gt;0,"I",IF(COUNTIF(Feiertage,AO45)&gt;0,"h","w")),"")</f>
        <v>w</v>
      </c>
      <c r="AQ46" s="131" t="str">
        <f>IF(ISNUMBER(AO45),IF(COUNTIF(JP_PAL,AO45)&gt;0,"P",IF(COUNTIF(Feiertage,AO45)&gt;0,"h","w")),"")</f>
        <v>w</v>
      </c>
      <c r="AR46" s="131" t="str">
        <f>IF(ISNUMBER(AR45),IF(COUNTIF(JP_StartSel,AR45)&gt;0,"S",IF(COUNTIF(Feiertage,AR45)&gt;0,"h","w")),"")</f>
        <v>h</v>
      </c>
      <c r="AS46" s="131" t="str">
        <f>IF(ISNUMBER(AR45),IF(COUNTIF(JP_StartInhalt,AR45)&gt;0,"I",IF(COUNTIF(Feiertage,AR45)&gt;0,"h","w")),"")</f>
        <v>h</v>
      </c>
      <c r="AT46" s="131" t="str">
        <f>IF(ISNUMBER(AR45),IF(COUNTIF(JP_PAL,AR45)&gt;0,"P",IF(COUNTIF(Feiertage,AR45)&gt;0,"h","w")),"")</f>
        <v>h</v>
      </c>
      <c r="AV46" s="129"/>
      <c r="AW46" s="131" t="str">
        <f>IF(ISNUMBER(AW45),IF(COUNTIF(JP_StartSel,AW45)&gt;0,"S",IF(COUNTIF(Feiertage,AW45)&gt;0,"h","")),"")</f>
        <v>h</v>
      </c>
      <c r="AX46" s="131" t="str">
        <f>IF(ISNUMBER(AW45),IF(COUNTIF(JP_StartInhalt,AW45)&gt;0,"I",IF(COUNTIF(Feiertage,AW45)&gt;0,"h","")),"")</f>
        <v>h</v>
      </c>
      <c r="AY46" s="131" t="str">
        <f>IF(ISNUMBER(AW45),IF(COUNTIF(JP_PAL,AW45)&gt;0,"P",IF(COUNTIF(Feiertage,AW45)&gt;0,"h","")),"")</f>
        <v>h</v>
      </c>
      <c r="AZ46" s="131" t="str">
        <f>IF(ISNUMBER(AZ45),IF(COUNTIF(JP_StartSel,AZ45)&gt;0,"S",IF(COUNTIF(Feiertage,AZ45)&gt;0,"h","")),"")</f>
        <v/>
      </c>
      <c r="BA46" s="131" t="str">
        <f>IF(ISNUMBER(AZ45),IF(COUNTIF(JP_StartInhalt,AZ45)&gt;0,"I",IF(COUNTIF(Feiertage,AZ45)&gt;0,"h","")),"")</f>
        <v/>
      </c>
      <c r="BB46" s="131" t="str">
        <f>IF(ISNUMBER(AZ45),IF(COUNTIF(JP_PAL,AZ45)&gt;0,"P",IF(COUNTIF(Feiertage,AZ45)&gt;0,"h","")),"")</f>
        <v/>
      </c>
      <c r="BC46" s="131" t="str">
        <f>IF(ISNUMBER(BC45),IF(COUNTIF(JP_StartSel,BC45)&gt;0,"S",IF(COUNTIF(Feiertage,BC45)&gt;0,"h","")),"")</f>
        <v/>
      </c>
      <c r="BD46" s="131" t="str">
        <f>IF(ISNUMBER(BC45),IF(COUNTIF(JP_StartInhalt,BC45)&gt;0,"I",IF(COUNTIF(Feiertage,BC45)&gt;0,"h","")),"")</f>
        <v/>
      </c>
      <c r="BE46" s="131" t="str">
        <f>IF(ISNUMBER(BC45),IF(COUNTIF(JP_PAL,BC45)&gt;0,"P",IF(COUNTIF(Feiertage,BC45)&gt;0,"h","")),"")</f>
        <v/>
      </c>
      <c r="BF46" s="131" t="str">
        <f>IF(ISNUMBER(BF45),IF(COUNTIF(JP_StartSel,BF45)&gt;0,"S",IF(COUNTIF(Feiertage,BF45)&gt;0,"h","")),"")</f>
        <v/>
      </c>
      <c r="BG46" s="131" t="str">
        <f>IF(ISNUMBER(BF45),IF(COUNTIF(JP_StartInhalt,BF45)&gt;0,"I",IF(COUNTIF(Feiertage,BF45)&gt;0,"h","")),"")</f>
        <v/>
      </c>
      <c r="BH46" s="131" t="str">
        <f>IF(ISNUMBER(BF45),IF(COUNTIF(JP_PAL,BF45)&gt;0,"P",IF(COUNTIF(Feiertage,BF45)&gt;0,"h","")),"")</f>
        <v/>
      </c>
      <c r="BI46" s="131" t="str">
        <f>IF(ISNUMBER(BI45),IF(COUNTIF(JP_StartSel,BI45)&gt;0,"S",IF(COUNTIF(Feiertage,BI45)&gt;0,"h","")),"")</f>
        <v/>
      </c>
      <c r="BJ46" s="131" t="str">
        <f>IF(ISNUMBER(BI45),IF(COUNTIF(JP_StartInhalt,BI45)&gt;0,"I",IF(COUNTIF(Feiertage,BI45)&gt;0,"h","")),"")</f>
        <v/>
      </c>
      <c r="BK46" s="131" t="str">
        <f>IF(ISNUMBER(BI45),IF(COUNTIF(JP_PAL,BI45)&gt;0,"P",IF(COUNTIF(Feiertage,BI45)&gt;0,"h","")),"")</f>
        <v/>
      </c>
      <c r="BL46" s="131" t="str">
        <f>IF(ISNUMBER(BL45),IF(COUNTIF(JP_StartSel,BL45)&gt;0,"S",IF(COUNTIF(Feiertage,BL45)&gt;0,"h","w")),"")</f>
        <v>w</v>
      </c>
      <c r="BM46" s="131" t="str">
        <f>IF(ISNUMBER(BL45),IF(COUNTIF(JP_StartInhalt,BL45)&gt;0,"I",IF(COUNTIF(Feiertage,BL45)&gt;0,"h","w")),"")</f>
        <v>w</v>
      </c>
      <c r="BN46" s="131" t="str">
        <f>IF(ISNUMBER(BL45),IF(COUNTIF(JP_PAL,BL45)&gt;0,"P",IF(COUNTIF(Feiertage,BL45)&gt;0,"h","w")),"")</f>
        <v>w</v>
      </c>
      <c r="BO46" s="131" t="str">
        <f>IF(ISNUMBER(BO45),IF(COUNTIF(JP_StartSel,BO45)&gt;0,"S",IF(COUNTIF(Feiertage,BO45)&gt;0,"h","w")),"")</f>
        <v>w</v>
      </c>
      <c r="BP46" s="131" t="str">
        <f>IF(ISNUMBER(BO45),IF(COUNTIF(JP_StartInhalt,BO45)&gt;0,"I",IF(COUNTIF(Feiertage,BO45)&gt;0,"h","w")),"")</f>
        <v>w</v>
      </c>
      <c r="BQ46" s="131" t="str">
        <f>IF(ISNUMBER(BO45),IF(COUNTIF(JP_PAL,BO45)&gt;0,"P",IF(COUNTIF(Feiertage,BO45)&gt;0,"h","w")),"")</f>
        <v>w</v>
      </c>
      <c r="BS46" s="129"/>
      <c r="BT46" s="131" t="str">
        <f>IF(ISNUMBER(BT45),IF(COUNTIF(JP_StartSel,BT45)&gt;0,"S",IF(COUNTIF(Feiertage,BT45)&gt;0,"h","")),"")</f>
        <v/>
      </c>
      <c r="BU46" s="131" t="str">
        <f>IF(ISNUMBER(BT45),IF(COUNTIF(JP_StartInhalt,BT45)&gt;0,"I",IF(COUNTIF(Feiertage,BT45)&gt;0,"h","")),"")</f>
        <v/>
      </c>
      <c r="BV46" s="131" t="str">
        <f>IF(ISNUMBER(BT45),IF(COUNTIF(JP_PAL,BT45)&gt;0,"P",IF(COUNTIF(Feiertage,BT45)&gt;0,"h","")),"")</f>
        <v/>
      </c>
      <c r="BW46" s="131" t="str">
        <f>IF(ISNUMBER(BW45),IF(COUNTIF(JP_StartSel,BW45)&gt;0,"S",IF(COUNTIF(Feiertage,BW45)&gt;0,"h","")),"")</f>
        <v/>
      </c>
      <c r="BX46" s="131" t="str">
        <f>IF(ISNUMBER(BW45),IF(COUNTIF(JP_StartInhalt,BW45)&gt;0,"I",IF(COUNTIF(Feiertage,BW45)&gt;0,"h","")),"")</f>
        <v/>
      </c>
      <c r="BY46" s="131" t="str">
        <f>IF(ISNUMBER(BW45),IF(COUNTIF(JP_PAL,BW45)&gt;0,"P",IF(COUNTIF(Feiertage,BW45)&gt;0,"h","")),"")</f>
        <v/>
      </c>
      <c r="BZ46" s="131" t="str">
        <f>IF(ISNUMBER(BZ45),IF(COUNTIF(JP_StartSel,BZ45)&gt;0,"S",IF(COUNTIF(Feiertage,BZ45)&gt;0,"h","")),"")</f>
        <v/>
      </c>
      <c r="CA46" s="131" t="str">
        <f>IF(ISNUMBER(BZ45),IF(COUNTIF(JP_StartInhalt,BZ45)&gt;0,"I",IF(COUNTIF(Feiertage,BZ45)&gt;0,"h","")),"")</f>
        <v/>
      </c>
      <c r="CB46" s="131" t="str">
        <f>IF(ISNUMBER(BZ45),IF(COUNTIF(JP_PAL,BZ45)&gt;0,"P",IF(COUNTIF(Feiertage,BZ45)&gt;0,"h","")),"")</f>
        <v/>
      </c>
      <c r="CC46" s="131" t="str">
        <f>IF(ISNUMBER(CC45),IF(COUNTIF(JP_StartSel,CC45)&gt;0,"S",IF(COUNTIF(Feiertage,CC45)&gt;0,"h","")),"")</f>
        <v/>
      </c>
      <c r="CD46" s="131" t="str">
        <f>IF(ISNUMBER(CC45),IF(COUNTIF(JP_StartInhalt,CC45)&gt;0,"I",IF(COUNTIF(Feiertage,CC45)&gt;0,"h","")),"")</f>
        <v/>
      </c>
      <c r="CE46" s="131" t="str">
        <f>IF(ISNUMBER(CC45),IF(COUNTIF(JP_PAL,CC45)&gt;0,"P",IF(COUNTIF(Feiertage,CC45)&gt;0,"h","")),"")</f>
        <v/>
      </c>
      <c r="CF46" s="131" t="str">
        <f>IF(ISNUMBER(CF45),IF(COUNTIF(JP_StartSel,CF45)&gt;0,"S",IF(COUNTIF(Feiertage,CF45)&gt;0,"h","")),"")</f>
        <v/>
      </c>
      <c r="CG46" s="131" t="str">
        <f>IF(ISNUMBER(CF45),IF(COUNTIF(JP_StartInhalt,CF45)&gt;0,"I",IF(COUNTIF(Feiertage,CF45)&gt;0,"h","")),"")</f>
        <v/>
      </c>
      <c r="CH46" s="131" t="str">
        <f>IF(ISNUMBER(CF45),IF(COUNTIF(JP_PAL,CF45)&gt;0,"P",IF(COUNTIF(Feiertage,CF45)&gt;0,"h","")),"")</f>
        <v/>
      </c>
      <c r="CI46" s="131" t="str">
        <f>IF(ISNUMBER(CI45),IF(COUNTIF(JP_StartSel,CI45)&gt;0,"S",IF(COUNTIF(Feiertage,CI45)&gt;0,"h","w")),"")</f>
        <v>w</v>
      </c>
      <c r="CJ46" s="131" t="str">
        <f>IF(ISNUMBER(CI45),IF(COUNTIF(JP_StartInhalt,CI45)&gt;0,"I",IF(COUNTIF(Feiertage,CI45)&gt;0,"h","w")),"")</f>
        <v>w</v>
      </c>
      <c r="CK46" s="131" t="str">
        <f>IF(ISNUMBER(CI45),IF(COUNTIF(JP_PAL,CI45)&gt;0,"P",IF(COUNTIF(Feiertage,CI45)&gt;0,"h","w")),"")</f>
        <v>w</v>
      </c>
      <c r="CL46" s="131" t="str">
        <f>IF(ISNUMBER(CL45),IF(COUNTIF(JP_StartSel,CL45)&gt;0,"S",IF(COUNTIF(Feiertage,CL45)&gt;0,"h","w")),"")</f>
        <v>w</v>
      </c>
      <c r="CM46" s="131" t="str">
        <f>IF(ISNUMBER(CL45),IF(COUNTIF(JP_StartInhalt,CL45)&gt;0,"I",IF(COUNTIF(Feiertage,CL45)&gt;0,"h","w")),"")</f>
        <v>w</v>
      </c>
      <c r="CN46" s="131" t="str">
        <f>IF(ISNUMBER(CL45),IF(COUNTIF(JP_PAL,CL45)&gt;0,"P",IF(COUNTIF(Feiertage,CL45)&gt;0,"h","w")),"")</f>
        <v>w</v>
      </c>
    </row>
    <row r="47" ht="16" customHeight="1">
      <c r="B47" s="128">
        <f>IF(OR(ISNUMBER(C47),ISNUMBER(U47)),_xlfn.ISOWEEKNUM($B$43-WEEKDAY($B$43,2)+8),"")</f>
        <v>36</v>
      </c>
      <c r="C47" s="130">
        <f>IF(MONTH($B$43-WEEKDAY($B$43,2)+8)=MONTH($B$43),$B$43-WEEKDAY($B$43,2)+8,"")</f>
        <v>46636</v>
      </c>
      <c r="D47" s="130"/>
      <c r="E47" s="130"/>
      <c r="F47" s="130">
        <f>IF(MONTH($B$43-WEEKDAY($B$43,2)+9)=MONTH($B$43),$B$43-WEEKDAY($B$43,2)+9,"")</f>
        <v>46637</v>
      </c>
      <c r="G47" s="130"/>
      <c r="H47" s="130"/>
      <c r="I47" s="130">
        <f>IF(MONTH($B$43-WEEKDAY($B$43,2)+10)=MONTH($B$43),$B$43-WEEKDAY($B$43,2)+10,"")</f>
        <v>46638</v>
      </c>
      <c r="J47" s="130"/>
      <c r="K47" s="130"/>
      <c r="L47" s="130">
        <f>IF(MONTH($B$43-WEEKDAY($B$43,2)+11)=MONTH($B$43),$B$43-WEEKDAY($B$43,2)+11,"")</f>
        <v>46639</v>
      </c>
      <c r="M47" s="130"/>
      <c r="N47" s="130"/>
      <c r="O47" s="130">
        <f>IF(MONTH($B$43-WEEKDAY($B$43,2)+12)=MONTH($B$43),$B$43-WEEKDAY($B$43,2)+12,"")</f>
        <v>46640</v>
      </c>
      <c r="P47" s="130"/>
      <c r="Q47" s="130"/>
      <c r="R47" s="130">
        <f>IF(MONTH($B$43-WEEKDAY($B$43,2)+13)=MONTH($B$43),$B$43-WEEKDAY($B$43,2)+13,"")</f>
        <v>46641</v>
      </c>
      <c r="S47" s="130"/>
      <c r="T47" s="130"/>
      <c r="U47" s="130">
        <f>IF(MONTH($B$43-WEEKDAY($B$43,2)+14)=MONTH($B$43),$B$43-WEEKDAY($B$43,2)+14,"")</f>
        <v>46642</v>
      </c>
      <c r="V47" s="130"/>
      <c r="W47" s="130"/>
      <c r="Y47" s="128">
        <f>IF(OR(ISNUMBER(Z47),ISNUMBER(AR47)),_xlfn.ISOWEEKNUM($Y$43-WEEKDAY($Y$43,2)+8),"")</f>
        <v>40</v>
      </c>
      <c r="Z47" s="130">
        <f>IF(MONTH($Y$43-WEEKDAY($Y$43,2)+8)=MONTH($Y$43),$Y$43-WEEKDAY($Y$43,2)+8,"")</f>
        <v>46664</v>
      </c>
      <c r="AA47" s="130"/>
      <c r="AB47" s="130"/>
      <c r="AC47" s="130">
        <f>IF(MONTH($Y$43-WEEKDAY($Y$43,2)+9)=MONTH($Y$43),$Y$43-WEEKDAY($Y$43,2)+9,"")</f>
        <v>46665</v>
      </c>
      <c r="AD47" s="130"/>
      <c r="AE47" s="130"/>
      <c r="AF47" s="130">
        <f>IF(MONTH($Y$43-WEEKDAY($Y$43,2)+10)=MONTH($Y$43),$Y$43-WEEKDAY($Y$43,2)+10,"")</f>
        <v>46666</v>
      </c>
      <c r="AG47" s="130"/>
      <c r="AH47" s="130"/>
      <c r="AI47" s="130">
        <f>IF(MONTH($Y$43-WEEKDAY($Y$43,2)+11)=MONTH($Y$43),$Y$43-WEEKDAY($Y$43,2)+11,"")</f>
        <v>46667</v>
      </c>
      <c r="AJ47" s="130"/>
      <c r="AK47" s="130"/>
      <c r="AL47" s="130">
        <f>IF(MONTH($Y$43-WEEKDAY($Y$43,2)+12)=MONTH($Y$43),$Y$43-WEEKDAY($Y$43,2)+12,"")</f>
        <v>46668</v>
      </c>
      <c r="AM47" s="130"/>
      <c r="AN47" s="130"/>
      <c r="AO47" s="130">
        <f>IF(MONTH($Y$43-WEEKDAY($Y$43,2)+13)=MONTH($Y$43),$Y$43-WEEKDAY($Y$43,2)+13,"")</f>
        <v>46669</v>
      </c>
      <c r="AP47" s="130"/>
      <c r="AQ47" s="130"/>
      <c r="AR47" s="130">
        <f>IF(MONTH($Y$43-WEEKDAY($Y$43,2)+14)=MONTH($Y$43),$Y$43-WEEKDAY($Y$43,2)+14,"")</f>
        <v>46670</v>
      </c>
      <c r="AS47" s="130"/>
      <c r="AT47" s="130"/>
      <c r="AV47" s="128">
        <f>IF(OR(ISNUMBER(AW47),ISNUMBER(BO47)),_xlfn.ISOWEEKNUM($AV$43-WEEKDAY($AV$43,2)+8),"")</f>
        <v>45</v>
      </c>
      <c r="AW47" s="130">
        <f>IF(MONTH($AV$43-WEEKDAY($AV$43,2)+8)=MONTH($AV$43),$AV$43-WEEKDAY($AV$43,2)+8,"")</f>
        <v>46699</v>
      </c>
      <c r="AX47" s="130"/>
      <c r="AY47" s="130"/>
      <c r="AZ47" s="130">
        <f>IF(MONTH($AV$43-WEEKDAY($AV$43,2)+9)=MONTH($AV$43),$AV$43-WEEKDAY($AV$43,2)+9,"")</f>
        <v>46700</v>
      </c>
      <c r="BA47" s="130"/>
      <c r="BB47" s="130"/>
      <c r="BC47" s="130">
        <f>IF(MONTH($AV$43-WEEKDAY($AV$43,2)+10)=MONTH($AV$43),$AV$43-WEEKDAY($AV$43,2)+10,"")</f>
        <v>46701</v>
      </c>
      <c r="BD47" s="130"/>
      <c r="BE47" s="130"/>
      <c r="BF47" s="130">
        <f>IF(MONTH($AV$43-WEEKDAY($AV$43,2)+11)=MONTH($AV$43),$AV$43-WEEKDAY($AV$43,2)+11,"")</f>
        <v>46702</v>
      </c>
      <c r="BG47" s="130"/>
      <c r="BH47" s="130"/>
      <c r="BI47" s="130">
        <f>IF(MONTH($AV$43-WEEKDAY($AV$43,2)+12)=MONTH($AV$43),$AV$43-WEEKDAY($AV$43,2)+12,"")</f>
        <v>46703</v>
      </c>
      <c r="BJ47" s="130"/>
      <c r="BK47" s="130"/>
      <c r="BL47" s="130">
        <f>IF(MONTH($AV$43-WEEKDAY($AV$43,2)+13)=MONTH($AV$43),$AV$43-WEEKDAY($AV$43,2)+13,"")</f>
        <v>46704</v>
      </c>
      <c r="BM47" s="130"/>
      <c r="BN47" s="130"/>
      <c r="BO47" s="130">
        <f>IF(MONTH($AV$43-WEEKDAY($AV$43,2)+14)=MONTH($AV$43),$AV$43-WEEKDAY($AV$43,2)+14,"")</f>
        <v>46705</v>
      </c>
      <c r="BP47" s="130"/>
      <c r="BQ47" s="130"/>
      <c r="BS47" s="128">
        <f>IF(OR(ISNUMBER(BT47),ISNUMBER(CL47)),_xlfn.ISOWEEKNUM($BS$43-WEEKDAY($BS$43,2)+8),"")</f>
        <v>49</v>
      </c>
      <c r="BT47" s="130">
        <f>IF(MONTH($BS$43-WEEKDAY($BS$43,2)+8)=MONTH($BS$43),$BS$43-WEEKDAY($BS$43,2)+8,"")</f>
        <v>46727</v>
      </c>
      <c r="BU47" s="130"/>
      <c r="BV47" s="130"/>
      <c r="BW47" s="130">
        <f>IF(MONTH($BS$43-WEEKDAY($BS$43,2)+9)=MONTH($BS$43),$BS$43-WEEKDAY($BS$43,2)+9,"")</f>
        <v>46728</v>
      </c>
      <c r="BX47" s="130"/>
      <c r="BY47" s="130"/>
      <c r="BZ47" s="130">
        <f>IF(MONTH($BS$43-WEEKDAY($BS$43,2)+10)=MONTH($BS$43),$BS$43-WEEKDAY($BS$43,2)+10,"")</f>
        <v>46729</v>
      </c>
      <c r="CA47" s="130"/>
      <c r="CB47" s="130"/>
      <c r="CC47" s="130">
        <f>IF(MONTH($BS$43-WEEKDAY($BS$43,2)+11)=MONTH($BS$43),$BS$43-WEEKDAY($BS$43,2)+11,"")</f>
        <v>46730</v>
      </c>
      <c r="CD47" s="130"/>
      <c r="CE47" s="130"/>
      <c r="CF47" s="130">
        <f>IF(MONTH($BS$43-WEEKDAY($BS$43,2)+12)=MONTH($BS$43),$BS$43-WEEKDAY($BS$43,2)+12,"")</f>
        <v>46731</v>
      </c>
      <c r="CG47" s="130"/>
      <c r="CH47" s="130"/>
      <c r="CI47" s="130">
        <f>IF(MONTH($BS$43-WEEKDAY($BS$43,2)+13)=MONTH($BS$43),$BS$43-WEEKDAY($BS$43,2)+13,"")</f>
        <v>46732</v>
      </c>
      <c r="CJ47" s="130"/>
      <c r="CK47" s="130"/>
      <c r="CL47" s="130">
        <f>IF(MONTH($BS$43-WEEKDAY($BS$43,2)+14)=MONTH($BS$43),$BS$43-WEEKDAY($BS$43,2)+14,"")</f>
        <v>46733</v>
      </c>
      <c r="CM47" s="130"/>
      <c r="CN47" s="130"/>
    </row>
    <row r="48" ht="10.5" customHeight="1">
      <c r="B48" s="129"/>
      <c r="C48" s="131" t="str">
        <f>IF(ISNUMBER(C47),IF(COUNTIF(JP_StartSel,C47)&gt;0,"S",IF(COUNTIF(Feiertage,C47)&gt;0,"h","")),"")</f>
        <v/>
      </c>
      <c r="D48" s="131" t="str">
        <f>IF(ISNUMBER(C47),IF(COUNTIF(JP_StartInhalt,C47)&gt;0,"I",IF(COUNTIF(Feiertage,C47)&gt;0,"h","")),"")</f>
        <v/>
      </c>
      <c r="E48" s="131" t="str">
        <f>IF(ISNUMBER(C47),IF(COUNTIF(JP_PAL,C47)&gt;0,"P",IF(COUNTIF(Feiertage,C47)&gt;0,"h","")),"")</f>
        <v/>
      </c>
      <c r="F48" s="131" t="str">
        <f>IF(ISNUMBER(F47),IF(COUNTIF(JP_StartSel,F47)&gt;0,"S",IF(COUNTIF(Feiertage,F47)&gt;0,"h","")),"")</f>
        <v/>
      </c>
      <c r="G48" s="131" t="str">
        <f>IF(ISNUMBER(F47),IF(COUNTIF(JP_StartInhalt,F47)&gt;0,"I",IF(COUNTIF(Feiertage,F47)&gt;0,"h","")),"")</f>
        <v/>
      </c>
      <c r="H48" s="131" t="str">
        <f>IF(ISNUMBER(F47),IF(COUNTIF(JP_PAL,F47)&gt;0,"P",IF(COUNTIF(Feiertage,F47)&gt;0,"h","")),"")</f>
        <v/>
      </c>
      <c r="I48" s="131" t="str">
        <f>IF(ISNUMBER(I47),IF(COUNTIF(JP_StartSel,I47)&gt;0,"S",IF(COUNTIF(Feiertage,I47)&gt;0,"h","")),"")</f>
        <v/>
      </c>
      <c r="J48" s="131" t="str">
        <f>IF(ISNUMBER(I47),IF(COUNTIF(JP_StartInhalt,I47)&gt;0,"I",IF(COUNTIF(Feiertage,I47)&gt;0,"h","")),"")</f>
        <v/>
      </c>
      <c r="K48" s="131" t="str">
        <f>IF(ISNUMBER(I47),IF(COUNTIF(JP_PAL,I47)&gt;0,"P",IF(COUNTIF(Feiertage,I47)&gt;0,"h","")),"")</f>
        <v/>
      </c>
      <c r="L48" s="131" t="str">
        <f>IF(ISNUMBER(L47),IF(COUNTIF(JP_StartSel,L47)&gt;0,"S",IF(COUNTIF(Feiertage,L47)&gt;0,"h","")),"")</f>
        <v/>
      </c>
      <c r="M48" s="131" t="str">
        <f>IF(ISNUMBER(L47),IF(COUNTIF(JP_StartInhalt,L47)&gt;0,"I",IF(COUNTIF(Feiertage,L47)&gt;0,"h","")),"")</f>
        <v/>
      </c>
      <c r="N48" s="131" t="str">
        <f>IF(ISNUMBER(L47),IF(COUNTIF(JP_PAL,L47)&gt;0,"P",IF(COUNTIF(Feiertage,L47)&gt;0,"h","")),"")</f>
        <v/>
      </c>
      <c r="O48" s="131" t="str">
        <f>IF(ISNUMBER(O47),IF(COUNTIF(JP_StartSel,O47)&gt;0,"S",IF(COUNTIF(Feiertage,O47)&gt;0,"h","")),"")</f>
        <v/>
      </c>
      <c r="P48" s="131" t="str">
        <f>IF(ISNUMBER(O47),IF(COUNTIF(JP_StartInhalt,O47)&gt;0,"I",IF(COUNTIF(Feiertage,O47)&gt;0,"h","")),"")</f>
        <v/>
      </c>
      <c r="Q48" s="131" t="str">
        <f>IF(ISNUMBER(O47),IF(COUNTIF(JP_PAL,O47)&gt;0,"P",IF(COUNTIF(Feiertage,O47)&gt;0,"h","")),"")</f>
        <v/>
      </c>
      <c r="R48" s="131" t="str">
        <f>IF(ISNUMBER(R47),IF(COUNTIF(JP_StartSel,R47)&gt;0,"S",IF(COUNTIF(Feiertage,R47)&gt;0,"h","w")),"")</f>
        <v>S</v>
      </c>
      <c r="S48" s="131" t="str">
        <f>IF(ISNUMBER(R47),IF(COUNTIF(JP_StartInhalt,R47)&gt;0,"I",IF(COUNTIF(Feiertage,R47)&gt;0,"h","w")),"")</f>
        <v>w</v>
      </c>
      <c r="T48" s="131" t="str">
        <f>IF(ISNUMBER(R47),IF(COUNTIF(JP_PAL,R47)&gt;0,"P",IF(COUNTIF(Feiertage,R47)&gt;0,"h","w")),"")</f>
        <v>w</v>
      </c>
      <c r="U48" s="131" t="str">
        <f>IF(ISNUMBER(U47),IF(COUNTIF(JP_StartSel,U47)&gt;0,"S",IF(COUNTIF(Feiertage,U47)&gt;0,"h","w")),"")</f>
        <v>w</v>
      </c>
      <c r="V48" s="131" t="str">
        <f>IF(ISNUMBER(U47),IF(COUNTIF(JP_StartInhalt,U47)&gt;0,"I",IF(COUNTIF(Feiertage,U47)&gt;0,"h","w")),"")</f>
        <v>w</v>
      </c>
      <c r="W48" s="131" t="str">
        <f>IF(ISNUMBER(U47),IF(COUNTIF(JP_PAL,U47)&gt;0,"P",IF(COUNTIF(Feiertage,U47)&gt;0,"h","w")),"")</f>
        <v>w</v>
      </c>
      <c r="Y48" s="129"/>
      <c r="Z48" s="131" t="str">
        <f>IF(ISNUMBER(Z47),IF(COUNTIF(JP_StartSel,Z47)&gt;0,"S",IF(COUNTIF(Feiertage,Z47)&gt;0,"h","")),"")</f>
        <v/>
      </c>
      <c r="AA48" s="131" t="str">
        <f>IF(ISNUMBER(Z47),IF(COUNTIF(JP_StartInhalt,Z47)&gt;0,"I",IF(COUNTIF(Feiertage,Z47)&gt;0,"h","")),"")</f>
        <v/>
      </c>
      <c r="AB48" s="131" t="str">
        <f>IF(ISNUMBER(Z47),IF(COUNTIF(JP_PAL,Z47)&gt;0,"P",IF(COUNTIF(Feiertage,Z47)&gt;0,"h","")),"")</f>
        <v/>
      </c>
      <c r="AC48" s="131" t="str">
        <f>IF(ISNUMBER(AC47),IF(COUNTIF(JP_StartSel,AC47)&gt;0,"S",IF(COUNTIF(Feiertage,AC47)&gt;0,"h","")),"")</f>
        <v/>
      </c>
      <c r="AD48" s="131" t="str">
        <f>IF(ISNUMBER(AC47),IF(COUNTIF(JP_StartInhalt,AC47)&gt;0,"I",IF(COUNTIF(Feiertage,AC47)&gt;0,"h","")),"")</f>
        <v/>
      </c>
      <c r="AE48" s="131" t="str">
        <f>IF(ISNUMBER(AC47),IF(COUNTIF(JP_PAL,AC47)&gt;0,"P",IF(COUNTIF(Feiertage,AC47)&gt;0,"h","")),"")</f>
        <v/>
      </c>
      <c r="AF48" s="131" t="str">
        <f>IF(ISNUMBER(AF47),IF(COUNTIF(JP_StartSel,AF47)&gt;0,"S",IF(COUNTIF(Feiertage,AF47)&gt;0,"h","")),"")</f>
        <v/>
      </c>
      <c r="AG48" s="131" t="str">
        <f>IF(ISNUMBER(AF47),IF(COUNTIF(JP_StartInhalt,AF47)&gt;0,"I",IF(COUNTIF(Feiertage,AF47)&gt;0,"h","")),"")</f>
        <v/>
      </c>
      <c r="AH48" s="131" t="str">
        <f>IF(ISNUMBER(AF47),IF(COUNTIF(JP_PAL,AF47)&gt;0,"P",IF(COUNTIF(Feiertage,AF47)&gt;0,"h","")),"")</f>
        <v/>
      </c>
      <c r="AI48" s="131" t="str">
        <f>IF(ISNUMBER(AI47),IF(COUNTIF(JP_StartSel,AI47)&gt;0,"S",IF(COUNTIF(Feiertage,AI47)&gt;0,"h","")),"")</f>
        <v/>
      </c>
      <c r="AJ48" s="131" t="str">
        <f>IF(ISNUMBER(AI47),IF(COUNTIF(JP_StartInhalt,AI47)&gt;0,"I",IF(COUNTIF(Feiertage,AI47)&gt;0,"h","")),"")</f>
        <v/>
      </c>
      <c r="AK48" s="131" t="str">
        <f>IF(ISNUMBER(AI47),IF(COUNTIF(JP_PAL,AI47)&gt;0,"P",IF(COUNTIF(Feiertage,AI47)&gt;0,"h","")),"")</f>
        <v/>
      </c>
      <c r="AL48" s="131" t="str">
        <f>IF(ISNUMBER(AL47),IF(COUNTIF(JP_StartSel,AL47)&gt;0,"S",IF(COUNTIF(Feiertage,AL47)&gt;0,"h","")),"")</f>
        <v/>
      </c>
      <c r="AM48" s="131" t="str">
        <f>IF(ISNUMBER(AL47),IF(COUNTIF(JP_StartInhalt,AL47)&gt;0,"I",IF(COUNTIF(Feiertage,AL47)&gt;0,"h","")),"")</f>
        <v/>
      </c>
      <c r="AN48" s="131" t="str">
        <f>IF(ISNUMBER(AL47),IF(COUNTIF(JP_PAL,AL47)&gt;0,"P",IF(COUNTIF(Feiertage,AL47)&gt;0,"h","")),"")</f>
        <v>P</v>
      </c>
      <c r="AO48" s="131" t="str">
        <f>IF(ISNUMBER(AO47),IF(COUNTIF(JP_StartSel,AO47)&gt;0,"S",IF(COUNTIF(Feiertage,AO47)&gt;0,"h","w")),"")</f>
        <v>w</v>
      </c>
      <c r="AP48" s="131" t="str">
        <f>IF(ISNUMBER(AO47),IF(COUNTIF(JP_StartInhalt,AO47)&gt;0,"I",IF(COUNTIF(Feiertage,AO47)&gt;0,"h","w")),"")</f>
        <v>w</v>
      </c>
      <c r="AQ48" s="131" t="str">
        <f>IF(ISNUMBER(AO47),IF(COUNTIF(JP_PAL,AO47)&gt;0,"P",IF(COUNTIF(Feiertage,AO47)&gt;0,"h","w")),"")</f>
        <v>w</v>
      </c>
      <c r="AR48" s="131" t="str">
        <f>IF(ISNUMBER(AR47),IF(COUNTIF(JP_StartSel,AR47)&gt;0,"S",IF(COUNTIF(Feiertage,AR47)&gt;0,"h","w")),"")</f>
        <v>w</v>
      </c>
      <c r="AS48" s="131" t="str">
        <f>IF(ISNUMBER(AR47),IF(COUNTIF(JP_StartInhalt,AR47)&gt;0,"I",IF(COUNTIF(Feiertage,AR47)&gt;0,"h","w")),"")</f>
        <v>w</v>
      </c>
      <c r="AT48" s="131" t="str">
        <f>IF(ISNUMBER(AR47),IF(COUNTIF(JP_PAL,AR47)&gt;0,"P",IF(COUNTIF(Feiertage,AR47)&gt;0,"h","w")),"")</f>
        <v>w</v>
      </c>
      <c r="AV48" s="129"/>
      <c r="AW48" s="131" t="str">
        <f>IF(ISNUMBER(AW47),IF(COUNTIF(JP_StartSel,AW47)&gt;0,"S",IF(COUNTIF(Feiertage,AW47)&gt;0,"h","")),"")</f>
        <v/>
      </c>
      <c r="AX48" s="131" t="str">
        <f>IF(ISNUMBER(AW47),IF(COUNTIF(JP_StartInhalt,AW47)&gt;0,"I",IF(COUNTIF(Feiertage,AW47)&gt;0,"h","")),"")</f>
        <v/>
      </c>
      <c r="AY48" s="131" t="str">
        <f>IF(ISNUMBER(AW47),IF(COUNTIF(JP_PAL,AW47)&gt;0,"P",IF(COUNTIF(Feiertage,AW47)&gt;0,"h","")),"")</f>
        <v/>
      </c>
      <c r="AZ48" s="131" t="str">
        <f>IF(ISNUMBER(AZ47),IF(COUNTIF(JP_StartSel,AZ47)&gt;0,"S",IF(COUNTIF(Feiertage,AZ47)&gt;0,"h","")),"")</f>
        <v/>
      </c>
      <c r="BA48" s="131" t="str">
        <f>IF(ISNUMBER(AZ47),IF(COUNTIF(JP_StartInhalt,AZ47)&gt;0,"I",IF(COUNTIF(Feiertage,AZ47)&gt;0,"h","")),"")</f>
        <v/>
      </c>
      <c r="BB48" s="131" t="str">
        <f>IF(ISNUMBER(AZ47),IF(COUNTIF(JP_PAL,AZ47)&gt;0,"P",IF(COUNTIF(Feiertage,AZ47)&gt;0,"h","")),"")</f>
        <v/>
      </c>
      <c r="BC48" s="131" t="str">
        <f>IF(ISNUMBER(BC47),IF(COUNTIF(JP_StartSel,BC47)&gt;0,"S",IF(COUNTIF(Feiertage,BC47)&gt;0,"h","")),"")</f>
        <v/>
      </c>
      <c r="BD48" s="131" t="str">
        <f>IF(ISNUMBER(BC47),IF(COUNTIF(JP_StartInhalt,BC47)&gt;0,"I",IF(COUNTIF(Feiertage,BC47)&gt;0,"h","")),"")</f>
        <v/>
      </c>
      <c r="BE48" s="131" t="str">
        <f>IF(ISNUMBER(BC47),IF(COUNTIF(JP_PAL,BC47)&gt;0,"P",IF(COUNTIF(Feiertage,BC47)&gt;0,"h","")),"")</f>
        <v/>
      </c>
      <c r="BF48" s="131" t="str">
        <f>IF(ISNUMBER(BF47),IF(COUNTIF(JP_StartSel,BF47)&gt;0,"S",IF(COUNTIF(Feiertage,BF47)&gt;0,"h","")),"")</f>
        <v/>
      </c>
      <c r="BG48" s="131" t="str">
        <f>IF(ISNUMBER(BF47),IF(COUNTIF(JP_StartInhalt,BF47)&gt;0,"I",IF(COUNTIF(Feiertage,BF47)&gt;0,"h","")),"")</f>
        <v/>
      </c>
      <c r="BH48" s="131" t="str">
        <f>IF(ISNUMBER(BF47),IF(COUNTIF(JP_PAL,BF47)&gt;0,"P",IF(COUNTIF(Feiertage,BF47)&gt;0,"h","")),"")</f>
        <v/>
      </c>
      <c r="BI48" s="131" t="str">
        <f>IF(ISNUMBER(BI47),IF(COUNTIF(JP_StartSel,BI47)&gt;0,"S",IF(COUNTIF(Feiertage,BI47)&gt;0,"h","")),"")</f>
        <v/>
      </c>
      <c r="BJ48" s="131" t="str">
        <f>IF(ISNUMBER(BI47),IF(COUNTIF(JP_StartInhalt,BI47)&gt;0,"I",IF(COUNTIF(Feiertage,BI47)&gt;0,"h","")),"")</f>
        <v/>
      </c>
      <c r="BK48" s="131" t="str">
        <f>IF(ISNUMBER(BI47),IF(COUNTIF(JP_PAL,BI47)&gt;0,"P",IF(COUNTIF(Feiertage,BI47)&gt;0,"h","")),"")</f>
        <v/>
      </c>
      <c r="BL48" s="131" t="str">
        <f>IF(ISNUMBER(BL47),IF(COUNTIF(JP_StartSel,BL47)&gt;0,"S",IF(COUNTIF(Feiertage,BL47)&gt;0,"h","w")),"")</f>
        <v>w</v>
      </c>
      <c r="BM48" s="131" t="str">
        <f>IF(ISNUMBER(BL47),IF(COUNTIF(JP_StartInhalt,BL47)&gt;0,"I",IF(COUNTIF(Feiertage,BL47)&gt;0,"h","w")),"")</f>
        <v>w</v>
      </c>
      <c r="BN48" s="131" t="str">
        <f>IF(ISNUMBER(BL47),IF(COUNTIF(JP_PAL,BL47)&gt;0,"P",IF(COUNTIF(Feiertage,BL47)&gt;0,"h","w")),"")</f>
        <v>w</v>
      </c>
      <c r="BO48" s="131" t="str">
        <f>IF(ISNUMBER(BO47),IF(COUNTIF(JP_StartSel,BO47)&gt;0,"S",IF(COUNTIF(Feiertage,BO47)&gt;0,"h","w")),"")</f>
        <v>w</v>
      </c>
      <c r="BP48" s="131" t="str">
        <f>IF(ISNUMBER(BO47),IF(COUNTIF(JP_StartInhalt,BO47)&gt;0,"I",IF(COUNTIF(Feiertage,BO47)&gt;0,"h","w")),"")</f>
        <v>w</v>
      </c>
      <c r="BQ48" s="131" t="str">
        <f>IF(ISNUMBER(BO47),IF(COUNTIF(JP_PAL,BO47)&gt;0,"P",IF(COUNTIF(Feiertage,BO47)&gt;0,"h","w")),"")</f>
        <v>w</v>
      </c>
      <c r="BS48" s="129"/>
      <c r="BT48" s="131" t="str">
        <f>IF(ISNUMBER(BT47),IF(COUNTIF(JP_StartSel,BT47)&gt;0,"S",IF(COUNTIF(Feiertage,BT47)&gt;0,"h","")),"")</f>
        <v/>
      </c>
      <c r="BU48" s="131" t="str">
        <f>IF(ISNUMBER(BT47),IF(COUNTIF(JP_StartInhalt,BT47)&gt;0,"I",IF(COUNTIF(Feiertage,BT47)&gt;0,"h","")),"")</f>
        <v/>
      </c>
      <c r="BV48" s="131" t="str">
        <f>IF(ISNUMBER(BT47),IF(COUNTIF(JP_PAL,BT47)&gt;0,"P",IF(COUNTIF(Feiertage,BT47)&gt;0,"h","")),"")</f>
        <v/>
      </c>
      <c r="BW48" s="131" t="str">
        <f>IF(ISNUMBER(BW47),IF(COUNTIF(JP_StartSel,BW47)&gt;0,"S",IF(COUNTIF(Feiertage,BW47)&gt;0,"h","")),"")</f>
        <v/>
      </c>
      <c r="BX48" s="131" t="str">
        <f>IF(ISNUMBER(BW47),IF(COUNTIF(JP_StartInhalt,BW47)&gt;0,"I",IF(COUNTIF(Feiertage,BW47)&gt;0,"h","")),"")</f>
        <v/>
      </c>
      <c r="BY48" s="131" t="str">
        <f>IF(ISNUMBER(BW47),IF(COUNTIF(JP_PAL,BW47)&gt;0,"P",IF(COUNTIF(Feiertage,BW47)&gt;0,"h","")),"")</f>
        <v/>
      </c>
      <c r="BZ48" s="131" t="str">
        <f>IF(ISNUMBER(BZ47),IF(COUNTIF(JP_StartSel,BZ47)&gt;0,"S",IF(COUNTIF(Feiertage,BZ47)&gt;0,"h","")),"")</f>
        <v/>
      </c>
      <c r="CA48" s="131" t="str">
        <f>IF(ISNUMBER(BZ47),IF(COUNTIF(JP_StartInhalt,BZ47)&gt;0,"I",IF(COUNTIF(Feiertage,BZ47)&gt;0,"h","")),"")</f>
        <v/>
      </c>
      <c r="CB48" s="131" t="str">
        <f>IF(ISNUMBER(BZ47),IF(COUNTIF(JP_PAL,BZ47)&gt;0,"P",IF(COUNTIF(Feiertage,BZ47)&gt;0,"h","")),"")</f>
        <v/>
      </c>
      <c r="CC48" s="131" t="str">
        <f>IF(ISNUMBER(CC47),IF(COUNTIF(JP_StartSel,CC47)&gt;0,"S",IF(COUNTIF(Feiertage,CC47)&gt;0,"h","")),"")</f>
        <v/>
      </c>
      <c r="CD48" s="131" t="str">
        <f>IF(ISNUMBER(CC47),IF(COUNTIF(JP_StartInhalt,CC47)&gt;0,"I",IF(COUNTIF(Feiertage,CC47)&gt;0,"h","")),"")</f>
        <v/>
      </c>
      <c r="CE48" s="131" t="str">
        <f>IF(ISNUMBER(CC47),IF(COUNTIF(JP_PAL,CC47)&gt;0,"P",IF(COUNTIF(Feiertage,CC47)&gt;0,"h","")),"")</f>
        <v/>
      </c>
      <c r="CF48" s="131" t="str">
        <f>IF(ISNUMBER(CF47),IF(COUNTIF(JP_StartSel,CF47)&gt;0,"S",IF(COUNTIF(Feiertage,CF47)&gt;0,"h","")),"")</f>
        <v/>
      </c>
      <c r="CG48" s="131" t="str">
        <f>IF(ISNUMBER(CF47),IF(COUNTIF(JP_StartInhalt,CF47)&gt;0,"I",IF(COUNTIF(Feiertage,CF47)&gt;0,"h","")),"")</f>
        <v/>
      </c>
      <c r="CH48" s="131" t="str">
        <f>IF(ISNUMBER(CF47),IF(COUNTIF(JP_PAL,CF47)&gt;0,"P",IF(COUNTIF(Feiertage,CF47)&gt;0,"h","")),"")</f>
        <v>P</v>
      </c>
      <c r="CI48" s="131" t="str">
        <f>IF(ISNUMBER(CI47),IF(COUNTIF(JP_StartSel,CI47)&gt;0,"S",IF(COUNTIF(Feiertage,CI47)&gt;0,"h","w")),"")</f>
        <v>w</v>
      </c>
      <c r="CJ48" s="131" t="str">
        <f>IF(ISNUMBER(CI47),IF(COUNTIF(JP_StartInhalt,CI47)&gt;0,"I",IF(COUNTIF(Feiertage,CI47)&gt;0,"h","w")),"")</f>
        <v>w</v>
      </c>
      <c r="CK48" s="131" t="str">
        <f>IF(ISNUMBER(CI47),IF(COUNTIF(JP_PAL,CI47)&gt;0,"P",IF(COUNTIF(Feiertage,CI47)&gt;0,"h","w")),"")</f>
        <v>w</v>
      </c>
      <c r="CL48" s="131" t="str">
        <f>IF(ISNUMBER(CL47),IF(COUNTIF(JP_StartSel,CL47)&gt;0,"S",IF(COUNTIF(Feiertage,CL47)&gt;0,"h","w")),"")</f>
        <v>w</v>
      </c>
      <c r="CM48" s="131" t="str">
        <f>IF(ISNUMBER(CL47),IF(COUNTIF(JP_StartInhalt,CL47)&gt;0,"I",IF(COUNTIF(Feiertage,CL47)&gt;0,"h","w")),"")</f>
        <v>w</v>
      </c>
      <c r="CN48" s="131" t="str">
        <f>IF(ISNUMBER(CL47),IF(COUNTIF(JP_PAL,CL47)&gt;0,"P",IF(COUNTIF(Feiertage,CL47)&gt;0,"h","w")),"")</f>
        <v>w</v>
      </c>
    </row>
    <row r="49" ht="16" customHeight="1">
      <c r="B49" s="128">
        <f>IF(OR(ISNUMBER(C49),ISNUMBER(U49)),_xlfn.ISOWEEKNUM($B$43-WEEKDAY($B$43,2)+15),"")</f>
        <v>37</v>
      </c>
      <c r="C49" s="130">
        <f>IF(MONTH($B$43-WEEKDAY($B$43,2)+15)=MONTH($B$43),$B$43-WEEKDAY($B$43,2)+15,"")</f>
        <v>46643</v>
      </c>
      <c r="D49" s="130"/>
      <c r="E49" s="130"/>
      <c r="F49" s="130">
        <f>IF(MONTH($B$43-WEEKDAY($B$43,2)+16)=MONTH($B$43),$B$43-WEEKDAY($B$43,2)+16,"")</f>
        <v>46644</v>
      </c>
      <c r="G49" s="130"/>
      <c r="H49" s="130"/>
      <c r="I49" s="130">
        <f>IF(MONTH($B$43-WEEKDAY($B$43,2)+17)=MONTH($B$43),$B$43-WEEKDAY($B$43,2)+17,"")</f>
        <v>46645</v>
      </c>
      <c r="J49" s="130"/>
      <c r="K49" s="130"/>
      <c r="L49" s="130">
        <f>IF(MONTH($B$43-WEEKDAY($B$43,2)+18)=MONTH($B$43),$B$43-WEEKDAY($B$43,2)+18,"")</f>
        <v>46646</v>
      </c>
      <c r="M49" s="130"/>
      <c r="N49" s="130"/>
      <c r="O49" s="130">
        <f>IF(MONTH($B$43-WEEKDAY($B$43,2)+19)=MONTH($B$43),$B$43-WEEKDAY($B$43,2)+19,"")</f>
        <v>46647</v>
      </c>
      <c r="P49" s="130"/>
      <c r="Q49" s="130"/>
      <c r="R49" s="130">
        <f>IF(MONTH($B$43-WEEKDAY($B$43,2)+20)=MONTH($B$43),$B$43-WEEKDAY($B$43,2)+20,"")</f>
        <v>46648</v>
      </c>
      <c r="S49" s="130"/>
      <c r="T49" s="130"/>
      <c r="U49" s="130">
        <f>IF(MONTH($B$43-WEEKDAY($B$43,2)+21)=MONTH($B$43),$B$43-WEEKDAY($B$43,2)+21,"")</f>
        <v>46649</v>
      </c>
      <c r="V49" s="130"/>
      <c r="W49" s="130"/>
      <c r="Y49" s="128">
        <f>IF(OR(ISNUMBER(Z49),ISNUMBER(AR49)),_xlfn.ISOWEEKNUM($Y$43-WEEKDAY($Y$43,2)+15),"")</f>
        <v>41</v>
      </c>
      <c r="Z49" s="130">
        <f>IF(MONTH($Y$43-WEEKDAY($Y$43,2)+15)=MONTH($Y$43),$Y$43-WEEKDAY($Y$43,2)+15,"")</f>
        <v>46671</v>
      </c>
      <c r="AA49" s="130"/>
      <c r="AB49" s="130"/>
      <c r="AC49" s="130">
        <f>IF(MONTH($Y$43-WEEKDAY($Y$43,2)+16)=MONTH($Y$43),$Y$43-WEEKDAY($Y$43,2)+16,"")</f>
        <v>46672</v>
      </c>
      <c r="AD49" s="130"/>
      <c r="AE49" s="130"/>
      <c r="AF49" s="130">
        <f>IF(MONTH($Y$43-WEEKDAY($Y$43,2)+17)=MONTH($Y$43),$Y$43-WEEKDAY($Y$43,2)+17,"")</f>
        <v>46673</v>
      </c>
      <c r="AG49" s="130"/>
      <c r="AH49" s="130"/>
      <c r="AI49" s="130">
        <f>IF(MONTH($Y$43-WEEKDAY($Y$43,2)+18)=MONTH($Y$43),$Y$43-WEEKDAY($Y$43,2)+18,"")</f>
        <v>46674</v>
      </c>
      <c r="AJ49" s="130"/>
      <c r="AK49" s="130"/>
      <c r="AL49" s="130">
        <f>IF(MONTH($Y$43-WEEKDAY($Y$43,2)+19)=MONTH($Y$43),$Y$43-WEEKDAY($Y$43,2)+19,"")</f>
        <v>46675</v>
      </c>
      <c r="AM49" s="130"/>
      <c r="AN49" s="130"/>
      <c r="AO49" s="130">
        <f>IF(MONTH($Y$43-WEEKDAY($Y$43,2)+20)=MONTH($Y$43),$Y$43-WEEKDAY($Y$43,2)+20,"")</f>
        <v>46676</v>
      </c>
      <c r="AP49" s="130"/>
      <c r="AQ49" s="130"/>
      <c r="AR49" s="130">
        <f>IF(MONTH($Y$43-WEEKDAY($Y$43,2)+21)=MONTH($Y$43),$Y$43-WEEKDAY($Y$43,2)+21,"")</f>
        <v>46677</v>
      </c>
      <c r="AS49" s="130"/>
      <c r="AT49" s="130"/>
      <c r="AV49" s="128">
        <f>IF(OR(ISNUMBER(AW49),ISNUMBER(BO49)),_xlfn.ISOWEEKNUM($AV$43-WEEKDAY($AV$43,2)+15),"")</f>
        <v>46</v>
      </c>
      <c r="AW49" s="130">
        <f>IF(MONTH($AV$43-WEEKDAY($AV$43,2)+15)=MONTH($AV$43),$AV$43-WEEKDAY($AV$43,2)+15,"")</f>
        <v>46706</v>
      </c>
      <c r="AX49" s="130"/>
      <c r="AY49" s="130"/>
      <c r="AZ49" s="130">
        <f>IF(MONTH($AV$43-WEEKDAY($AV$43,2)+16)=MONTH($AV$43),$AV$43-WEEKDAY($AV$43,2)+16,"")</f>
        <v>46707</v>
      </c>
      <c r="BA49" s="130"/>
      <c r="BB49" s="130"/>
      <c r="BC49" s="130">
        <f>IF(MONTH($AV$43-WEEKDAY($AV$43,2)+17)=MONTH($AV$43),$AV$43-WEEKDAY($AV$43,2)+17,"")</f>
        <v>46708</v>
      </c>
      <c r="BD49" s="130"/>
      <c r="BE49" s="130"/>
      <c r="BF49" s="130">
        <f>IF(MONTH($AV$43-WEEKDAY($AV$43,2)+18)=MONTH($AV$43),$AV$43-WEEKDAY($AV$43,2)+18,"")</f>
        <v>46709</v>
      </c>
      <c r="BG49" s="130"/>
      <c r="BH49" s="130"/>
      <c r="BI49" s="130">
        <f>IF(MONTH($AV$43-WEEKDAY($AV$43,2)+19)=MONTH($AV$43),$AV$43-WEEKDAY($AV$43,2)+19,"")</f>
        <v>46710</v>
      </c>
      <c r="BJ49" s="130"/>
      <c r="BK49" s="130"/>
      <c r="BL49" s="130">
        <f>IF(MONTH($AV$43-WEEKDAY($AV$43,2)+20)=MONTH($AV$43),$AV$43-WEEKDAY($AV$43,2)+20,"")</f>
        <v>46711</v>
      </c>
      <c r="BM49" s="130"/>
      <c r="BN49" s="130"/>
      <c r="BO49" s="130">
        <f>IF(MONTH($AV$43-WEEKDAY($AV$43,2)+21)=MONTH($AV$43),$AV$43-WEEKDAY($AV$43,2)+21,"")</f>
        <v>46712</v>
      </c>
      <c r="BP49" s="130"/>
      <c r="BQ49" s="130"/>
      <c r="BS49" s="128">
        <f>IF(OR(ISNUMBER(BT49),ISNUMBER(CL49)),_xlfn.ISOWEEKNUM($BS$43-WEEKDAY($BS$43,2)+15),"")</f>
        <v>50</v>
      </c>
      <c r="BT49" s="130">
        <f>IF(MONTH($BS$43-WEEKDAY($BS$43,2)+15)=MONTH($BS$43),$BS$43-WEEKDAY($BS$43,2)+15,"")</f>
        <v>46734</v>
      </c>
      <c r="BU49" s="130"/>
      <c r="BV49" s="130"/>
      <c r="BW49" s="130">
        <f>IF(MONTH($BS$43-WEEKDAY($BS$43,2)+16)=MONTH($BS$43),$BS$43-WEEKDAY($BS$43,2)+16,"")</f>
        <v>46735</v>
      </c>
      <c r="BX49" s="130"/>
      <c r="BY49" s="130"/>
      <c r="BZ49" s="130">
        <f>IF(MONTH($BS$43-WEEKDAY($BS$43,2)+17)=MONTH($BS$43),$BS$43-WEEKDAY($BS$43,2)+17,"")</f>
        <v>46736</v>
      </c>
      <c r="CA49" s="130"/>
      <c r="CB49" s="130"/>
      <c r="CC49" s="130">
        <f>IF(MONTH($BS$43-WEEKDAY($BS$43,2)+18)=MONTH($BS$43),$BS$43-WEEKDAY($BS$43,2)+18,"")</f>
        <v>46737</v>
      </c>
      <c r="CD49" s="130"/>
      <c r="CE49" s="130"/>
      <c r="CF49" s="130">
        <f>IF(MONTH($BS$43-WEEKDAY($BS$43,2)+19)=MONTH($BS$43),$BS$43-WEEKDAY($BS$43,2)+19,"")</f>
        <v>46738</v>
      </c>
      <c r="CG49" s="130"/>
      <c r="CH49" s="130"/>
      <c r="CI49" s="130">
        <f>IF(MONTH($BS$43-WEEKDAY($BS$43,2)+20)=MONTH($BS$43),$BS$43-WEEKDAY($BS$43,2)+20,"")</f>
        <v>46739</v>
      </c>
      <c r="CJ49" s="130"/>
      <c r="CK49" s="130"/>
      <c r="CL49" s="130">
        <f>IF(MONTH($BS$43-WEEKDAY($BS$43,2)+21)=MONTH($BS$43),$BS$43-WEEKDAY($BS$43,2)+21,"")</f>
        <v>46740</v>
      </c>
      <c r="CM49" s="130"/>
      <c r="CN49" s="130"/>
    </row>
    <row r="50" ht="10.5" customHeight="1">
      <c r="B50" s="129"/>
      <c r="C50" s="131" t="str">
        <f>IF(ISNUMBER(C49),IF(COUNTIF(JP_StartSel,C49)&gt;0,"S",IF(COUNTIF(Feiertage,C49)&gt;0,"h","")),"")</f>
        <v/>
      </c>
      <c r="D50" s="131" t="str">
        <f>IF(ISNUMBER(C49),IF(COUNTIF(JP_StartInhalt,C49)&gt;0,"I",IF(COUNTIF(Feiertage,C49)&gt;0,"h","")),"")</f>
        <v/>
      </c>
      <c r="E50" s="131" t="str">
        <f>IF(ISNUMBER(C49),IF(COUNTIF(JP_PAL,C49)&gt;0,"P",IF(COUNTIF(Feiertage,C49)&gt;0,"h","")),"")</f>
        <v/>
      </c>
      <c r="F50" s="131" t="str">
        <f>IF(ISNUMBER(F49),IF(COUNTIF(JP_StartSel,F49)&gt;0,"S",IF(COUNTIF(Feiertage,F49)&gt;0,"h","")),"")</f>
        <v/>
      </c>
      <c r="G50" s="131" t="str">
        <f>IF(ISNUMBER(F49),IF(COUNTIF(JP_StartInhalt,F49)&gt;0,"I",IF(COUNTIF(Feiertage,F49)&gt;0,"h","")),"")</f>
        <v/>
      </c>
      <c r="H50" s="131" t="str">
        <f>IF(ISNUMBER(F49),IF(COUNTIF(JP_PAL,F49)&gt;0,"P",IF(COUNTIF(Feiertage,F49)&gt;0,"h","")),"")</f>
        <v/>
      </c>
      <c r="I50" s="131" t="str">
        <f>IF(ISNUMBER(I49),IF(COUNTIF(JP_StartSel,I49)&gt;0,"S",IF(COUNTIF(Feiertage,I49)&gt;0,"h","")),"")</f>
        <v/>
      </c>
      <c r="J50" s="131" t="str">
        <f>IF(ISNUMBER(I49),IF(COUNTIF(JP_StartInhalt,I49)&gt;0,"I",IF(COUNTIF(Feiertage,I49)&gt;0,"h","")),"")</f>
        <v/>
      </c>
      <c r="K50" s="131" t="str">
        <f>IF(ISNUMBER(I49),IF(COUNTIF(JP_PAL,I49)&gt;0,"P",IF(COUNTIF(Feiertage,I49)&gt;0,"h","")),"")</f>
        <v/>
      </c>
      <c r="L50" s="131" t="str">
        <f>IF(ISNUMBER(L49),IF(COUNTIF(JP_StartSel,L49)&gt;0,"S",IF(COUNTIF(Feiertage,L49)&gt;0,"h","")),"")</f>
        <v/>
      </c>
      <c r="M50" s="131" t="str">
        <f>IF(ISNUMBER(L49),IF(COUNTIF(JP_StartInhalt,L49)&gt;0,"I",IF(COUNTIF(Feiertage,L49)&gt;0,"h","")),"")</f>
        <v/>
      </c>
      <c r="N50" s="131" t="str">
        <f>IF(ISNUMBER(L49),IF(COUNTIF(JP_PAL,L49)&gt;0,"P",IF(COUNTIF(Feiertage,L49)&gt;0,"h","")),"")</f>
        <v/>
      </c>
      <c r="O50" s="131" t="str">
        <f>IF(ISNUMBER(O49),IF(COUNTIF(JP_StartSel,O49)&gt;0,"S",IF(COUNTIF(Feiertage,O49)&gt;0,"h","")),"")</f>
        <v/>
      </c>
      <c r="P50" s="131" t="str">
        <f>IF(ISNUMBER(O49),IF(COUNTIF(JP_StartInhalt,O49)&gt;0,"I",IF(COUNTIF(Feiertage,O49)&gt;0,"h","")),"")</f>
        <v/>
      </c>
      <c r="Q50" s="131" t="str">
        <f>IF(ISNUMBER(O49),IF(COUNTIF(JP_PAL,O49)&gt;0,"P",IF(COUNTIF(Feiertage,O49)&gt;0,"h","")),"")</f>
        <v/>
      </c>
      <c r="R50" s="131" t="str">
        <f>IF(ISNUMBER(R49),IF(COUNTIF(JP_StartSel,R49)&gt;0,"S",IF(COUNTIF(Feiertage,R49)&gt;0,"h","w")),"")</f>
        <v>w</v>
      </c>
      <c r="S50" s="131" t="str">
        <f>IF(ISNUMBER(R49),IF(COUNTIF(JP_StartInhalt,R49)&gt;0,"I",IF(COUNTIF(Feiertage,R49)&gt;0,"h","w")),"")</f>
        <v>w</v>
      </c>
      <c r="T50" s="131" t="str">
        <f>IF(ISNUMBER(R49),IF(COUNTIF(JP_PAL,R49)&gt;0,"P",IF(COUNTIF(Feiertage,R49)&gt;0,"h","w")),"")</f>
        <v>w</v>
      </c>
      <c r="U50" s="131" t="str">
        <f>IF(ISNUMBER(U49),IF(COUNTIF(JP_StartSel,U49)&gt;0,"S",IF(COUNTIF(Feiertage,U49)&gt;0,"h","w")),"")</f>
        <v>w</v>
      </c>
      <c r="V50" s="131" t="str">
        <f>IF(ISNUMBER(U49),IF(COUNTIF(JP_StartInhalt,U49)&gt;0,"I",IF(COUNTIF(Feiertage,U49)&gt;0,"h","w")),"")</f>
        <v>w</v>
      </c>
      <c r="W50" s="131" t="str">
        <f>IF(ISNUMBER(U49),IF(COUNTIF(JP_PAL,U49)&gt;0,"P",IF(COUNTIF(Feiertage,U49)&gt;0,"h","w")),"")</f>
        <v>w</v>
      </c>
      <c r="Y50" s="129"/>
      <c r="Z50" s="131" t="str">
        <f>IF(ISNUMBER(Z49),IF(COUNTIF(JP_StartSel,Z49)&gt;0,"S",IF(COUNTIF(Feiertage,Z49)&gt;0,"h","")),"")</f>
        <v/>
      </c>
      <c r="AA50" s="131" t="str">
        <f>IF(ISNUMBER(Z49),IF(COUNTIF(JP_StartInhalt,Z49)&gt;0,"I",IF(COUNTIF(Feiertage,Z49)&gt;0,"h","")),"")</f>
        <v/>
      </c>
      <c r="AB50" s="131" t="str">
        <f>IF(ISNUMBER(Z49),IF(COUNTIF(JP_PAL,Z49)&gt;0,"P",IF(COUNTIF(Feiertage,Z49)&gt;0,"h","")),"")</f>
        <v/>
      </c>
      <c r="AC50" s="131" t="str">
        <f>IF(ISNUMBER(AC49),IF(COUNTIF(JP_StartSel,AC49)&gt;0,"S",IF(COUNTIF(Feiertage,AC49)&gt;0,"h","")),"")</f>
        <v/>
      </c>
      <c r="AD50" s="131" t="str">
        <f>IF(ISNUMBER(AC49),IF(COUNTIF(JP_StartInhalt,AC49)&gt;0,"I",IF(COUNTIF(Feiertage,AC49)&gt;0,"h","")),"")</f>
        <v/>
      </c>
      <c r="AE50" s="131" t="str">
        <f>IF(ISNUMBER(AC49),IF(COUNTIF(JP_PAL,AC49)&gt;0,"P",IF(COUNTIF(Feiertage,AC49)&gt;0,"h","")),"")</f>
        <v/>
      </c>
      <c r="AF50" s="131" t="str">
        <f>IF(ISNUMBER(AF49),IF(COUNTIF(JP_StartSel,AF49)&gt;0,"S",IF(COUNTIF(Feiertage,AF49)&gt;0,"h","")),"")</f>
        <v/>
      </c>
      <c r="AG50" s="131" t="str">
        <f>IF(ISNUMBER(AF49),IF(COUNTIF(JP_StartInhalt,AF49)&gt;0,"I",IF(COUNTIF(Feiertage,AF49)&gt;0,"h","")),"")</f>
        <v>I</v>
      </c>
      <c r="AH50" s="131" t="str">
        <f>IF(ISNUMBER(AF49),IF(COUNTIF(JP_PAL,AF49)&gt;0,"P",IF(COUNTIF(Feiertage,AF49)&gt;0,"h","")),"")</f>
        <v/>
      </c>
      <c r="AI50" s="131" t="str">
        <f>IF(ISNUMBER(AI49),IF(COUNTIF(JP_StartSel,AI49)&gt;0,"S",IF(COUNTIF(Feiertage,AI49)&gt;0,"h","")),"")</f>
        <v/>
      </c>
      <c r="AJ50" s="131" t="str">
        <f>IF(ISNUMBER(AI49),IF(COUNTIF(JP_StartInhalt,AI49)&gt;0,"I",IF(COUNTIF(Feiertage,AI49)&gt;0,"h","")),"")</f>
        <v/>
      </c>
      <c r="AK50" s="131" t="str">
        <f>IF(ISNUMBER(AI49),IF(COUNTIF(JP_PAL,AI49)&gt;0,"P",IF(COUNTIF(Feiertage,AI49)&gt;0,"h","")),"")</f>
        <v/>
      </c>
      <c r="AL50" s="131" t="str">
        <f>IF(ISNUMBER(AL49),IF(COUNTIF(JP_StartSel,AL49)&gt;0,"S",IF(COUNTIF(Feiertage,AL49)&gt;0,"h","")),"")</f>
        <v/>
      </c>
      <c r="AM50" s="131" t="str">
        <f>IF(ISNUMBER(AL49),IF(COUNTIF(JP_StartInhalt,AL49)&gt;0,"I",IF(COUNTIF(Feiertage,AL49)&gt;0,"h","")),"")</f>
        <v/>
      </c>
      <c r="AN50" s="131" t="str">
        <f>IF(ISNUMBER(AL49),IF(COUNTIF(JP_PAL,AL49)&gt;0,"P",IF(COUNTIF(Feiertage,AL49)&gt;0,"h","")),"")</f>
        <v/>
      </c>
      <c r="AO50" s="131" t="str">
        <f>IF(ISNUMBER(AO49),IF(COUNTIF(JP_StartSel,AO49)&gt;0,"S",IF(COUNTIF(Feiertage,AO49)&gt;0,"h","w")),"")</f>
        <v>w</v>
      </c>
      <c r="AP50" s="131" t="str">
        <f>IF(ISNUMBER(AO49),IF(COUNTIF(JP_StartInhalt,AO49)&gt;0,"I",IF(COUNTIF(Feiertage,AO49)&gt;0,"h","w")),"")</f>
        <v>w</v>
      </c>
      <c r="AQ50" s="131" t="str">
        <f>IF(ISNUMBER(AO49),IF(COUNTIF(JP_PAL,AO49)&gt;0,"P",IF(COUNTIF(Feiertage,AO49)&gt;0,"h","w")),"")</f>
        <v>w</v>
      </c>
      <c r="AR50" s="131" t="str">
        <f>IF(ISNUMBER(AR49),IF(COUNTIF(JP_StartSel,AR49)&gt;0,"S",IF(COUNTIF(Feiertage,AR49)&gt;0,"h","w")),"")</f>
        <v>w</v>
      </c>
      <c r="AS50" s="131" t="str">
        <f>IF(ISNUMBER(AR49),IF(COUNTIF(JP_StartInhalt,AR49)&gt;0,"I",IF(COUNTIF(Feiertage,AR49)&gt;0,"h","w")),"")</f>
        <v>w</v>
      </c>
      <c r="AT50" s="131" t="str">
        <f>IF(ISNUMBER(AR49),IF(COUNTIF(JP_PAL,AR49)&gt;0,"P",IF(COUNTIF(Feiertage,AR49)&gt;0,"h","w")),"")</f>
        <v>w</v>
      </c>
      <c r="AV50" s="129"/>
      <c r="AW50" s="131" t="str">
        <f>IF(ISNUMBER(AW49),IF(COUNTIF(JP_StartSel,AW49)&gt;0,"S",IF(COUNTIF(Feiertage,AW49)&gt;0,"h","")),"")</f>
        <v/>
      </c>
      <c r="AX50" s="131" t="str">
        <f>IF(ISNUMBER(AW49),IF(COUNTIF(JP_StartInhalt,AW49)&gt;0,"I",IF(COUNTIF(Feiertage,AW49)&gt;0,"h","")),"")</f>
        <v/>
      </c>
      <c r="AY50" s="131" t="str">
        <f>IF(ISNUMBER(AW49),IF(COUNTIF(JP_PAL,AW49)&gt;0,"P",IF(COUNTIF(Feiertage,AW49)&gt;0,"h","")),"")</f>
        <v/>
      </c>
      <c r="AZ50" s="131" t="str">
        <f>IF(ISNUMBER(AZ49),IF(COUNTIF(JP_StartSel,AZ49)&gt;0,"S",IF(COUNTIF(Feiertage,AZ49)&gt;0,"h","")),"")</f>
        <v/>
      </c>
      <c r="BA50" s="131" t="str">
        <f>IF(ISNUMBER(AZ49),IF(COUNTIF(JP_StartInhalt,AZ49)&gt;0,"I",IF(COUNTIF(Feiertage,AZ49)&gt;0,"h","")),"")</f>
        <v/>
      </c>
      <c r="BB50" s="131" t="str">
        <f>IF(ISNUMBER(AZ49),IF(COUNTIF(JP_PAL,AZ49)&gt;0,"P",IF(COUNTIF(Feiertage,AZ49)&gt;0,"h","")),"")</f>
        <v/>
      </c>
      <c r="BC50" s="131" t="str">
        <f>IF(ISNUMBER(BC49),IF(COUNTIF(JP_StartSel,BC49)&gt;0,"S",IF(COUNTIF(Feiertage,BC49)&gt;0,"h","")),"")</f>
        <v/>
      </c>
      <c r="BD50" s="131" t="str">
        <f>IF(ISNUMBER(BC49),IF(COUNTIF(JP_StartInhalt,BC49)&gt;0,"I",IF(COUNTIF(Feiertage,BC49)&gt;0,"h","")),"")</f>
        <v/>
      </c>
      <c r="BE50" s="131" t="str">
        <f>IF(ISNUMBER(BC49),IF(COUNTIF(JP_PAL,BC49)&gt;0,"P",IF(COUNTIF(Feiertage,BC49)&gt;0,"h","")),"")</f>
        <v/>
      </c>
      <c r="BF50" s="131" t="str">
        <f>IF(ISNUMBER(BF49),IF(COUNTIF(JP_StartSel,BF49)&gt;0,"S",IF(COUNTIF(Feiertage,BF49)&gt;0,"h","")),"")</f>
        <v/>
      </c>
      <c r="BG50" s="131" t="str">
        <f>IF(ISNUMBER(BF49),IF(COUNTIF(JP_StartInhalt,BF49)&gt;0,"I",IF(COUNTIF(Feiertage,BF49)&gt;0,"h","")),"")</f>
        <v/>
      </c>
      <c r="BH50" s="131" t="str">
        <f>IF(ISNUMBER(BF49),IF(COUNTIF(JP_PAL,BF49)&gt;0,"P",IF(COUNTIF(Feiertage,BF49)&gt;0,"h","")),"")</f>
        <v/>
      </c>
      <c r="BI50" s="131" t="str">
        <f>IF(ISNUMBER(BI49),IF(COUNTIF(JP_StartSel,BI49)&gt;0,"S",IF(COUNTIF(Feiertage,BI49)&gt;0,"h","")),"")</f>
        <v/>
      </c>
      <c r="BJ50" s="131" t="str">
        <f>IF(ISNUMBER(BI49),IF(COUNTIF(JP_StartInhalt,BI49)&gt;0,"I",IF(COUNTIF(Feiertage,BI49)&gt;0,"h","")),"")</f>
        <v/>
      </c>
      <c r="BK50" s="131" t="str">
        <f>IF(ISNUMBER(BI49),IF(COUNTIF(JP_PAL,BI49)&gt;0,"P",IF(COUNTIF(Feiertage,BI49)&gt;0,"h","")),"")</f>
        <v/>
      </c>
      <c r="BL50" s="131" t="str">
        <f>IF(ISNUMBER(BL49),IF(COUNTIF(JP_StartSel,BL49)&gt;0,"S",IF(COUNTIF(Feiertage,BL49)&gt;0,"h","w")),"")</f>
        <v>w</v>
      </c>
      <c r="BM50" s="131" t="str">
        <f>IF(ISNUMBER(BL49),IF(COUNTIF(JP_StartInhalt,BL49)&gt;0,"I",IF(COUNTIF(Feiertage,BL49)&gt;0,"h","w")),"")</f>
        <v>w</v>
      </c>
      <c r="BN50" s="131" t="str">
        <f>IF(ISNUMBER(BL49),IF(COUNTIF(JP_PAL,BL49)&gt;0,"P",IF(COUNTIF(Feiertage,BL49)&gt;0,"h","w")),"")</f>
        <v>w</v>
      </c>
      <c r="BO50" s="131" t="str">
        <f>IF(ISNUMBER(BO49),IF(COUNTIF(JP_StartSel,BO49)&gt;0,"S",IF(COUNTIF(Feiertage,BO49)&gt;0,"h","w")),"")</f>
        <v>w</v>
      </c>
      <c r="BP50" s="131" t="str">
        <f>IF(ISNUMBER(BO49),IF(COUNTIF(JP_StartInhalt,BO49)&gt;0,"I",IF(COUNTIF(Feiertage,BO49)&gt;0,"h","w")),"")</f>
        <v>w</v>
      </c>
      <c r="BQ50" s="131" t="str">
        <f>IF(ISNUMBER(BO49),IF(COUNTIF(JP_PAL,BO49)&gt;0,"P",IF(COUNTIF(Feiertage,BO49)&gt;0,"h","w")),"")</f>
        <v>w</v>
      </c>
      <c r="BS50" s="129"/>
      <c r="BT50" s="131" t="str">
        <f>IF(ISNUMBER(BT49),IF(COUNTIF(JP_StartSel,BT49)&gt;0,"S",IF(COUNTIF(Feiertage,BT49)&gt;0,"h","")),"")</f>
        <v/>
      </c>
      <c r="BU50" s="131" t="str">
        <f>IF(ISNUMBER(BT49),IF(COUNTIF(JP_StartInhalt,BT49)&gt;0,"I",IF(COUNTIF(Feiertage,BT49)&gt;0,"h","")),"")</f>
        <v/>
      </c>
      <c r="BV50" s="131" t="str">
        <f>IF(ISNUMBER(BT49),IF(COUNTIF(JP_PAL,BT49)&gt;0,"P",IF(COUNTIF(Feiertage,BT49)&gt;0,"h","")),"")</f>
        <v/>
      </c>
      <c r="BW50" s="131" t="str">
        <f>IF(ISNUMBER(BW49),IF(COUNTIF(JP_StartSel,BW49)&gt;0,"S",IF(COUNTIF(Feiertage,BW49)&gt;0,"h","")),"")</f>
        <v/>
      </c>
      <c r="BX50" s="131" t="str">
        <f>IF(ISNUMBER(BW49),IF(COUNTIF(JP_StartInhalt,BW49)&gt;0,"I",IF(COUNTIF(Feiertage,BW49)&gt;0,"h","")),"")</f>
        <v/>
      </c>
      <c r="BY50" s="131" t="str">
        <f>IF(ISNUMBER(BW49),IF(COUNTIF(JP_PAL,BW49)&gt;0,"P",IF(COUNTIF(Feiertage,BW49)&gt;0,"h","")),"")</f>
        <v/>
      </c>
      <c r="BZ50" s="131" t="str">
        <f>IF(ISNUMBER(BZ49),IF(COUNTIF(JP_StartSel,BZ49)&gt;0,"S",IF(COUNTIF(Feiertage,BZ49)&gt;0,"h","")),"")</f>
        <v/>
      </c>
      <c r="CA50" s="131" t="str">
        <f>IF(ISNUMBER(BZ49),IF(COUNTIF(JP_StartInhalt,BZ49)&gt;0,"I",IF(COUNTIF(Feiertage,BZ49)&gt;0,"h","")),"")</f>
        <v/>
      </c>
      <c r="CB50" s="131" t="str">
        <f>IF(ISNUMBER(BZ49),IF(COUNTIF(JP_PAL,BZ49)&gt;0,"P",IF(COUNTIF(Feiertage,BZ49)&gt;0,"h","")),"")</f>
        <v/>
      </c>
      <c r="CC50" s="131" t="str">
        <f>IF(ISNUMBER(CC49),IF(COUNTIF(JP_StartSel,CC49)&gt;0,"S",IF(COUNTIF(Feiertage,CC49)&gt;0,"h","")),"")</f>
        <v/>
      </c>
      <c r="CD50" s="131" t="str">
        <f>IF(ISNUMBER(CC49),IF(COUNTIF(JP_StartInhalt,CC49)&gt;0,"I",IF(COUNTIF(Feiertage,CC49)&gt;0,"h","")),"")</f>
        <v/>
      </c>
      <c r="CE50" s="131" t="str">
        <f>IF(ISNUMBER(CC49),IF(COUNTIF(JP_PAL,CC49)&gt;0,"P",IF(COUNTIF(Feiertage,CC49)&gt;0,"h","")),"")</f>
        <v/>
      </c>
      <c r="CF50" s="131" t="str">
        <f>IF(ISNUMBER(CF49),IF(COUNTIF(JP_StartSel,CF49)&gt;0,"S",IF(COUNTIF(Feiertage,CF49)&gt;0,"h","")),"")</f>
        <v/>
      </c>
      <c r="CG50" s="131" t="str">
        <f>IF(ISNUMBER(CF49),IF(COUNTIF(JP_StartInhalt,CF49)&gt;0,"I",IF(COUNTIF(Feiertage,CF49)&gt;0,"h","")),"")</f>
        <v/>
      </c>
      <c r="CH50" s="131" t="str">
        <f>IF(ISNUMBER(CF49),IF(COUNTIF(JP_PAL,CF49)&gt;0,"P",IF(COUNTIF(Feiertage,CF49)&gt;0,"h","")),"")</f>
        <v/>
      </c>
      <c r="CI50" s="131" t="str">
        <f>IF(ISNUMBER(CI49),IF(COUNTIF(JP_StartSel,CI49)&gt;0,"S",IF(COUNTIF(Feiertage,CI49)&gt;0,"h","w")),"")</f>
        <v>w</v>
      </c>
      <c r="CJ50" s="131" t="str">
        <f>IF(ISNUMBER(CI49),IF(COUNTIF(JP_StartInhalt,CI49)&gt;0,"I",IF(COUNTIF(Feiertage,CI49)&gt;0,"h","w")),"")</f>
        <v>w</v>
      </c>
      <c r="CK50" s="131" t="str">
        <f>IF(ISNUMBER(CI49),IF(COUNTIF(JP_PAL,CI49)&gt;0,"P",IF(COUNTIF(Feiertage,CI49)&gt;0,"h","w")),"")</f>
        <v>w</v>
      </c>
      <c r="CL50" s="131" t="str">
        <f>IF(ISNUMBER(CL49),IF(COUNTIF(JP_StartSel,CL49)&gt;0,"S",IF(COUNTIF(Feiertage,CL49)&gt;0,"h","w")),"")</f>
        <v>w</v>
      </c>
      <c r="CM50" s="131" t="str">
        <f>IF(ISNUMBER(CL49),IF(COUNTIF(JP_StartInhalt,CL49)&gt;0,"I",IF(COUNTIF(Feiertage,CL49)&gt;0,"h","w")),"")</f>
        <v>w</v>
      </c>
      <c r="CN50" s="131" t="str">
        <f>IF(ISNUMBER(CL49),IF(COUNTIF(JP_PAL,CL49)&gt;0,"P",IF(COUNTIF(Feiertage,CL49)&gt;0,"h","w")),"")</f>
        <v>w</v>
      </c>
    </row>
    <row r="51" ht="16" customHeight="1">
      <c r="B51" s="128">
        <f>IF(OR(ISNUMBER(C51),ISNUMBER(U51)),_xlfn.ISOWEEKNUM($B$43-WEEKDAY($B$43,2)+22),"")</f>
        <v>38</v>
      </c>
      <c r="C51" s="130">
        <f>IF(MONTH($B$43-WEEKDAY($B$43,2)+22)=MONTH($B$43),$B$43-WEEKDAY($B$43,2)+22,"")</f>
        <v>46650</v>
      </c>
      <c r="D51" s="130"/>
      <c r="E51" s="130"/>
      <c r="F51" s="130">
        <f>IF(MONTH($B$43-WEEKDAY($B$43,2)+23)=MONTH($B$43),$B$43-WEEKDAY($B$43,2)+23,"")</f>
        <v>46651</v>
      </c>
      <c r="G51" s="130"/>
      <c r="H51" s="130"/>
      <c r="I51" s="130">
        <f>IF(MONTH($B$43-WEEKDAY($B$43,2)+24)=MONTH($B$43),$B$43-WEEKDAY($B$43,2)+24,"")</f>
        <v>46652</v>
      </c>
      <c r="J51" s="130"/>
      <c r="K51" s="130"/>
      <c r="L51" s="130">
        <f>IF(MONTH($B$43-WEEKDAY($B$43,2)+25)=MONTH($B$43),$B$43-WEEKDAY($B$43,2)+25,"")</f>
        <v>46653</v>
      </c>
      <c r="M51" s="130"/>
      <c r="N51" s="130"/>
      <c r="O51" s="130">
        <f>IF(MONTH($B$43-WEEKDAY($B$43,2)+26)=MONTH($B$43),$B$43-WEEKDAY($B$43,2)+26,"")</f>
        <v>46654</v>
      </c>
      <c r="P51" s="130"/>
      <c r="Q51" s="130"/>
      <c r="R51" s="130">
        <f>IF(MONTH($B$43-WEEKDAY($B$43,2)+27)=MONTH($B$43),$B$43-WEEKDAY($B$43,2)+27,"")</f>
        <v>46655</v>
      </c>
      <c r="S51" s="130"/>
      <c r="T51" s="130"/>
      <c r="U51" s="130">
        <f>IF(MONTH($B$43-WEEKDAY($B$43,2)+28)=MONTH($B$43),$B$43-WEEKDAY($B$43,2)+28,"")</f>
        <v>46656</v>
      </c>
      <c r="V51" s="130"/>
      <c r="W51" s="130"/>
      <c r="Y51" s="128">
        <f>IF(OR(ISNUMBER(Z51),ISNUMBER(AR51)),_xlfn.ISOWEEKNUM($Y$43-WEEKDAY($Y$43,2)+22),"")</f>
        <v>42</v>
      </c>
      <c r="Z51" s="130">
        <f>IF(MONTH($Y$43-WEEKDAY($Y$43,2)+22)=MONTH($Y$43),$Y$43-WEEKDAY($Y$43,2)+22,"")</f>
        <v>46678</v>
      </c>
      <c r="AA51" s="130"/>
      <c r="AB51" s="130"/>
      <c r="AC51" s="130">
        <f>IF(MONTH($Y$43-WEEKDAY($Y$43,2)+23)=MONTH($Y$43),$Y$43-WEEKDAY($Y$43,2)+23,"")</f>
        <v>46679</v>
      </c>
      <c r="AD51" s="130"/>
      <c r="AE51" s="130"/>
      <c r="AF51" s="130">
        <f>IF(MONTH($Y$43-WEEKDAY($Y$43,2)+24)=MONTH($Y$43),$Y$43-WEEKDAY($Y$43,2)+24,"")</f>
        <v>46680</v>
      </c>
      <c r="AG51" s="130"/>
      <c r="AH51" s="130"/>
      <c r="AI51" s="130">
        <f>IF(MONTH($Y$43-WEEKDAY($Y$43,2)+25)=MONTH($Y$43),$Y$43-WEEKDAY($Y$43,2)+25,"")</f>
        <v>46681</v>
      </c>
      <c r="AJ51" s="130"/>
      <c r="AK51" s="130"/>
      <c r="AL51" s="130">
        <f>IF(MONTH($Y$43-WEEKDAY($Y$43,2)+26)=MONTH($Y$43),$Y$43-WEEKDAY($Y$43,2)+26,"")</f>
        <v>46682</v>
      </c>
      <c r="AM51" s="130"/>
      <c r="AN51" s="130"/>
      <c r="AO51" s="130">
        <f>IF(MONTH($Y$43-WEEKDAY($Y$43,2)+27)=MONTH($Y$43),$Y$43-WEEKDAY($Y$43,2)+27,"")</f>
        <v>46683</v>
      </c>
      <c r="AP51" s="130"/>
      <c r="AQ51" s="130"/>
      <c r="AR51" s="130">
        <f>IF(MONTH($Y$43-WEEKDAY($Y$43,2)+28)=MONTH($Y$43),$Y$43-WEEKDAY($Y$43,2)+28,"")</f>
        <v>46684</v>
      </c>
      <c r="AS51" s="130"/>
      <c r="AT51" s="130"/>
      <c r="AV51" s="128">
        <f>IF(OR(ISNUMBER(AW51),ISNUMBER(BO51)),_xlfn.ISOWEEKNUM($AV$43-WEEKDAY($AV$43,2)+22),"")</f>
        <v>47</v>
      </c>
      <c r="AW51" s="130">
        <f>IF(MONTH($AV$43-WEEKDAY($AV$43,2)+22)=MONTH($AV$43),$AV$43-WEEKDAY($AV$43,2)+22,"")</f>
        <v>46713</v>
      </c>
      <c r="AX51" s="130"/>
      <c r="AY51" s="130"/>
      <c r="AZ51" s="130">
        <f>IF(MONTH($AV$43-WEEKDAY($AV$43,2)+23)=MONTH($AV$43),$AV$43-WEEKDAY($AV$43,2)+23,"")</f>
        <v>46714</v>
      </c>
      <c r="BA51" s="130"/>
      <c r="BB51" s="130"/>
      <c r="BC51" s="130">
        <f>IF(MONTH($AV$43-WEEKDAY($AV$43,2)+24)=MONTH($AV$43),$AV$43-WEEKDAY($AV$43,2)+24,"")</f>
        <v>46715</v>
      </c>
      <c r="BD51" s="130"/>
      <c r="BE51" s="130"/>
      <c r="BF51" s="130">
        <f>IF(MONTH($AV$43-WEEKDAY($AV$43,2)+25)=MONTH($AV$43),$AV$43-WEEKDAY($AV$43,2)+25,"")</f>
        <v>46716</v>
      </c>
      <c r="BG51" s="130"/>
      <c r="BH51" s="130"/>
      <c r="BI51" s="130">
        <f>IF(MONTH($AV$43-WEEKDAY($AV$43,2)+26)=MONTH($AV$43),$AV$43-WEEKDAY($AV$43,2)+26,"")</f>
        <v>46717</v>
      </c>
      <c r="BJ51" s="130"/>
      <c r="BK51" s="130"/>
      <c r="BL51" s="130">
        <f>IF(MONTH($AV$43-WEEKDAY($AV$43,2)+27)=MONTH($AV$43),$AV$43-WEEKDAY($AV$43,2)+27,"")</f>
        <v>46718</v>
      </c>
      <c r="BM51" s="130"/>
      <c r="BN51" s="130"/>
      <c r="BO51" s="130">
        <f>IF(MONTH($AV$43-WEEKDAY($AV$43,2)+28)=MONTH($AV$43),$AV$43-WEEKDAY($AV$43,2)+28,"")</f>
        <v>46719</v>
      </c>
      <c r="BP51" s="130"/>
      <c r="BQ51" s="130"/>
      <c r="BS51" s="128">
        <f>IF(OR(ISNUMBER(BT51),ISNUMBER(CL51)),_xlfn.ISOWEEKNUM($BS$43-WEEKDAY($BS$43,2)+22),"")</f>
        <v>51</v>
      </c>
      <c r="BT51" s="130">
        <f>IF(MONTH($BS$43-WEEKDAY($BS$43,2)+22)=MONTH($BS$43),$BS$43-WEEKDAY($BS$43,2)+22,"")</f>
        <v>46741</v>
      </c>
      <c r="BU51" s="130"/>
      <c r="BV51" s="130"/>
      <c r="BW51" s="130">
        <f>IF(MONTH($BS$43-WEEKDAY($BS$43,2)+23)=MONTH($BS$43),$BS$43-WEEKDAY($BS$43,2)+23,"")</f>
        <v>46742</v>
      </c>
      <c r="BX51" s="130"/>
      <c r="BY51" s="130"/>
      <c r="BZ51" s="130">
        <f>IF(MONTH($BS$43-WEEKDAY($BS$43,2)+24)=MONTH($BS$43),$BS$43-WEEKDAY($BS$43,2)+24,"")</f>
        <v>46743</v>
      </c>
      <c r="CA51" s="130"/>
      <c r="CB51" s="130"/>
      <c r="CC51" s="130">
        <f>IF(MONTH($BS$43-WEEKDAY($BS$43,2)+25)=MONTH($BS$43),$BS$43-WEEKDAY($BS$43,2)+25,"")</f>
        <v>46744</v>
      </c>
      <c r="CD51" s="130"/>
      <c r="CE51" s="130"/>
      <c r="CF51" s="130">
        <f>IF(MONTH($BS$43-WEEKDAY($BS$43,2)+26)=MONTH($BS$43),$BS$43-WEEKDAY($BS$43,2)+26,"")</f>
        <v>46745</v>
      </c>
      <c r="CG51" s="130"/>
      <c r="CH51" s="130"/>
      <c r="CI51" s="130">
        <f>IF(MONTH($BS$43-WEEKDAY($BS$43,2)+27)=MONTH($BS$43),$BS$43-WEEKDAY($BS$43,2)+27,"")</f>
        <v>46746</v>
      </c>
      <c r="CJ51" s="130"/>
      <c r="CK51" s="130"/>
      <c r="CL51" s="130">
        <f>IF(MONTH($BS$43-WEEKDAY($BS$43,2)+28)=MONTH($BS$43),$BS$43-WEEKDAY($BS$43,2)+28,"")</f>
        <v>46747</v>
      </c>
      <c r="CM51" s="130"/>
      <c r="CN51" s="130"/>
    </row>
    <row r="52" ht="10.5" customHeight="1">
      <c r="B52" s="129"/>
      <c r="C52" s="131" t="str">
        <f>IF(ISNUMBER(C51),IF(COUNTIF(JP_StartSel,C51)&gt;0,"S",IF(COUNTIF(Feiertage,C51)&gt;0,"h","")),"")</f>
        <v/>
      </c>
      <c r="D52" s="131" t="str">
        <f>IF(ISNUMBER(C51),IF(COUNTIF(JP_StartInhalt,C51)&gt;0,"I",IF(COUNTIF(Feiertage,C51)&gt;0,"h","")),"")</f>
        <v/>
      </c>
      <c r="E52" s="131" t="str">
        <f>IF(ISNUMBER(C51),IF(COUNTIF(JP_PAL,C51)&gt;0,"P",IF(COUNTIF(Feiertage,C51)&gt;0,"h","")),"")</f>
        <v/>
      </c>
      <c r="F52" s="131" t="str">
        <f>IF(ISNUMBER(F51),IF(COUNTIF(JP_StartSel,F51)&gt;0,"S",IF(COUNTIF(Feiertage,F51)&gt;0,"h","")),"")</f>
        <v/>
      </c>
      <c r="G52" s="131" t="str">
        <f>IF(ISNUMBER(F51),IF(COUNTIF(JP_StartInhalt,F51)&gt;0,"I",IF(COUNTIF(Feiertage,F51)&gt;0,"h","")),"")</f>
        <v/>
      </c>
      <c r="H52" s="131" t="str">
        <f>IF(ISNUMBER(F51),IF(COUNTIF(JP_PAL,F51)&gt;0,"P",IF(COUNTIF(Feiertage,F51)&gt;0,"h","")),"")</f>
        <v/>
      </c>
      <c r="I52" s="131" t="str">
        <f>IF(ISNUMBER(I51),IF(COUNTIF(JP_StartSel,I51)&gt;0,"S",IF(COUNTIF(Feiertage,I51)&gt;0,"h","")),"")</f>
        <v/>
      </c>
      <c r="J52" s="131" t="str">
        <f>IF(ISNUMBER(I51),IF(COUNTIF(JP_StartInhalt,I51)&gt;0,"I",IF(COUNTIF(Feiertage,I51)&gt;0,"h","")),"")</f>
        <v/>
      </c>
      <c r="K52" s="131" t="str">
        <f>IF(ISNUMBER(I51),IF(COUNTIF(JP_PAL,I51)&gt;0,"P",IF(COUNTIF(Feiertage,I51)&gt;0,"h","")),"")</f>
        <v/>
      </c>
      <c r="L52" s="131" t="str">
        <f>IF(ISNUMBER(L51),IF(COUNTIF(JP_StartSel,L51)&gt;0,"S",IF(COUNTIF(Feiertage,L51)&gt;0,"h","")),"")</f>
        <v/>
      </c>
      <c r="M52" s="131" t="str">
        <f>IF(ISNUMBER(L51),IF(COUNTIF(JP_StartInhalt,L51)&gt;0,"I",IF(COUNTIF(Feiertage,L51)&gt;0,"h","")),"")</f>
        <v/>
      </c>
      <c r="N52" s="131" t="str">
        <f>IF(ISNUMBER(L51),IF(COUNTIF(JP_PAL,L51)&gt;0,"P",IF(COUNTIF(Feiertage,L51)&gt;0,"h","")),"")</f>
        <v/>
      </c>
      <c r="O52" s="131" t="str">
        <f>IF(ISNUMBER(O51),IF(COUNTIF(JP_StartSel,O51)&gt;0,"S",IF(COUNTIF(Feiertage,O51)&gt;0,"h","")),"")</f>
        <v/>
      </c>
      <c r="P52" s="131" t="str">
        <f>IF(ISNUMBER(O51),IF(COUNTIF(JP_StartInhalt,O51)&gt;0,"I",IF(COUNTIF(Feiertage,O51)&gt;0,"h","")),"")</f>
        <v/>
      </c>
      <c r="Q52" s="131" t="str">
        <f>IF(ISNUMBER(O51),IF(COUNTIF(JP_PAL,O51)&gt;0,"P",IF(COUNTIF(Feiertage,O51)&gt;0,"h","")),"")</f>
        <v>P</v>
      </c>
      <c r="R52" s="131" t="str">
        <f>IF(ISNUMBER(R51),IF(COUNTIF(JP_StartSel,R51)&gt;0,"S",IF(COUNTIF(Feiertage,R51)&gt;0,"h","w")),"")</f>
        <v>S</v>
      </c>
      <c r="S52" s="131" t="str">
        <f>IF(ISNUMBER(R51),IF(COUNTIF(JP_StartInhalt,R51)&gt;0,"I",IF(COUNTIF(Feiertage,R51)&gt;0,"h","w")),"")</f>
        <v>w</v>
      </c>
      <c r="T52" s="131" t="str">
        <f>IF(ISNUMBER(R51),IF(COUNTIF(JP_PAL,R51)&gt;0,"P",IF(COUNTIF(Feiertage,R51)&gt;0,"h","w")),"")</f>
        <v>w</v>
      </c>
      <c r="U52" s="131" t="str">
        <f>IF(ISNUMBER(U51),IF(COUNTIF(JP_StartSel,U51)&gt;0,"S",IF(COUNTIF(Feiertage,U51)&gt;0,"h","w")),"")</f>
        <v>w</v>
      </c>
      <c r="V52" s="131" t="str">
        <f>IF(ISNUMBER(U51),IF(COUNTIF(JP_StartInhalt,U51)&gt;0,"I",IF(COUNTIF(Feiertage,U51)&gt;0,"h","w")),"")</f>
        <v>w</v>
      </c>
      <c r="W52" s="131" t="str">
        <f>IF(ISNUMBER(U51),IF(COUNTIF(JP_PAL,U51)&gt;0,"P",IF(COUNTIF(Feiertage,U51)&gt;0,"h","w")),"")</f>
        <v>w</v>
      </c>
      <c r="Y52" s="129"/>
      <c r="Z52" s="131" t="str">
        <f>IF(ISNUMBER(Z51),IF(COUNTIF(JP_StartSel,Z51)&gt;0,"S",IF(COUNTIF(Feiertage,Z51)&gt;0,"h","")),"")</f>
        <v/>
      </c>
      <c r="AA52" s="131" t="str">
        <f>IF(ISNUMBER(Z51),IF(COUNTIF(JP_StartInhalt,Z51)&gt;0,"I",IF(COUNTIF(Feiertage,Z51)&gt;0,"h","")),"")</f>
        <v/>
      </c>
      <c r="AB52" s="131" t="str">
        <f>IF(ISNUMBER(Z51),IF(COUNTIF(JP_PAL,Z51)&gt;0,"P",IF(COUNTIF(Feiertage,Z51)&gt;0,"h","")),"")</f>
        <v/>
      </c>
      <c r="AC52" s="131" t="str">
        <f>IF(ISNUMBER(AC51),IF(COUNTIF(JP_StartSel,AC51)&gt;0,"S",IF(COUNTIF(Feiertage,AC51)&gt;0,"h","")),"")</f>
        <v/>
      </c>
      <c r="AD52" s="131" t="str">
        <f>IF(ISNUMBER(AC51),IF(COUNTIF(JP_StartInhalt,AC51)&gt;0,"I",IF(COUNTIF(Feiertage,AC51)&gt;0,"h","")),"")</f>
        <v/>
      </c>
      <c r="AE52" s="131" t="str">
        <f>IF(ISNUMBER(AC51),IF(COUNTIF(JP_PAL,AC51)&gt;0,"P",IF(COUNTIF(Feiertage,AC51)&gt;0,"h","")),"")</f>
        <v/>
      </c>
      <c r="AF52" s="131" t="str">
        <f>IF(ISNUMBER(AF51),IF(COUNTIF(JP_StartSel,AF51)&gt;0,"S",IF(COUNTIF(Feiertage,AF51)&gt;0,"h","")),"")</f>
        <v/>
      </c>
      <c r="AG52" s="131" t="str">
        <f>IF(ISNUMBER(AF51),IF(COUNTIF(JP_StartInhalt,AF51)&gt;0,"I",IF(COUNTIF(Feiertage,AF51)&gt;0,"h","")),"")</f>
        <v/>
      </c>
      <c r="AH52" s="131" t="str">
        <f>IF(ISNUMBER(AF51),IF(COUNTIF(JP_PAL,AF51)&gt;0,"P",IF(COUNTIF(Feiertage,AF51)&gt;0,"h","")),"")</f>
        <v/>
      </c>
      <c r="AI52" s="131" t="str">
        <f>IF(ISNUMBER(AI51),IF(COUNTIF(JP_StartSel,AI51)&gt;0,"S",IF(COUNTIF(Feiertage,AI51)&gt;0,"h","")),"")</f>
        <v/>
      </c>
      <c r="AJ52" s="131" t="str">
        <f>IF(ISNUMBER(AI51),IF(COUNTIF(JP_StartInhalt,AI51)&gt;0,"I",IF(COUNTIF(Feiertage,AI51)&gt;0,"h","")),"")</f>
        <v/>
      </c>
      <c r="AK52" s="131" t="str">
        <f>IF(ISNUMBER(AI51),IF(COUNTIF(JP_PAL,AI51)&gt;0,"P",IF(COUNTIF(Feiertage,AI51)&gt;0,"h","")),"")</f>
        <v/>
      </c>
      <c r="AL52" s="131" t="str">
        <f>IF(ISNUMBER(AL51),IF(COUNTIF(JP_StartSel,AL51)&gt;0,"S",IF(COUNTIF(Feiertage,AL51)&gt;0,"h","")),"")</f>
        <v/>
      </c>
      <c r="AM52" s="131" t="str">
        <f>IF(ISNUMBER(AL51),IF(COUNTIF(JP_StartInhalt,AL51)&gt;0,"I",IF(COUNTIF(Feiertage,AL51)&gt;0,"h","")),"")</f>
        <v/>
      </c>
      <c r="AN52" s="131" t="str">
        <f>IF(ISNUMBER(AL51),IF(COUNTIF(JP_PAL,AL51)&gt;0,"P",IF(COUNTIF(Feiertage,AL51)&gt;0,"h","")),"")</f>
        <v>P</v>
      </c>
      <c r="AO52" s="131" t="str">
        <f>IF(ISNUMBER(AO51),IF(COUNTIF(JP_StartSel,AO51)&gt;0,"S",IF(COUNTIF(Feiertage,AO51)&gt;0,"h","w")),"")</f>
        <v>w</v>
      </c>
      <c r="AP52" s="131" t="str">
        <f>IF(ISNUMBER(AO51),IF(COUNTIF(JP_StartInhalt,AO51)&gt;0,"I",IF(COUNTIF(Feiertage,AO51)&gt;0,"h","w")),"")</f>
        <v>w</v>
      </c>
      <c r="AQ52" s="131" t="str">
        <f>IF(ISNUMBER(AO51),IF(COUNTIF(JP_PAL,AO51)&gt;0,"P",IF(COUNTIF(Feiertage,AO51)&gt;0,"h","w")),"")</f>
        <v>w</v>
      </c>
      <c r="AR52" s="131" t="str">
        <f>IF(ISNUMBER(AR51),IF(COUNTIF(JP_StartSel,AR51)&gt;0,"S",IF(COUNTIF(Feiertage,AR51)&gt;0,"h","w")),"")</f>
        <v>w</v>
      </c>
      <c r="AS52" s="131" t="str">
        <f>IF(ISNUMBER(AR51),IF(COUNTIF(JP_StartInhalt,AR51)&gt;0,"I",IF(COUNTIF(Feiertage,AR51)&gt;0,"h","w")),"")</f>
        <v>w</v>
      </c>
      <c r="AT52" s="131" t="str">
        <f>IF(ISNUMBER(AR51),IF(COUNTIF(JP_PAL,AR51)&gt;0,"P",IF(COUNTIF(Feiertage,AR51)&gt;0,"h","w")),"")</f>
        <v>w</v>
      </c>
      <c r="AV52" s="129"/>
      <c r="AW52" s="131" t="str">
        <f>IF(ISNUMBER(AW51),IF(COUNTIF(JP_StartSel,AW51)&gt;0,"S",IF(COUNTIF(Feiertage,AW51)&gt;0,"h","")),"")</f>
        <v/>
      </c>
      <c r="AX52" s="131" t="str">
        <f>IF(ISNUMBER(AW51),IF(COUNTIF(JP_StartInhalt,AW51)&gt;0,"I",IF(COUNTIF(Feiertage,AW51)&gt;0,"h","")),"")</f>
        <v/>
      </c>
      <c r="AY52" s="131" t="str">
        <f>IF(ISNUMBER(AW51),IF(COUNTIF(JP_PAL,AW51)&gt;0,"P",IF(COUNTIF(Feiertage,AW51)&gt;0,"h","")),"")</f>
        <v/>
      </c>
      <c r="AZ52" s="131" t="str">
        <f>IF(ISNUMBER(AZ51),IF(COUNTIF(JP_StartSel,AZ51)&gt;0,"S",IF(COUNTIF(Feiertage,AZ51)&gt;0,"h","")),"")</f>
        <v/>
      </c>
      <c r="BA52" s="131" t="str">
        <f>IF(ISNUMBER(AZ51),IF(COUNTIF(JP_StartInhalt,AZ51)&gt;0,"I",IF(COUNTIF(Feiertage,AZ51)&gt;0,"h","")),"")</f>
        <v/>
      </c>
      <c r="BB52" s="131" t="str">
        <f>IF(ISNUMBER(AZ51),IF(COUNTIF(JP_PAL,AZ51)&gt;0,"P",IF(COUNTIF(Feiertage,AZ51)&gt;0,"h","")),"")</f>
        <v/>
      </c>
      <c r="BC52" s="131" t="str">
        <f>IF(ISNUMBER(BC51),IF(COUNTIF(JP_StartSel,BC51)&gt;0,"S",IF(COUNTIF(Feiertage,BC51)&gt;0,"h","")),"")</f>
        <v/>
      </c>
      <c r="BD52" s="131" t="str">
        <f>IF(ISNUMBER(BC51),IF(COUNTIF(JP_StartInhalt,BC51)&gt;0,"I",IF(COUNTIF(Feiertage,BC51)&gt;0,"h","")),"")</f>
        <v/>
      </c>
      <c r="BE52" s="131" t="str">
        <f>IF(ISNUMBER(BC51),IF(COUNTIF(JP_PAL,BC51)&gt;0,"P",IF(COUNTIF(Feiertage,BC51)&gt;0,"h","")),"")</f>
        <v/>
      </c>
      <c r="BF52" s="131" t="str">
        <f>IF(ISNUMBER(BF51),IF(COUNTIF(JP_StartSel,BF51)&gt;0,"S",IF(COUNTIF(Feiertage,BF51)&gt;0,"h","")),"")</f>
        <v/>
      </c>
      <c r="BG52" s="131" t="str">
        <f>IF(ISNUMBER(BF51),IF(COUNTIF(JP_StartInhalt,BF51)&gt;0,"I",IF(COUNTIF(Feiertage,BF51)&gt;0,"h","")),"")</f>
        <v/>
      </c>
      <c r="BH52" s="131" t="str">
        <f>IF(ISNUMBER(BF51),IF(COUNTIF(JP_PAL,BF51)&gt;0,"P",IF(COUNTIF(Feiertage,BF51)&gt;0,"h","")),"")</f>
        <v/>
      </c>
      <c r="BI52" s="131" t="str">
        <f>IF(ISNUMBER(BI51),IF(COUNTIF(JP_StartSel,BI51)&gt;0,"S",IF(COUNTIF(Feiertage,BI51)&gt;0,"h","")),"")</f>
        <v/>
      </c>
      <c r="BJ52" s="131" t="str">
        <f>IF(ISNUMBER(BI51),IF(COUNTIF(JP_StartInhalt,BI51)&gt;0,"I",IF(COUNTIF(Feiertage,BI51)&gt;0,"h","")),"")</f>
        <v/>
      </c>
      <c r="BK52" s="131" t="str">
        <f>IF(ISNUMBER(BI51),IF(COUNTIF(JP_PAL,BI51)&gt;0,"P",IF(COUNTIF(Feiertage,BI51)&gt;0,"h","")),"")</f>
        <v>P</v>
      </c>
      <c r="BL52" s="131" t="str">
        <f>IF(ISNUMBER(BL51),IF(COUNTIF(JP_StartSel,BL51)&gt;0,"S",IF(COUNTIF(Feiertage,BL51)&gt;0,"h","w")),"")</f>
        <v>w</v>
      </c>
      <c r="BM52" s="131" t="str">
        <f>IF(ISNUMBER(BL51),IF(COUNTIF(JP_StartInhalt,BL51)&gt;0,"I",IF(COUNTIF(Feiertage,BL51)&gt;0,"h","w")),"")</f>
        <v>w</v>
      </c>
      <c r="BN52" s="131" t="str">
        <f>IF(ISNUMBER(BL51),IF(COUNTIF(JP_PAL,BL51)&gt;0,"P",IF(COUNTIF(Feiertage,BL51)&gt;0,"h","w")),"")</f>
        <v>w</v>
      </c>
      <c r="BO52" s="131" t="str">
        <f>IF(ISNUMBER(BO51),IF(COUNTIF(JP_StartSel,BO51)&gt;0,"S",IF(COUNTIF(Feiertage,BO51)&gt;0,"h","w")),"")</f>
        <v>w</v>
      </c>
      <c r="BP52" s="131" t="str">
        <f>IF(ISNUMBER(BO51),IF(COUNTIF(JP_StartInhalt,BO51)&gt;0,"I",IF(COUNTIF(Feiertage,BO51)&gt;0,"h","w")),"")</f>
        <v>w</v>
      </c>
      <c r="BQ52" s="131" t="str">
        <f>IF(ISNUMBER(BO51),IF(COUNTIF(JP_PAL,BO51)&gt;0,"P",IF(COUNTIF(Feiertage,BO51)&gt;0,"h","w")),"")</f>
        <v>w</v>
      </c>
      <c r="BS52" s="129"/>
      <c r="BT52" s="131" t="str">
        <f>IF(ISNUMBER(BT51),IF(COUNTIF(JP_StartSel,BT51)&gt;0,"S",IF(COUNTIF(Feiertage,BT51)&gt;0,"h","")),"")</f>
        <v/>
      </c>
      <c r="BU52" s="131" t="str">
        <f>IF(ISNUMBER(BT51),IF(COUNTIF(JP_StartInhalt,BT51)&gt;0,"I",IF(COUNTIF(Feiertage,BT51)&gt;0,"h","")),"")</f>
        <v/>
      </c>
      <c r="BV52" s="131" t="str">
        <f>IF(ISNUMBER(BT51),IF(COUNTIF(JP_PAL,BT51)&gt;0,"P",IF(COUNTIF(Feiertage,BT51)&gt;0,"h","")),"")</f>
        <v/>
      </c>
      <c r="BW52" s="131" t="str">
        <f>IF(ISNUMBER(BW51),IF(COUNTIF(JP_StartSel,BW51)&gt;0,"S",IF(COUNTIF(Feiertage,BW51)&gt;0,"h","")),"")</f>
        <v/>
      </c>
      <c r="BX52" s="131" t="str">
        <f>IF(ISNUMBER(BW51),IF(COUNTIF(JP_StartInhalt,BW51)&gt;0,"I",IF(COUNTIF(Feiertage,BW51)&gt;0,"h","")),"")</f>
        <v/>
      </c>
      <c r="BY52" s="131" t="str">
        <f>IF(ISNUMBER(BW51),IF(COUNTIF(JP_PAL,BW51)&gt;0,"P",IF(COUNTIF(Feiertage,BW51)&gt;0,"h","")),"")</f>
        <v/>
      </c>
      <c r="BZ52" s="131" t="str">
        <f>IF(ISNUMBER(BZ51),IF(COUNTIF(JP_StartSel,BZ51)&gt;0,"S",IF(COUNTIF(Feiertage,BZ51)&gt;0,"h","")),"")</f>
        <v/>
      </c>
      <c r="CA52" s="131" t="str">
        <f>IF(ISNUMBER(BZ51),IF(COUNTIF(JP_StartInhalt,BZ51)&gt;0,"I",IF(COUNTIF(Feiertage,BZ51)&gt;0,"h","")),"")</f>
        <v/>
      </c>
      <c r="CB52" s="131" t="str">
        <f>IF(ISNUMBER(BZ51),IF(COUNTIF(JP_PAL,BZ51)&gt;0,"P",IF(COUNTIF(Feiertage,BZ51)&gt;0,"h","")),"")</f>
        <v/>
      </c>
      <c r="CC52" s="131" t="str">
        <f>IF(ISNUMBER(CC51),IF(COUNTIF(JP_StartSel,CC51)&gt;0,"S",IF(COUNTIF(Feiertage,CC51)&gt;0,"h","")),"")</f>
        <v/>
      </c>
      <c r="CD52" s="131" t="str">
        <f>IF(ISNUMBER(CC51),IF(COUNTIF(JP_StartInhalt,CC51)&gt;0,"I",IF(COUNTIF(Feiertage,CC51)&gt;0,"h","")),"")</f>
        <v/>
      </c>
      <c r="CE52" s="131" t="str">
        <f>IF(ISNUMBER(CC51),IF(COUNTIF(JP_PAL,CC51)&gt;0,"P",IF(COUNTIF(Feiertage,CC51)&gt;0,"h","")),"")</f>
        <v/>
      </c>
      <c r="CF52" s="131" t="str">
        <f>IF(ISNUMBER(CF51),IF(COUNTIF(JP_StartSel,CF51)&gt;0,"S",IF(COUNTIF(Feiertage,CF51)&gt;0,"h","")),"")</f>
        <v/>
      </c>
      <c r="CG52" s="131" t="str">
        <f>IF(ISNUMBER(CF51),IF(COUNTIF(JP_StartInhalt,CF51)&gt;0,"I",IF(COUNTIF(Feiertage,CF51)&gt;0,"h","")),"")</f>
        <v/>
      </c>
      <c r="CH52" s="131" t="str">
        <f>IF(ISNUMBER(CF51),IF(COUNTIF(JP_PAL,CF51)&gt;0,"P",IF(COUNTIF(Feiertage,CF51)&gt;0,"h","")),"")</f>
        <v/>
      </c>
      <c r="CI52" s="131" t="str">
        <f>IF(ISNUMBER(CI51),IF(COUNTIF(JP_StartSel,CI51)&gt;0,"S",IF(COUNTIF(Feiertage,CI51)&gt;0,"h","w")),"")</f>
        <v>h</v>
      </c>
      <c r="CJ52" s="131" t="str">
        <f>IF(ISNUMBER(CI51),IF(COUNTIF(JP_StartInhalt,CI51)&gt;0,"I",IF(COUNTIF(Feiertage,CI51)&gt;0,"h","w")),"")</f>
        <v>h</v>
      </c>
      <c r="CK52" s="131" t="str">
        <f>IF(ISNUMBER(CI51),IF(COUNTIF(JP_PAL,CI51)&gt;0,"P",IF(COUNTIF(Feiertage,CI51)&gt;0,"h","w")),"")</f>
        <v>h</v>
      </c>
      <c r="CL52" s="131" t="str">
        <f>IF(ISNUMBER(CL51),IF(COUNTIF(JP_StartSel,CL51)&gt;0,"S",IF(COUNTIF(Feiertage,CL51)&gt;0,"h","w")),"")</f>
        <v>h</v>
      </c>
      <c r="CM52" s="131" t="str">
        <f>IF(ISNUMBER(CL51),IF(COUNTIF(JP_StartInhalt,CL51)&gt;0,"I",IF(COUNTIF(Feiertage,CL51)&gt;0,"h","w")),"")</f>
        <v>h</v>
      </c>
      <c r="CN52" s="131" t="str">
        <f>IF(ISNUMBER(CL51),IF(COUNTIF(JP_PAL,CL51)&gt;0,"P",IF(COUNTIF(Feiertage,CL51)&gt;0,"h","w")),"")</f>
        <v>h</v>
      </c>
    </row>
    <row r="53" ht="16" customHeight="1">
      <c r="B53" s="128">
        <f>IF(OR(ISNUMBER(C53),ISNUMBER(U53)),_xlfn.ISOWEEKNUM($B$43-WEEKDAY($B$43,2)+29),"")</f>
        <v>39</v>
      </c>
      <c r="C53" s="130">
        <f>IF(MONTH($B$43-WEEKDAY($B$43,2)+29)=MONTH($B$43),$B$43-WEEKDAY($B$43,2)+29,"")</f>
        <v>46657</v>
      </c>
      <c r="D53" s="130"/>
      <c r="E53" s="130"/>
      <c r="F53" s="130">
        <f>IF(MONTH($B$43-WEEKDAY($B$43,2)+30)=MONTH($B$43),$B$43-WEEKDAY($B$43,2)+30,"")</f>
        <v>46658</v>
      </c>
      <c r="G53" s="130"/>
      <c r="H53" s="130"/>
      <c r="I53" s="130">
        <f>IF(MONTH($B$43-WEEKDAY($B$43,2)+31)=MONTH($B$43),$B$43-WEEKDAY($B$43,2)+31,"")</f>
        <v>46659</v>
      </c>
      <c r="J53" s="130"/>
      <c r="K53" s="130"/>
      <c r="L53" s="130">
        <f>IF(MONTH($B$43-WEEKDAY($B$43,2)+32)=MONTH($B$43),$B$43-WEEKDAY($B$43,2)+32,"")</f>
        <v>46660</v>
      </c>
      <c r="M53" s="130"/>
      <c r="N53" s="130"/>
      <c r="O53" s="130" t="str">
        <f>IF(MONTH($B$43-WEEKDAY($B$43,2)+33)=MONTH($B$43),$B$43-WEEKDAY($B$43,2)+33,"")</f>
        <v/>
      </c>
      <c r="P53" s="130"/>
      <c r="Q53" s="130"/>
      <c r="R53" s="130" t="str">
        <f>IF(MONTH($B$43-WEEKDAY($B$43,2)+34)=MONTH($B$43),$B$43-WEEKDAY($B$43,2)+34,"")</f>
        <v/>
      </c>
      <c r="S53" s="130"/>
      <c r="T53" s="130"/>
      <c r="U53" s="130" t="str">
        <f>IF(MONTH($B$43-WEEKDAY($B$43,2)+35)=MONTH($B$43),$B$43-WEEKDAY($B$43,2)+35,"")</f>
        <v/>
      </c>
      <c r="V53" s="130"/>
      <c r="W53" s="130"/>
      <c r="Y53" s="128">
        <f>IF(OR(ISNUMBER(Z53),ISNUMBER(AR53)),_xlfn.ISOWEEKNUM($Y$43-WEEKDAY($Y$43,2)+29),"")</f>
        <v>43</v>
      </c>
      <c r="Z53" s="130">
        <f>IF(MONTH($Y$43-WEEKDAY($Y$43,2)+29)=MONTH($Y$43),$Y$43-WEEKDAY($Y$43,2)+29,"")</f>
        <v>46685</v>
      </c>
      <c r="AA53" s="130"/>
      <c r="AB53" s="130"/>
      <c r="AC53" s="130">
        <f>IF(MONTH($Y$43-WEEKDAY($Y$43,2)+30)=MONTH($Y$43),$Y$43-WEEKDAY($Y$43,2)+30,"")</f>
        <v>46686</v>
      </c>
      <c r="AD53" s="130"/>
      <c r="AE53" s="130"/>
      <c r="AF53" s="130">
        <f>IF(MONTH($Y$43-WEEKDAY($Y$43,2)+31)=MONTH($Y$43),$Y$43-WEEKDAY($Y$43,2)+31,"")</f>
        <v>46687</v>
      </c>
      <c r="AG53" s="130"/>
      <c r="AH53" s="130"/>
      <c r="AI53" s="130">
        <f>IF(MONTH($Y$43-WEEKDAY($Y$43,2)+32)=MONTH($Y$43),$Y$43-WEEKDAY($Y$43,2)+32,"")</f>
        <v>46688</v>
      </c>
      <c r="AJ53" s="130"/>
      <c r="AK53" s="130"/>
      <c r="AL53" s="130">
        <f>IF(MONTH($Y$43-WEEKDAY($Y$43,2)+33)=MONTH($Y$43),$Y$43-WEEKDAY($Y$43,2)+33,"")</f>
        <v>46689</v>
      </c>
      <c r="AM53" s="130"/>
      <c r="AN53" s="130"/>
      <c r="AO53" s="130">
        <f>IF(MONTH($Y$43-WEEKDAY($Y$43,2)+34)=MONTH($Y$43),$Y$43-WEEKDAY($Y$43,2)+34,"")</f>
        <v>46690</v>
      </c>
      <c r="AP53" s="130"/>
      <c r="AQ53" s="130"/>
      <c r="AR53" s="130">
        <f>IF(MONTH($Y$43-WEEKDAY($Y$43,2)+35)=MONTH($Y$43),$Y$43-WEEKDAY($Y$43,2)+35,"")</f>
        <v>46691</v>
      </c>
      <c r="AS53" s="130"/>
      <c r="AT53" s="130"/>
      <c r="AV53" s="128">
        <f>IF(OR(ISNUMBER(AW53),ISNUMBER(BO53)),_xlfn.ISOWEEKNUM($AV$43-WEEKDAY($AV$43,2)+29),"")</f>
        <v>48</v>
      </c>
      <c r="AW53" s="130">
        <f>IF(MONTH($AV$43-WEEKDAY($AV$43,2)+29)=MONTH($AV$43),$AV$43-WEEKDAY($AV$43,2)+29,"")</f>
        <v>46720</v>
      </c>
      <c r="AX53" s="130"/>
      <c r="AY53" s="130"/>
      <c r="AZ53" s="130">
        <f>IF(MONTH($AV$43-WEEKDAY($AV$43,2)+30)=MONTH($AV$43),$AV$43-WEEKDAY($AV$43,2)+30,"")</f>
        <v>46721</v>
      </c>
      <c r="BA53" s="130"/>
      <c r="BB53" s="130"/>
      <c r="BC53" s="130" t="str">
        <f>IF(MONTH($AV$43-WEEKDAY($AV$43,2)+31)=MONTH($AV$43),$AV$43-WEEKDAY($AV$43,2)+31,"")</f>
        <v/>
      </c>
      <c r="BD53" s="130"/>
      <c r="BE53" s="130"/>
      <c r="BF53" s="130" t="str">
        <f>IF(MONTH($AV$43-WEEKDAY($AV$43,2)+32)=MONTH($AV$43),$AV$43-WEEKDAY($AV$43,2)+32,"")</f>
        <v/>
      </c>
      <c r="BG53" s="130"/>
      <c r="BH53" s="130"/>
      <c r="BI53" s="130" t="str">
        <f>IF(MONTH($AV$43-WEEKDAY($AV$43,2)+33)=MONTH($AV$43),$AV$43-WEEKDAY($AV$43,2)+33,"")</f>
        <v/>
      </c>
      <c r="BJ53" s="130"/>
      <c r="BK53" s="130"/>
      <c r="BL53" s="130" t="str">
        <f>IF(MONTH($AV$43-WEEKDAY($AV$43,2)+34)=MONTH($AV$43),$AV$43-WEEKDAY($AV$43,2)+34,"")</f>
        <v/>
      </c>
      <c r="BM53" s="130"/>
      <c r="BN53" s="130"/>
      <c r="BO53" s="130" t="str">
        <f>IF(MONTH($AV$43-WEEKDAY($AV$43,2)+35)=MONTH($AV$43),$AV$43-WEEKDAY($AV$43,2)+35,"")</f>
        <v/>
      </c>
      <c r="BP53" s="130"/>
      <c r="BQ53" s="130"/>
      <c r="BS53" s="128">
        <f>IF(OR(ISNUMBER(BT53),ISNUMBER(CL53)),_xlfn.ISOWEEKNUM($BS$43-WEEKDAY($BS$43,2)+29),"")</f>
        <v>52</v>
      </c>
      <c r="BT53" s="130">
        <f>IF(MONTH($BS$43-WEEKDAY($BS$43,2)+29)=MONTH($BS$43),$BS$43-WEEKDAY($BS$43,2)+29,"")</f>
        <v>46748</v>
      </c>
      <c r="BU53" s="130"/>
      <c r="BV53" s="130"/>
      <c r="BW53" s="130">
        <f>IF(MONTH($BS$43-WEEKDAY($BS$43,2)+30)=MONTH($BS$43),$BS$43-WEEKDAY($BS$43,2)+30,"")</f>
        <v>46749</v>
      </c>
      <c r="BX53" s="130"/>
      <c r="BY53" s="130"/>
      <c r="BZ53" s="130">
        <f>IF(MONTH($BS$43-WEEKDAY($BS$43,2)+31)=MONTH($BS$43),$BS$43-WEEKDAY($BS$43,2)+31,"")</f>
        <v>46750</v>
      </c>
      <c r="CA53" s="130"/>
      <c r="CB53" s="130"/>
      <c r="CC53" s="130">
        <f>IF(MONTH($BS$43-WEEKDAY($BS$43,2)+32)=MONTH($BS$43),$BS$43-WEEKDAY($BS$43,2)+32,"")</f>
        <v>46751</v>
      </c>
      <c r="CD53" s="130"/>
      <c r="CE53" s="130"/>
      <c r="CF53" s="130">
        <f>IF(MONTH($BS$43-WEEKDAY($BS$43,2)+33)=MONTH($BS$43),$BS$43-WEEKDAY($BS$43,2)+33,"")</f>
        <v>46752</v>
      </c>
      <c r="CG53" s="130"/>
      <c r="CH53" s="130"/>
      <c r="CI53" s="130" t="str">
        <f>IF(MONTH($BS$43-WEEKDAY($BS$43,2)+34)=MONTH($BS$43),$BS$43-WEEKDAY($BS$43,2)+34,"")</f>
        <v/>
      </c>
      <c r="CJ53" s="130"/>
      <c r="CK53" s="130"/>
      <c r="CL53" s="130" t="str">
        <f>IF(MONTH($BS$43-WEEKDAY($BS$43,2)+35)=MONTH($BS$43),$BS$43-WEEKDAY($BS$43,2)+35,"")</f>
        <v/>
      </c>
      <c r="CM53" s="130"/>
      <c r="CN53" s="130"/>
    </row>
    <row r="54" ht="10.5" customHeight="1">
      <c r="B54" s="129"/>
      <c r="C54" s="131" t="str">
        <f>IF(ISNUMBER(C53),IF(COUNTIF(JP_StartSel,C53)&gt;0,"S",IF(COUNTIF(Feiertage,C53)&gt;0,"h","")),"")</f>
        <v/>
      </c>
      <c r="D54" s="131" t="str">
        <f>IF(ISNUMBER(C53),IF(COUNTIF(JP_StartInhalt,C53)&gt;0,"I",IF(COUNTIF(Feiertage,C53)&gt;0,"h","")),"")</f>
        <v/>
      </c>
      <c r="E54" s="131" t="str">
        <f>IF(ISNUMBER(C53),IF(COUNTIF(JP_PAL,C53)&gt;0,"P",IF(COUNTIF(Feiertage,C53)&gt;0,"h","")),"")</f>
        <v/>
      </c>
      <c r="F54" s="131" t="str">
        <f>IF(ISNUMBER(F53),IF(COUNTIF(JP_StartSel,F53)&gt;0,"S",IF(COUNTIF(Feiertage,F53)&gt;0,"h","")),"")</f>
        <v/>
      </c>
      <c r="G54" s="131" t="str">
        <f>IF(ISNUMBER(F53),IF(COUNTIF(JP_StartInhalt,F53)&gt;0,"I",IF(COUNTIF(Feiertage,F53)&gt;0,"h","")),"")</f>
        <v/>
      </c>
      <c r="H54" s="131" t="str">
        <f>IF(ISNUMBER(F53),IF(COUNTIF(JP_PAL,F53)&gt;0,"P",IF(COUNTIF(Feiertage,F53)&gt;0,"h","")),"")</f>
        <v/>
      </c>
      <c r="I54" s="131" t="str">
        <f>IF(ISNUMBER(I53),IF(COUNTIF(JP_StartSel,I53)&gt;0,"S",IF(COUNTIF(Feiertage,I53)&gt;0,"h","")),"")</f>
        <v/>
      </c>
      <c r="J54" s="131" t="str">
        <f>IF(ISNUMBER(I53),IF(COUNTIF(JP_StartInhalt,I53)&gt;0,"I",IF(COUNTIF(Feiertage,I53)&gt;0,"h","")),"")</f>
        <v>I</v>
      </c>
      <c r="K54" s="131" t="str">
        <f>IF(ISNUMBER(I53),IF(COUNTIF(JP_PAL,I53)&gt;0,"P",IF(COUNTIF(Feiertage,I53)&gt;0,"h","")),"")</f>
        <v/>
      </c>
      <c r="L54" s="131" t="str">
        <f>IF(ISNUMBER(L53),IF(COUNTIF(JP_StartSel,L53)&gt;0,"S",IF(COUNTIF(Feiertage,L53)&gt;0,"h","")),"")</f>
        <v/>
      </c>
      <c r="M54" s="131" t="str">
        <f>IF(ISNUMBER(L53),IF(COUNTIF(JP_StartInhalt,L53)&gt;0,"I",IF(COUNTIF(Feiertage,L53)&gt;0,"h","")),"")</f>
        <v/>
      </c>
      <c r="N54" s="131" t="str">
        <f>IF(ISNUMBER(L53),IF(COUNTIF(JP_PAL,L53)&gt;0,"P",IF(COUNTIF(Feiertage,L53)&gt;0,"h","")),"")</f>
        <v/>
      </c>
      <c r="O54" s="131" t="str">
        <f>IF(ISNUMBER(O53),IF(COUNTIF(JP_StartSel,O53)&gt;0,"S",IF(COUNTIF(Feiertage,O53)&gt;0,"h","")),"")</f>
        <v/>
      </c>
      <c r="P54" s="131" t="str">
        <f>IF(ISNUMBER(O53),IF(COUNTIF(JP_StartInhalt,O53)&gt;0,"I",IF(COUNTIF(Feiertage,O53)&gt;0,"h","")),"")</f>
        <v/>
      </c>
      <c r="Q54" s="131" t="str">
        <f>IF(ISNUMBER(O53),IF(COUNTIF(JP_PAL,O53)&gt;0,"P",IF(COUNTIF(Feiertage,O53)&gt;0,"h","")),"")</f>
        <v/>
      </c>
      <c r="R54" s="131" t="str">
        <f>IF(ISNUMBER(R53),IF(COUNTIF(JP_StartSel,R53)&gt;0,"S",IF(COUNTIF(Feiertage,R53)&gt;0,"h","w")),"")</f>
        <v/>
      </c>
      <c r="S54" s="131" t="str">
        <f>IF(ISNUMBER(R53),IF(COUNTIF(JP_StartInhalt,R53)&gt;0,"I",IF(COUNTIF(Feiertage,R53)&gt;0,"h","w")),"")</f>
        <v/>
      </c>
      <c r="T54" s="131" t="str">
        <f>IF(ISNUMBER(R53),IF(COUNTIF(JP_PAL,R53)&gt;0,"P",IF(COUNTIF(Feiertage,R53)&gt;0,"h","w")),"")</f>
        <v/>
      </c>
      <c r="U54" s="131" t="str">
        <f>IF(ISNUMBER(U53),IF(COUNTIF(JP_StartSel,U53)&gt;0,"S",IF(COUNTIF(Feiertage,U53)&gt;0,"h","w")),"")</f>
        <v/>
      </c>
      <c r="V54" s="131" t="str">
        <f>IF(ISNUMBER(U53),IF(COUNTIF(JP_StartInhalt,U53)&gt;0,"I",IF(COUNTIF(Feiertage,U53)&gt;0,"h","w")),"")</f>
        <v/>
      </c>
      <c r="W54" s="131" t="str">
        <f>IF(ISNUMBER(U53),IF(COUNTIF(JP_PAL,U53)&gt;0,"P",IF(COUNTIF(Feiertage,U53)&gt;0,"h","w")),"")</f>
        <v/>
      </c>
      <c r="Y54" s="129"/>
      <c r="Z54" s="131" t="str">
        <f>IF(ISNUMBER(Z53),IF(COUNTIF(JP_StartSel,Z53)&gt;0,"S",IF(COUNTIF(Feiertage,Z53)&gt;0,"h","")),"")</f>
        <v/>
      </c>
      <c r="AA54" s="131" t="str">
        <f>IF(ISNUMBER(Z53),IF(COUNTIF(JP_StartInhalt,Z53)&gt;0,"I",IF(COUNTIF(Feiertage,Z53)&gt;0,"h","")),"")</f>
        <v/>
      </c>
      <c r="AB54" s="131" t="str">
        <f>IF(ISNUMBER(Z53),IF(COUNTIF(JP_PAL,Z53)&gt;0,"P",IF(COUNTIF(Feiertage,Z53)&gt;0,"h","")),"")</f>
        <v/>
      </c>
      <c r="AC54" s="131" t="str">
        <f>IF(ISNUMBER(AC53),IF(COUNTIF(JP_StartSel,AC53)&gt;0,"S",IF(COUNTIF(Feiertage,AC53)&gt;0,"h","")),"")</f>
        <v/>
      </c>
      <c r="AD54" s="131" t="str">
        <f>IF(ISNUMBER(AC53),IF(COUNTIF(JP_StartInhalt,AC53)&gt;0,"I",IF(COUNTIF(Feiertage,AC53)&gt;0,"h","")),"")</f>
        <v/>
      </c>
      <c r="AE54" s="131" t="str">
        <f>IF(ISNUMBER(AC53),IF(COUNTIF(JP_PAL,AC53)&gt;0,"P",IF(COUNTIF(Feiertage,AC53)&gt;0,"h","")),"")</f>
        <v/>
      </c>
      <c r="AF54" s="131" t="str">
        <f>IF(ISNUMBER(AF53),IF(COUNTIF(JP_StartSel,AF53)&gt;0,"S",IF(COUNTIF(Feiertage,AF53)&gt;0,"h","")),"")</f>
        <v/>
      </c>
      <c r="AG54" s="131" t="str">
        <f>IF(ISNUMBER(AF53),IF(COUNTIF(JP_StartInhalt,AF53)&gt;0,"I",IF(COUNTIF(Feiertage,AF53)&gt;0,"h","")),"")</f>
        <v/>
      </c>
      <c r="AH54" s="131" t="str">
        <f>IF(ISNUMBER(AF53),IF(COUNTIF(JP_PAL,AF53)&gt;0,"P",IF(COUNTIF(Feiertage,AF53)&gt;0,"h","")),"")</f>
        <v/>
      </c>
      <c r="AI54" s="131" t="str">
        <f>IF(ISNUMBER(AI53),IF(COUNTIF(JP_StartSel,AI53)&gt;0,"S",IF(COUNTIF(Feiertage,AI53)&gt;0,"h","")),"")</f>
        <v/>
      </c>
      <c r="AJ54" s="131" t="str">
        <f>IF(ISNUMBER(AI53),IF(COUNTIF(JP_StartInhalt,AI53)&gt;0,"I",IF(COUNTIF(Feiertage,AI53)&gt;0,"h","")),"")</f>
        <v/>
      </c>
      <c r="AK54" s="131" t="str">
        <f>IF(ISNUMBER(AI53),IF(COUNTIF(JP_PAL,AI53)&gt;0,"P",IF(COUNTIF(Feiertage,AI53)&gt;0,"h","")),"")</f>
        <v/>
      </c>
      <c r="AL54" s="131" t="str">
        <f>IF(ISNUMBER(AL53),IF(COUNTIF(JP_StartSel,AL53)&gt;0,"S",IF(COUNTIF(Feiertage,AL53)&gt;0,"h","")),"")</f>
        <v/>
      </c>
      <c r="AM54" s="131" t="str">
        <f>IF(ISNUMBER(AL53),IF(COUNTIF(JP_StartInhalt,AL53)&gt;0,"I",IF(COUNTIF(Feiertage,AL53)&gt;0,"h","")),"")</f>
        <v/>
      </c>
      <c r="AN54" s="131" t="str">
        <f>IF(ISNUMBER(AL53),IF(COUNTIF(JP_PAL,AL53)&gt;0,"P",IF(COUNTIF(Feiertage,AL53)&gt;0,"h","")),"")</f>
        <v/>
      </c>
      <c r="AO54" s="131" t="str">
        <f>IF(ISNUMBER(AO53),IF(COUNTIF(JP_StartSel,AO53)&gt;0,"S",IF(COUNTIF(Feiertage,AO53)&gt;0,"h","w")),"")</f>
        <v>w</v>
      </c>
      <c r="AP54" s="131" t="str">
        <f>IF(ISNUMBER(AO53),IF(COUNTIF(JP_StartInhalt,AO53)&gt;0,"I",IF(COUNTIF(Feiertage,AO53)&gt;0,"h","w")),"")</f>
        <v>w</v>
      </c>
      <c r="AQ54" s="131" t="str">
        <f>IF(ISNUMBER(AO53),IF(COUNTIF(JP_PAL,AO53)&gt;0,"P",IF(COUNTIF(Feiertage,AO53)&gt;0,"h","w")),"")</f>
        <v>w</v>
      </c>
      <c r="AR54" s="131" t="str">
        <f>IF(ISNUMBER(AR53),IF(COUNTIF(JP_StartSel,AR53)&gt;0,"S",IF(COUNTIF(Feiertage,AR53)&gt;0,"h","w")),"")</f>
        <v>w</v>
      </c>
      <c r="AS54" s="131" t="str">
        <f>IF(ISNUMBER(AR53),IF(COUNTIF(JP_StartInhalt,AR53)&gt;0,"I",IF(COUNTIF(Feiertage,AR53)&gt;0,"h","w")),"")</f>
        <v>w</v>
      </c>
      <c r="AT54" s="131" t="str">
        <f>IF(ISNUMBER(AR53),IF(COUNTIF(JP_PAL,AR53)&gt;0,"P",IF(COUNTIF(Feiertage,AR53)&gt;0,"h","w")),"")</f>
        <v>w</v>
      </c>
      <c r="AV54" s="129"/>
      <c r="AW54" s="131" t="str">
        <f>IF(ISNUMBER(AW53),IF(COUNTIF(JP_StartSel,AW53)&gt;0,"S",IF(COUNTIF(Feiertage,AW53)&gt;0,"h","")),"")</f>
        <v/>
      </c>
      <c r="AX54" s="131" t="str">
        <f>IF(ISNUMBER(AW53),IF(COUNTIF(JP_StartInhalt,AW53)&gt;0,"I",IF(COUNTIF(Feiertage,AW53)&gt;0,"h","")),"")</f>
        <v/>
      </c>
      <c r="AY54" s="131" t="str">
        <f>IF(ISNUMBER(AW53),IF(COUNTIF(JP_PAL,AW53)&gt;0,"P",IF(COUNTIF(Feiertage,AW53)&gt;0,"h","")),"")</f>
        <v/>
      </c>
      <c r="AZ54" s="131" t="str">
        <f>IF(ISNUMBER(AZ53),IF(COUNTIF(JP_StartSel,AZ53)&gt;0,"S",IF(COUNTIF(Feiertage,AZ53)&gt;0,"h","")),"")</f>
        <v/>
      </c>
      <c r="BA54" s="131" t="str">
        <f>IF(ISNUMBER(AZ53),IF(COUNTIF(JP_StartInhalt,AZ53)&gt;0,"I",IF(COUNTIF(Feiertage,AZ53)&gt;0,"h","")),"")</f>
        <v/>
      </c>
      <c r="BB54" s="131" t="str">
        <f>IF(ISNUMBER(AZ53),IF(COUNTIF(JP_PAL,AZ53)&gt;0,"P",IF(COUNTIF(Feiertage,AZ53)&gt;0,"h","")),"")</f>
        <v/>
      </c>
      <c r="BC54" s="131" t="str">
        <f>IF(ISNUMBER(BC53),IF(COUNTIF(JP_StartSel,BC53)&gt;0,"S",IF(COUNTIF(Feiertage,BC53)&gt;0,"h","")),"")</f>
        <v/>
      </c>
      <c r="BD54" s="131" t="str">
        <f>IF(ISNUMBER(BC53),IF(COUNTIF(JP_StartInhalt,BC53)&gt;0,"I",IF(COUNTIF(Feiertage,BC53)&gt;0,"h","")),"")</f>
        <v/>
      </c>
      <c r="BE54" s="131" t="str">
        <f>IF(ISNUMBER(BC53),IF(COUNTIF(JP_PAL,BC53)&gt;0,"P",IF(COUNTIF(Feiertage,BC53)&gt;0,"h","")),"")</f>
        <v/>
      </c>
      <c r="BF54" s="131" t="str">
        <f>IF(ISNUMBER(BF53),IF(COUNTIF(JP_StartSel,BF53)&gt;0,"S",IF(COUNTIF(Feiertage,BF53)&gt;0,"h","")),"")</f>
        <v/>
      </c>
      <c r="BG54" s="131" t="str">
        <f>IF(ISNUMBER(BF53),IF(COUNTIF(JP_StartInhalt,BF53)&gt;0,"I",IF(COUNTIF(Feiertage,BF53)&gt;0,"h","")),"")</f>
        <v/>
      </c>
      <c r="BH54" s="131" t="str">
        <f>IF(ISNUMBER(BF53),IF(COUNTIF(JP_PAL,BF53)&gt;0,"P",IF(COUNTIF(Feiertage,BF53)&gt;0,"h","")),"")</f>
        <v/>
      </c>
      <c r="BI54" s="131" t="str">
        <f>IF(ISNUMBER(BI53),IF(COUNTIF(JP_StartSel,BI53)&gt;0,"S",IF(COUNTIF(Feiertage,BI53)&gt;0,"h","")),"")</f>
        <v/>
      </c>
      <c r="BJ54" s="131" t="str">
        <f>IF(ISNUMBER(BI53),IF(COUNTIF(JP_StartInhalt,BI53)&gt;0,"I",IF(COUNTIF(Feiertage,BI53)&gt;0,"h","")),"")</f>
        <v/>
      </c>
      <c r="BK54" s="131" t="str">
        <f>IF(ISNUMBER(BI53),IF(COUNTIF(JP_PAL,BI53)&gt;0,"P",IF(COUNTIF(Feiertage,BI53)&gt;0,"h","")),"")</f>
        <v/>
      </c>
      <c r="BL54" s="131" t="str">
        <f>IF(ISNUMBER(BL53),IF(COUNTIF(JP_StartSel,BL53)&gt;0,"S",IF(COUNTIF(Feiertage,BL53)&gt;0,"h","w")),"")</f>
        <v/>
      </c>
      <c r="BM54" s="131" t="str">
        <f>IF(ISNUMBER(BL53),IF(COUNTIF(JP_StartInhalt,BL53)&gt;0,"I",IF(COUNTIF(Feiertage,BL53)&gt;0,"h","w")),"")</f>
        <v/>
      </c>
      <c r="BN54" s="131" t="str">
        <f>IF(ISNUMBER(BL53),IF(COUNTIF(JP_PAL,BL53)&gt;0,"P",IF(COUNTIF(Feiertage,BL53)&gt;0,"h","w")),"")</f>
        <v/>
      </c>
      <c r="BO54" s="131" t="str">
        <f>IF(ISNUMBER(BO53),IF(COUNTIF(JP_StartSel,BO53)&gt;0,"S",IF(COUNTIF(Feiertage,BO53)&gt;0,"h","w")),"")</f>
        <v/>
      </c>
      <c r="BP54" s="131" t="str">
        <f>IF(ISNUMBER(BO53),IF(COUNTIF(JP_StartInhalt,BO53)&gt;0,"I",IF(COUNTIF(Feiertage,BO53)&gt;0,"h","w")),"")</f>
        <v/>
      </c>
      <c r="BQ54" s="131" t="str">
        <f>IF(ISNUMBER(BO53),IF(COUNTIF(JP_PAL,BO53)&gt;0,"P",IF(COUNTIF(Feiertage,BO53)&gt;0,"h","w")),"")</f>
        <v/>
      </c>
      <c r="BS54" s="129"/>
      <c r="BT54" s="131" t="str">
        <f>IF(ISNUMBER(BT53),IF(COUNTIF(JP_StartSel,BT53)&gt;0,"S",IF(COUNTIF(Feiertage,BT53)&gt;0,"h","")),"")</f>
        <v/>
      </c>
      <c r="BU54" s="131" t="str">
        <f>IF(ISNUMBER(BT53),IF(COUNTIF(JP_StartInhalt,BT53)&gt;0,"I",IF(COUNTIF(Feiertage,BT53)&gt;0,"h","")),"")</f>
        <v/>
      </c>
      <c r="BV54" s="131" t="str">
        <f>IF(ISNUMBER(BT53),IF(COUNTIF(JP_PAL,BT53)&gt;0,"P",IF(COUNTIF(Feiertage,BT53)&gt;0,"h","")),"")</f>
        <v/>
      </c>
      <c r="BW54" s="131" t="str">
        <f>IF(ISNUMBER(BW53),IF(COUNTIF(JP_StartSel,BW53)&gt;0,"S",IF(COUNTIF(Feiertage,BW53)&gt;0,"h","")),"")</f>
        <v/>
      </c>
      <c r="BX54" s="131" t="str">
        <f>IF(ISNUMBER(BW53),IF(COUNTIF(JP_StartInhalt,BW53)&gt;0,"I",IF(COUNTIF(Feiertage,BW53)&gt;0,"h","")),"")</f>
        <v/>
      </c>
      <c r="BY54" s="131" t="str">
        <f>IF(ISNUMBER(BW53),IF(COUNTIF(JP_PAL,BW53)&gt;0,"P",IF(COUNTIF(Feiertage,BW53)&gt;0,"h","")),"")</f>
        <v/>
      </c>
      <c r="BZ54" s="131" t="str">
        <f>IF(ISNUMBER(BZ53),IF(COUNTIF(JP_StartSel,BZ53)&gt;0,"S",IF(COUNTIF(Feiertage,BZ53)&gt;0,"h","")),"")</f>
        <v/>
      </c>
      <c r="CA54" s="131" t="str">
        <f>IF(ISNUMBER(BZ53),IF(COUNTIF(JP_StartInhalt,BZ53)&gt;0,"I",IF(COUNTIF(Feiertage,BZ53)&gt;0,"h","")),"")</f>
        <v/>
      </c>
      <c r="CB54" s="131" t="str">
        <f>IF(ISNUMBER(BZ53),IF(COUNTIF(JP_PAL,BZ53)&gt;0,"P",IF(COUNTIF(Feiertage,BZ53)&gt;0,"h","")),"")</f>
        <v/>
      </c>
      <c r="CC54" s="131" t="str">
        <f>IF(ISNUMBER(CC53),IF(COUNTIF(JP_StartSel,CC53)&gt;0,"S",IF(COUNTIF(Feiertage,CC53)&gt;0,"h","")),"")</f>
        <v/>
      </c>
      <c r="CD54" s="131" t="str">
        <f>IF(ISNUMBER(CC53),IF(COUNTIF(JP_StartInhalt,CC53)&gt;0,"I",IF(COUNTIF(Feiertage,CC53)&gt;0,"h","")),"")</f>
        <v/>
      </c>
      <c r="CE54" s="131" t="str">
        <f>IF(ISNUMBER(CC53),IF(COUNTIF(JP_PAL,CC53)&gt;0,"P",IF(COUNTIF(Feiertage,CC53)&gt;0,"h","")),"")</f>
        <v/>
      </c>
      <c r="CF54" s="131" t="str">
        <f>IF(ISNUMBER(CF53),IF(COUNTIF(JP_StartSel,CF53)&gt;0,"S",IF(COUNTIF(Feiertage,CF53)&gt;0,"h","")),"")</f>
        <v/>
      </c>
      <c r="CG54" s="131" t="str">
        <f>IF(ISNUMBER(CF53),IF(COUNTIF(JP_StartInhalt,CF53)&gt;0,"I",IF(COUNTIF(Feiertage,CF53)&gt;0,"h","")),"")</f>
        <v/>
      </c>
      <c r="CH54" s="131" t="str">
        <f>IF(ISNUMBER(CF53),IF(COUNTIF(JP_PAL,CF53)&gt;0,"P",IF(COUNTIF(Feiertage,CF53)&gt;0,"h","")),"")</f>
        <v/>
      </c>
      <c r="CI54" s="131" t="str">
        <f>IF(ISNUMBER(CI53),IF(COUNTIF(JP_StartSel,CI53)&gt;0,"S",IF(COUNTIF(Feiertage,CI53)&gt;0,"h","w")),"")</f>
        <v/>
      </c>
      <c r="CJ54" s="131" t="str">
        <f>IF(ISNUMBER(CI53),IF(COUNTIF(JP_StartInhalt,CI53)&gt;0,"I",IF(COUNTIF(Feiertage,CI53)&gt;0,"h","w")),"")</f>
        <v/>
      </c>
      <c r="CK54" s="131" t="str">
        <f>IF(ISNUMBER(CI53),IF(COUNTIF(JP_PAL,CI53)&gt;0,"P",IF(COUNTIF(Feiertage,CI53)&gt;0,"h","w")),"")</f>
        <v/>
      </c>
      <c r="CL54" s="131" t="str">
        <f>IF(ISNUMBER(CL53),IF(COUNTIF(JP_StartSel,CL53)&gt;0,"S",IF(COUNTIF(Feiertage,CL53)&gt;0,"h","w")),"")</f>
        <v/>
      </c>
      <c r="CM54" s="131" t="str">
        <f>IF(ISNUMBER(CL53),IF(COUNTIF(JP_StartInhalt,CL53)&gt;0,"I",IF(COUNTIF(Feiertage,CL53)&gt;0,"h","w")),"")</f>
        <v/>
      </c>
      <c r="CN54" s="131" t="str">
        <f>IF(ISNUMBER(CL53),IF(COUNTIF(JP_PAL,CL53)&gt;0,"P",IF(COUNTIF(Feiertage,CL53)&gt;0,"h","w")),"")</f>
        <v/>
      </c>
    </row>
    <row r="55" ht="16" customHeight="1">
      <c r="B55" s="128" t="str">
        <f>IF(OR(ISNUMBER(C55),ISNUMBER(U55)),_xlfn.ISOWEEKNUM($B$43-WEEKDAY($B$43,2)+36),"")</f>
        <v/>
      </c>
      <c r="C55" s="130" t="str">
        <f>IF(MONTH($B$43-WEEKDAY($B$43,2)+36)=MONTH($B$43),$B$43-WEEKDAY($B$43,2)+36,"")</f>
        <v/>
      </c>
      <c r="D55" s="130"/>
      <c r="E55" s="130"/>
      <c r="F55" s="130" t="str">
        <f>IF(MONTH($B$43-WEEKDAY($B$43,2)+37)=MONTH($B$43),$B$43-WEEKDAY($B$43,2)+37,"")</f>
        <v/>
      </c>
      <c r="G55" s="130"/>
      <c r="H55" s="130"/>
      <c r="I55" s="130" t="str">
        <f>IF(MONTH($B$43-WEEKDAY($B$43,2)+38)=MONTH($B$43),$B$43-WEEKDAY($B$43,2)+38,"")</f>
        <v/>
      </c>
      <c r="J55" s="130"/>
      <c r="K55" s="130"/>
      <c r="L55" s="130" t="str">
        <f>IF(MONTH($B$43-WEEKDAY($B$43,2)+39)=MONTH($B$43),$B$43-WEEKDAY($B$43,2)+39,"")</f>
        <v/>
      </c>
      <c r="M55" s="130"/>
      <c r="N55" s="130"/>
      <c r="O55" s="130" t="str">
        <f>IF(MONTH($B$43-WEEKDAY($B$43,2)+40)=MONTH($B$43),$B$43-WEEKDAY($B$43,2)+40,"")</f>
        <v/>
      </c>
      <c r="P55" s="130"/>
      <c r="Q55" s="130"/>
      <c r="R55" s="130" t="str">
        <f>IF(MONTH($B$43-WEEKDAY($B$43,2)+41)=MONTH($B$43),$B$43-WEEKDAY($B$43,2)+41,"")</f>
        <v/>
      </c>
      <c r="S55" s="130"/>
      <c r="T55" s="130"/>
      <c r="U55" s="130" t="str">
        <f>IF(MONTH($B$43-WEEKDAY($B$43,2)+42)=MONTH($B$43),$B$43-WEEKDAY($B$43,2)+42,"")</f>
        <v/>
      </c>
      <c r="V55" s="130"/>
      <c r="W55" s="130"/>
      <c r="Y55" s="128" t="str">
        <f>IF(OR(ISNUMBER(Z55),ISNUMBER(AR55)),_xlfn.ISOWEEKNUM($Y$43-WEEKDAY($Y$43,2)+36),"")</f>
        <v/>
      </c>
      <c r="Z55" s="130" t="str">
        <f>IF(MONTH($Y$43-WEEKDAY($Y$43,2)+36)=MONTH($Y$43),$Y$43-WEEKDAY($Y$43,2)+36,"")</f>
        <v/>
      </c>
      <c r="AA55" s="130"/>
      <c r="AB55" s="130"/>
      <c r="AC55" s="130" t="str">
        <f>IF(MONTH($Y$43-WEEKDAY($Y$43,2)+37)=MONTH($Y$43),$Y$43-WEEKDAY($Y$43,2)+37,"")</f>
        <v/>
      </c>
      <c r="AD55" s="130"/>
      <c r="AE55" s="130"/>
      <c r="AF55" s="130" t="str">
        <f>IF(MONTH($Y$43-WEEKDAY($Y$43,2)+38)=MONTH($Y$43),$Y$43-WEEKDAY($Y$43,2)+38,"")</f>
        <v/>
      </c>
      <c r="AG55" s="130"/>
      <c r="AH55" s="130"/>
      <c r="AI55" s="130" t="str">
        <f>IF(MONTH($Y$43-WEEKDAY($Y$43,2)+39)=MONTH($Y$43),$Y$43-WEEKDAY($Y$43,2)+39,"")</f>
        <v/>
      </c>
      <c r="AJ55" s="130"/>
      <c r="AK55" s="130"/>
      <c r="AL55" s="130" t="str">
        <f>IF(MONTH($Y$43-WEEKDAY($Y$43,2)+40)=MONTH($Y$43),$Y$43-WEEKDAY($Y$43,2)+40,"")</f>
        <v/>
      </c>
      <c r="AM55" s="130"/>
      <c r="AN55" s="130"/>
      <c r="AO55" s="130" t="str">
        <f>IF(MONTH($Y$43-WEEKDAY($Y$43,2)+41)=MONTH($Y$43),$Y$43-WEEKDAY($Y$43,2)+41,"")</f>
        <v/>
      </c>
      <c r="AP55" s="130"/>
      <c r="AQ55" s="130"/>
      <c r="AR55" s="130" t="str">
        <f>IF(MONTH($Y$43-WEEKDAY($Y$43,2)+42)=MONTH($Y$43),$Y$43-WEEKDAY($Y$43,2)+42,"")</f>
        <v/>
      </c>
      <c r="AS55" s="130"/>
      <c r="AT55" s="130"/>
      <c r="AV55" s="128" t="str">
        <f>IF(OR(ISNUMBER(AW55),ISNUMBER(BO55)),_xlfn.ISOWEEKNUM($AV$43-WEEKDAY($AV$43,2)+36),"")</f>
        <v/>
      </c>
      <c r="AW55" s="130" t="str">
        <f>IF(MONTH($AV$43-WEEKDAY($AV$43,2)+36)=MONTH($AV$43),$AV$43-WEEKDAY($AV$43,2)+36,"")</f>
        <v/>
      </c>
      <c r="AX55" s="130"/>
      <c r="AY55" s="130"/>
      <c r="AZ55" s="130" t="str">
        <f>IF(MONTH($AV$43-WEEKDAY($AV$43,2)+37)=MONTH($AV$43),$AV$43-WEEKDAY($AV$43,2)+37,"")</f>
        <v/>
      </c>
      <c r="BA55" s="130"/>
      <c r="BB55" s="130"/>
      <c r="BC55" s="130" t="str">
        <f>IF(MONTH($AV$43-WEEKDAY($AV$43,2)+38)=MONTH($AV$43),$AV$43-WEEKDAY($AV$43,2)+38,"")</f>
        <v/>
      </c>
      <c r="BD55" s="130"/>
      <c r="BE55" s="130"/>
      <c r="BF55" s="130" t="str">
        <f>IF(MONTH($AV$43-WEEKDAY($AV$43,2)+39)=MONTH($AV$43),$AV$43-WEEKDAY($AV$43,2)+39,"")</f>
        <v/>
      </c>
      <c r="BG55" s="130"/>
      <c r="BH55" s="130"/>
      <c r="BI55" s="130" t="str">
        <f>IF(MONTH($AV$43-WEEKDAY($AV$43,2)+40)=MONTH($AV$43),$AV$43-WEEKDAY($AV$43,2)+40,"")</f>
        <v/>
      </c>
      <c r="BJ55" s="130"/>
      <c r="BK55" s="130"/>
      <c r="BL55" s="130" t="str">
        <f>IF(MONTH($AV$43-WEEKDAY($AV$43,2)+41)=MONTH($AV$43),$AV$43-WEEKDAY($AV$43,2)+41,"")</f>
        <v/>
      </c>
      <c r="BM55" s="130"/>
      <c r="BN55" s="130"/>
      <c r="BO55" s="130" t="str">
        <f>IF(MONTH($AV$43-WEEKDAY($AV$43,2)+42)=MONTH($AV$43),$AV$43-WEEKDAY($AV$43,2)+42,"")</f>
        <v/>
      </c>
      <c r="BP55" s="130"/>
      <c r="BQ55" s="130"/>
      <c r="BS55" s="128" t="str">
        <f>IF(OR(ISNUMBER(BT55),ISNUMBER(CL55)),_xlfn.ISOWEEKNUM($BS$43-WEEKDAY($BS$43,2)+36),"")</f>
        <v/>
      </c>
      <c r="BT55" s="130" t="str">
        <f>IF(MONTH($BS$43-WEEKDAY($BS$43,2)+36)=MONTH($BS$43),$BS$43-WEEKDAY($BS$43,2)+36,"")</f>
        <v/>
      </c>
      <c r="BU55" s="130"/>
      <c r="BV55" s="130"/>
      <c r="BW55" s="130" t="str">
        <f>IF(MONTH($BS$43-WEEKDAY($BS$43,2)+37)=MONTH($BS$43),$BS$43-WEEKDAY($BS$43,2)+37,"")</f>
        <v/>
      </c>
      <c r="BX55" s="130"/>
      <c r="BY55" s="130"/>
      <c r="BZ55" s="130" t="str">
        <f>IF(MONTH($BS$43-WEEKDAY($BS$43,2)+38)=MONTH($BS$43),$BS$43-WEEKDAY($BS$43,2)+38,"")</f>
        <v/>
      </c>
      <c r="CA55" s="130"/>
      <c r="CB55" s="130"/>
      <c r="CC55" s="130" t="str">
        <f>IF(MONTH($BS$43-WEEKDAY($BS$43,2)+39)=MONTH($BS$43),$BS$43-WEEKDAY($BS$43,2)+39,"")</f>
        <v/>
      </c>
      <c r="CD55" s="130"/>
      <c r="CE55" s="130"/>
      <c r="CF55" s="130" t="str">
        <f>IF(MONTH($BS$43-WEEKDAY($BS$43,2)+40)=MONTH($BS$43),$BS$43-WEEKDAY($BS$43,2)+40,"")</f>
        <v/>
      </c>
      <c r="CG55" s="130"/>
      <c r="CH55" s="130"/>
      <c r="CI55" s="130" t="str">
        <f>IF(MONTH($BS$43-WEEKDAY($BS$43,2)+41)=MONTH($BS$43),$BS$43-WEEKDAY($BS$43,2)+41,"")</f>
        <v/>
      </c>
      <c r="CJ55" s="130"/>
      <c r="CK55" s="130"/>
      <c r="CL55" s="130" t="str">
        <f>IF(MONTH($BS$43-WEEKDAY($BS$43,2)+42)=MONTH($BS$43),$BS$43-WEEKDAY($BS$43,2)+42,"")</f>
        <v/>
      </c>
      <c r="CM55" s="130"/>
      <c r="CN55" s="130"/>
    </row>
    <row r="56" ht="10.5" customHeight="1">
      <c r="B56" s="129"/>
      <c r="C56" s="131" t="str">
        <f>IF(ISNUMBER(C55),IF(COUNTIF(JP_StartSel,C55)&gt;0,"S",IF(COUNTIF(Feiertage,C55)&gt;0,"h","")),"")</f>
        <v/>
      </c>
      <c r="D56" s="131" t="str">
        <f>IF(ISNUMBER(C55),IF(COUNTIF(JP_StartInhalt,C55)&gt;0,"I",IF(COUNTIF(Feiertage,C55)&gt;0,"h","")),"")</f>
        <v/>
      </c>
      <c r="E56" s="131" t="str">
        <f>IF(ISNUMBER(C55),IF(COUNTIF(JP_PAL,C55)&gt;0,"P",IF(COUNTIF(Feiertage,C55)&gt;0,"h","")),"")</f>
        <v/>
      </c>
      <c r="F56" s="131" t="str">
        <f>IF(ISNUMBER(F55),IF(COUNTIF(JP_StartSel,F55)&gt;0,"S",IF(COUNTIF(Feiertage,F55)&gt;0,"h","")),"")</f>
        <v/>
      </c>
      <c r="G56" s="131" t="str">
        <f>IF(ISNUMBER(F55),IF(COUNTIF(JP_StartInhalt,F55)&gt;0,"I",IF(COUNTIF(Feiertage,F55)&gt;0,"h","")),"")</f>
        <v/>
      </c>
      <c r="H56" s="131" t="str">
        <f>IF(ISNUMBER(F55),IF(COUNTIF(JP_PAL,F55)&gt;0,"P",IF(COUNTIF(Feiertage,F55)&gt;0,"h","")),"")</f>
        <v/>
      </c>
      <c r="I56" s="131" t="str">
        <f>IF(ISNUMBER(I55),IF(COUNTIF(JP_StartSel,I55)&gt;0,"S",IF(COUNTIF(Feiertage,I55)&gt;0,"h","")),"")</f>
        <v/>
      </c>
      <c r="J56" s="131" t="str">
        <f>IF(ISNUMBER(I55),IF(COUNTIF(JP_StartInhalt,I55)&gt;0,"I",IF(COUNTIF(Feiertage,I55)&gt;0,"h","")),"")</f>
        <v/>
      </c>
      <c r="K56" s="131" t="str">
        <f>IF(ISNUMBER(I55),IF(COUNTIF(JP_PAL,I55)&gt;0,"P",IF(COUNTIF(Feiertage,I55)&gt;0,"h","")),"")</f>
        <v/>
      </c>
      <c r="L56" s="131" t="str">
        <f>IF(ISNUMBER(L55),IF(COUNTIF(JP_StartSel,L55)&gt;0,"S",IF(COUNTIF(Feiertage,L55)&gt;0,"h","")),"")</f>
        <v/>
      </c>
      <c r="M56" s="131" t="str">
        <f>IF(ISNUMBER(L55),IF(COUNTIF(JP_StartInhalt,L55)&gt;0,"I",IF(COUNTIF(Feiertage,L55)&gt;0,"h","")),"")</f>
        <v/>
      </c>
      <c r="N56" s="131" t="str">
        <f>IF(ISNUMBER(L55),IF(COUNTIF(JP_PAL,L55)&gt;0,"P",IF(COUNTIF(Feiertage,L55)&gt;0,"h","")),"")</f>
        <v/>
      </c>
      <c r="O56" s="131" t="str">
        <f>IF(ISNUMBER(O55),IF(COUNTIF(JP_StartSel,O55)&gt;0,"S",IF(COUNTIF(Feiertage,O55)&gt;0,"h","")),"")</f>
        <v/>
      </c>
      <c r="P56" s="131" t="str">
        <f>IF(ISNUMBER(O55),IF(COUNTIF(JP_StartInhalt,O55)&gt;0,"I",IF(COUNTIF(Feiertage,O55)&gt;0,"h","")),"")</f>
        <v/>
      </c>
      <c r="Q56" s="131" t="str">
        <f>IF(ISNUMBER(O55),IF(COUNTIF(JP_PAL,O55)&gt;0,"P",IF(COUNTIF(Feiertage,O55)&gt;0,"h","")),"")</f>
        <v/>
      </c>
      <c r="R56" s="131" t="str">
        <f>IF(ISNUMBER(R55),IF(COUNTIF(JP_StartSel,R55)&gt;0,"S",IF(COUNTIF(Feiertage,R55)&gt;0,"h","w")),"")</f>
        <v/>
      </c>
      <c r="S56" s="131" t="str">
        <f>IF(ISNUMBER(R55),IF(COUNTIF(JP_StartInhalt,R55)&gt;0,"I",IF(COUNTIF(Feiertage,R55)&gt;0,"h","w")),"")</f>
        <v/>
      </c>
      <c r="T56" s="131" t="str">
        <f>IF(ISNUMBER(R55),IF(COUNTIF(JP_PAL,R55)&gt;0,"P",IF(COUNTIF(Feiertage,R55)&gt;0,"h","w")),"")</f>
        <v/>
      </c>
      <c r="U56" s="131" t="str">
        <f>IF(ISNUMBER(U55),IF(COUNTIF(JP_StartSel,U55)&gt;0,"S",IF(COUNTIF(Feiertage,U55)&gt;0,"h","w")),"")</f>
        <v/>
      </c>
      <c r="V56" s="131" t="str">
        <f>IF(ISNUMBER(U55),IF(COUNTIF(JP_StartInhalt,U55)&gt;0,"I",IF(COUNTIF(Feiertage,U55)&gt;0,"h","w")),"")</f>
        <v/>
      </c>
      <c r="W56" s="131" t="str">
        <f>IF(ISNUMBER(U55),IF(COUNTIF(JP_PAL,U55)&gt;0,"P",IF(COUNTIF(Feiertage,U55)&gt;0,"h","w")),"")</f>
        <v/>
      </c>
      <c r="Y56" s="129"/>
      <c r="Z56" s="131" t="str">
        <f>IF(ISNUMBER(Z55),IF(COUNTIF(JP_StartSel,Z55)&gt;0,"S",IF(COUNTIF(Feiertage,Z55)&gt;0,"h","")),"")</f>
        <v/>
      </c>
      <c r="AA56" s="131" t="str">
        <f>IF(ISNUMBER(Z55),IF(COUNTIF(JP_StartInhalt,Z55)&gt;0,"I",IF(COUNTIF(Feiertage,Z55)&gt;0,"h","")),"")</f>
        <v/>
      </c>
      <c r="AB56" s="131" t="str">
        <f>IF(ISNUMBER(Z55),IF(COUNTIF(JP_PAL,Z55)&gt;0,"P",IF(COUNTIF(Feiertage,Z55)&gt;0,"h","")),"")</f>
        <v/>
      </c>
      <c r="AC56" s="131" t="str">
        <f>IF(ISNUMBER(AC55),IF(COUNTIF(JP_StartSel,AC55)&gt;0,"S",IF(COUNTIF(Feiertage,AC55)&gt;0,"h","")),"")</f>
        <v/>
      </c>
      <c r="AD56" s="131" t="str">
        <f>IF(ISNUMBER(AC55),IF(COUNTIF(JP_StartInhalt,AC55)&gt;0,"I",IF(COUNTIF(Feiertage,AC55)&gt;0,"h","")),"")</f>
        <v/>
      </c>
      <c r="AE56" s="131" t="str">
        <f>IF(ISNUMBER(AC55),IF(COUNTIF(JP_PAL,AC55)&gt;0,"P",IF(COUNTIF(Feiertage,AC55)&gt;0,"h","")),"")</f>
        <v/>
      </c>
      <c r="AF56" s="131" t="str">
        <f>IF(ISNUMBER(AF55),IF(COUNTIF(JP_StartSel,AF55)&gt;0,"S",IF(COUNTIF(Feiertage,AF55)&gt;0,"h","")),"")</f>
        <v/>
      </c>
      <c r="AG56" s="131" t="str">
        <f>IF(ISNUMBER(AF55),IF(COUNTIF(JP_StartInhalt,AF55)&gt;0,"I",IF(COUNTIF(Feiertage,AF55)&gt;0,"h","")),"")</f>
        <v/>
      </c>
      <c r="AH56" s="131" t="str">
        <f>IF(ISNUMBER(AF55),IF(COUNTIF(JP_PAL,AF55)&gt;0,"P",IF(COUNTIF(Feiertage,AF55)&gt;0,"h","")),"")</f>
        <v/>
      </c>
      <c r="AI56" s="131" t="str">
        <f>IF(ISNUMBER(AI55),IF(COUNTIF(JP_StartSel,AI55)&gt;0,"S",IF(COUNTIF(Feiertage,AI55)&gt;0,"h","")),"")</f>
        <v/>
      </c>
      <c r="AJ56" s="131" t="str">
        <f>IF(ISNUMBER(AI55),IF(COUNTIF(JP_StartInhalt,AI55)&gt;0,"I",IF(COUNTIF(Feiertage,AI55)&gt;0,"h","")),"")</f>
        <v/>
      </c>
      <c r="AK56" s="131" t="str">
        <f>IF(ISNUMBER(AI55),IF(COUNTIF(JP_PAL,AI55)&gt;0,"P",IF(COUNTIF(Feiertage,AI55)&gt;0,"h","")),"")</f>
        <v/>
      </c>
      <c r="AL56" s="131" t="str">
        <f>IF(ISNUMBER(AL55),IF(COUNTIF(JP_StartSel,AL55)&gt;0,"S",IF(COUNTIF(Feiertage,AL55)&gt;0,"h","")),"")</f>
        <v/>
      </c>
      <c r="AM56" s="131" t="str">
        <f>IF(ISNUMBER(AL55),IF(COUNTIF(JP_StartInhalt,AL55)&gt;0,"I",IF(COUNTIF(Feiertage,AL55)&gt;0,"h","")),"")</f>
        <v/>
      </c>
      <c r="AN56" s="131" t="str">
        <f>IF(ISNUMBER(AL55),IF(COUNTIF(JP_PAL,AL55)&gt;0,"P",IF(COUNTIF(Feiertage,AL55)&gt;0,"h","")),"")</f>
        <v/>
      </c>
      <c r="AO56" s="131" t="str">
        <f>IF(ISNUMBER(AO55),IF(COUNTIF(JP_StartSel,AO55)&gt;0,"S",IF(COUNTIF(Feiertage,AO55)&gt;0,"h","w")),"")</f>
        <v/>
      </c>
      <c r="AP56" s="131" t="str">
        <f>IF(ISNUMBER(AO55),IF(COUNTIF(JP_StartInhalt,AO55)&gt;0,"I",IF(COUNTIF(Feiertage,AO55)&gt;0,"h","w")),"")</f>
        <v/>
      </c>
      <c r="AQ56" s="131" t="str">
        <f>IF(ISNUMBER(AO55),IF(COUNTIF(JP_PAL,AO55)&gt;0,"P",IF(COUNTIF(Feiertage,AO55)&gt;0,"h","w")),"")</f>
        <v/>
      </c>
      <c r="AR56" s="131" t="str">
        <f>IF(ISNUMBER(AR55),IF(COUNTIF(JP_StartSel,AR55)&gt;0,"S",IF(COUNTIF(Feiertage,AR55)&gt;0,"h","w")),"")</f>
        <v/>
      </c>
      <c r="AS56" s="131" t="str">
        <f>IF(ISNUMBER(AR55),IF(COUNTIF(JP_StartInhalt,AR55)&gt;0,"I",IF(COUNTIF(Feiertage,AR55)&gt;0,"h","w")),"")</f>
        <v/>
      </c>
      <c r="AT56" s="131" t="str">
        <f>IF(ISNUMBER(AR55),IF(COUNTIF(JP_PAL,AR55)&gt;0,"P",IF(COUNTIF(Feiertage,AR55)&gt;0,"h","w")),"")</f>
        <v/>
      </c>
      <c r="AV56" s="129"/>
      <c r="AW56" s="131" t="str">
        <f>IF(ISNUMBER(AW55),IF(COUNTIF(JP_StartSel,AW55)&gt;0,"S",IF(COUNTIF(Feiertage,AW55)&gt;0,"h","")),"")</f>
        <v/>
      </c>
      <c r="AX56" s="131" t="str">
        <f>IF(ISNUMBER(AW55),IF(COUNTIF(JP_StartInhalt,AW55)&gt;0,"I",IF(COUNTIF(Feiertage,AW55)&gt;0,"h","")),"")</f>
        <v/>
      </c>
      <c r="AY56" s="131" t="str">
        <f>IF(ISNUMBER(AW55),IF(COUNTIF(JP_PAL,AW55)&gt;0,"P",IF(COUNTIF(Feiertage,AW55)&gt;0,"h","")),"")</f>
        <v/>
      </c>
      <c r="AZ56" s="131" t="str">
        <f>IF(ISNUMBER(AZ55),IF(COUNTIF(JP_StartSel,AZ55)&gt;0,"S",IF(COUNTIF(Feiertage,AZ55)&gt;0,"h","")),"")</f>
        <v/>
      </c>
      <c r="BA56" s="131" t="str">
        <f>IF(ISNUMBER(AZ55),IF(COUNTIF(JP_StartInhalt,AZ55)&gt;0,"I",IF(COUNTIF(Feiertage,AZ55)&gt;0,"h","")),"")</f>
        <v/>
      </c>
      <c r="BB56" s="131" t="str">
        <f>IF(ISNUMBER(AZ55),IF(COUNTIF(JP_PAL,AZ55)&gt;0,"P",IF(COUNTIF(Feiertage,AZ55)&gt;0,"h","")),"")</f>
        <v/>
      </c>
      <c r="BC56" s="131" t="str">
        <f>IF(ISNUMBER(BC55),IF(COUNTIF(JP_StartSel,BC55)&gt;0,"S",IF(COUNTIF(Feiertage,BC55)&gt;0,"h","")),"")</f>
        <v/>
      </c>
      <c r="BD56" s="131" t="str">
        <f>IF(ISNUMBER(BC55),IF(COUNTIF(JP_StartInhalt,BC55)&gt;0,"I",IF(COUNTIF(Feiertage,BC55)&gt;0,"h","")),"")</f>
        <v/>
      </c>
      <c r="BE56" s="131" t="str">
        <f>IF(ISNUMBER(BC55),IF(COUNTIF(JP_PAL,BC55)&gt;0,"P",IF(COUNTIF(Feiertage,BC55)&gt;0,"h","")),"")</f>
        <v/>
      </c>
      <c r="BF56" s="131" t="str">
        <f>IF(ISNUMBER(BF55),IF(COUNTIF(JP_StartSel,BF55)&gt;0,"S",IF(COUNTIF(Feiertage,BF55)&gt;0,"h","")),"")</f>
        <v/>
      </c>
      <c r="BG56" s="131" t="str">
        <f>IF(ISNUMBER(BF55),IF(COUNTIF(JP_StartInhalt,BF55)&gt;0,"I",IF(COUNTIF(Feiertage,BF55)&gt;0,"h","")),"")</f>
        <v/>
      </c>
      <c r="BH56" s="131" t="str">
        <f>IF(ISNUMBER(BF55),IF(COUNTIF(JP_PAL,BF55)&gt;0,"P",IF(COUNTIF(Feiertage,BF55)&gt;0,"h","")),"")</f>
        <v/>
      </c>
      <c r="BI56" s="131" t="str">
        <f>IF(ISNUMBER(BI55),IF(COUNTIF(JP_StartSel,BI55)&gt;0,"S",IF(COUNTIF(Feiertage,BI55)&gt;0,"h","")),"")</f>
        <v/>
      </c>
      <c r="BJ56" s="131" t="str">
        <f>IF(ISNUMBER(BI55),IF(COUNTIF(JP_StartInhalt,BI55)&gt;0,"I",IF(COUNTIF(Feiertage,BI55)&gt;0,"h","")),"")</f>
        <v/>
      </c>
      <c r="BK56" s="131" t="str">
        <f>IF(ISNUMBER(BI55),IF(COUNTIF(JP_PAL,BI55)&gt;0,"P",IF(COUNTIF(Feiertage,BI55)&gt;0,"h","")),"")</f>
        <v/>
      </c>
      <c r="BL56" s="131" t="str">
        <f>IF(ISNUMBER(BL55),IF(COUNTIF(JP_StartSel,BL55)&gt;0,"S",IF(COUNTIF(Feiertage,BL55)&gt;0,"h","w")),"")</f>
        <v/>
      </c>
      <c r="BM56" s="131" t="str">
        <f>IF(ISNUMBER(BL55),IF(COUNTIF(JP_StartInhalt,BL55)&gt;0,"I",IF(COUNTIF(Feiertage,BL55)&gt;0,"h","w")),"")</f>
        <v/>
      </c>
      <c r="BN56" s="131" t="str">
        <f>IF(ISNUMBER(BL55),IF(COUNTIF(JP_PAL,BL55)&gt;0,"P",IF(COUNTIF(Feiertage,BL55)&gt;0,"h","w")),"")</f>
        <v/>
      </c>
      <c r="BO56" s="131" t="str">
        <f>IF(ISNUMBER(BO55),IF(COUNTIF(JP_StartSel,BO55)&gt;0,"S",IF(COUNTIF(Feiertage,BO55)&gt;0,"h","w")),"")</f>
        <v/>
      </c>
      <c r="BP56" s="131" t="str">
        <f>IF(ISNUMBER(BO55),IF(COUNTIF(JP_StartInhalt,BO55)&gt;0,"I",IF(COUNTIF(Feiertage,BO55)&gt;0,"h","w")),"")</f>
        <v/>
      </c>
      <c r="BQ56" s="131" t="str">
        <f>IF(ISNUMBER(BO55),IF(COUNTIF(JP_PAL,BO55)&gt;0,"P",IF(COUNTIF(Feiertage,BO55)&gt;0,"h","w")),"")</f>
        <v/>
      </c>
      <c r="BS56" s="129"/>
      <c r="BT56" s="131" t="str">
        <f>IF(ISNUMBER(BT55),IF(COUNTIF(JP_StartSel,BT55)&gt;0,"S",IF(COUNTIF(Feiertage,BT55)&gt;0,"h","")),"")</f>
        <v/>
      </c>
      <c r="BU56" s="131" t="str">
        <f>IF(ISNUMBER(BT55),IF(COUNTIF(JP_StartInhalt,BT55)&gt;0,"I",IF(COUNTIF(Feiertage,BT55)&gt;0,"h","")),"")</f>
        <v/>
      </c>
      <c r="BV56" s="131" t="str">
        <f>IF(ISNUMBER(BT55),IF(COUNTIF(JP_PAL,BT55)&gt;0,"P",IF(COUNTIF(Feiertage,BT55)&gt;0,"h","")),"")</f>
        <v/>
      </c>
      <c r="BW56" s="131" t="str">
        <f>IF(ISNUMBER(BW55),IF(COUNTIF(JP_StartSel,BW55)&gt;0,"S",IF(COUNTIF(Feiertage,BW55)&gt;0,"h","")),"")</f>
        <v/>
      </c>
      <c r="BX56" s="131" t="str">
        <f>IF(ISNUMBER(BW55),IF(COUNTIF(JP_StartInhalt,BW55)&gt;0,"I",IF(COUNTIF(Feiertage,BW55)&gt;0,"h","")),"")</f>
        <v/>
      </c>
      <c r="BY56" s="131" t="str">
        <f>IF(ISNUMBER(BW55),IF(COUNTIF(JP_PAL,BW55)&gt;0,"P",IF(COUNTIF(Feiertage,BW55)&gt;0,"h","")),"")</f>
        <v/>
      </c>
      <c r="BZ56" s="131" t="str">
        <f>IF(ISNUMBER(BZ55),IF(COUNTIF(JP_StartSel,BZ55)&gt;0,"S",IF(COUNTIF(Feiertage,BZ55)&gt;0,"h","")),"")</f>
        <v/>
      </c>
      <c r="CA56" s="131" t="str">
        <f>IF(ISNUMBER(BZ55),IF(COUNTIF(JP_StartInhalt,BZ55)&gt;0,"I",IF(COUNTIF(Feiertage,BZ55)&gt;0,"h","")),"")</f>
        <v/>
      </c>
      <c r="CB56" s="131" t="str">
        <f>IF(ISNUMBER(BZ55),IF(COUNTIF(JP_PAL,BZ55)&gt;0,"P",IF(COUNTIF(Feiertage,BZ55)&gt;0,"h","")),"")</f>
        <v/>
      </c>
      <c r="CC56" s="131" t="str">
        <f>IF(ISNUMBER(CC55),IF(COUNTIF(JP_StartSel,CC55)&gt;0,"S",IF(COUNTIF(Feiertage,CC55)&gt;0,"h","")),"")</f>
        <v/>
      </c>
      <c r="CD56" s="131" t="str">
        <f>IF(ISNUMBER(CC55),IF(COUNTIF(JP_StartInhalt,CC55)&gt;0,"I",IF(COUNTIF(Feiertage,CC55)&gt;0,"h","")),"")</f>
        <v/>
      </c>
      <c r="CE56" s="131" t="str">
        <f>IF(ISNUMBER(CC55),IF(COUNTIF(JP_PAL,CC55)&gt;0,"P",IF(COUNTIF(Feiertage,CC55)&gt;0,"h","")),"")</f>
        <v/>
      </c>
      <c r="CF56" s="131" t="str">
        <f>IF(ISNUMBER(CF55),IF(COUNTIF(JP_StartSel,CF55)&gt;0,"S",IF(COUNTIF(Feiertage,CF55)&gt;0,"h","")),"")</f>
        <v/>
      </c>
      <c r="CG56" s="131" t="str">
        <f>IF(ISNUMBER(CF55),IF(COUNTIF(JP_StartInhalt,CF55)&gt;0,"I",IF(COUNTIF(Feiertage,CF55)&gt;0,"h","")),"")</f>
        <v/>
      </c>
      <c r="CH56" s="131" t="str">
        <f>IF(ISNUMBER(CF55),IF(COUNTIF(JP_PAL,CF55)&gt;0,"P",IF(COUNTIF(Feiertage,CF55)&gt;0,"h","")),"")</f>
        <v/>
      </c>
      <c r="CI56" s="131" t="str">
        <f>IF(ISNUMBER(CI55),IF(COUNTIF(JP_StartSel,CI55)&gt;0,"S",IF(COUNTIF(Feiertage,CI55)&gt;0,"h","w")),"")</f>
        <v/>
      </c>
      <c r="CJ56" s="131" t="str">
        <f>IF(ISNUMBER(CI55),IF(COUNTIF(JP_StartInhalt,CI55)&gt;0,"I",IF(COUNTIF(Feiertage,CI55)&gt;0,"h","w")),"")</f>
        <v/>
      </c>
      <c r="CK56" s="131" t="str">
        <f>IF(ISNUMBER(CI55),IF(COUNTIF(JP_PAL,CI55)&gt;0,"P",IF(COUNTIF(Feiertage,CI55)&gt;0,"h","w")),"")</f>
        <v/>
      </c>
      <c r="CL56" s="131" t="str">
        <f>IF(ISNUMBER(CL55),IF(COUNTIF(JP_StartSel,CL55)&gt;0,"S",IF(COUNTIF(Feiertage,CL55)&gt;0,"h","w")),"")</f>
        <v/>
      </c>
      <c r="CM56" s="131" t="str">
        <f>IF(ISNUMBER(CL55),IF(COUNTIF(JP_StartInhalt,CL55)&gt;0,"I",IF(COUNTIF(Feiertage,CL55)&gt;0,"h","w")),"")</f>
        <v/>
      </c>
      <c r="CN56" s="131" t="str">
        <f>IF(ISNUMBER(CL55),IF(COUNTIF(JP_PAL,CL55)&gt;0,"P",IF(COUNTIF(Feiertage,CL55)&gt;0,"h","w")),"")</f>
        <v/>
      </c>
    </row>
    <row r="57" ht="22" customHeight="1">
      <c r="B57" s="132" t="str">
        <f t="array" ref="B57">_xlfn.TEXTJOIN("  ·  ",TRUE,IF(MONTH(Feiertage)=MONTH($B$43),TEXT(DAY(Feiertage),"00")&amp;"."&amp;TEXT(MONTH(Feiertage),"00")&amp;". "&amp;Feiertage_Name,""))</f>
        <v/>
      </c>
      <c r="C57" s="132"/>
      <c r="D57" s="132"/>
      <c r="E57" s="132"/>
      <c r="F57" s="132"/>
      <c r="G57" s="132"/>
      <c r="H57" s="132"/>
      <c r="I57" s="132"/>
      <c r="J57" s="132"/>
      <c r="K57" s="132"/>
      <c r="L57" s="132"/>
      <c r="M57" s="132"/>
      <c r="N57" s="132"/>
      <c r="O57" s="132"/>
      <c r="P57" s="132"/>
      <c r="Q57" s="132"/>
      <c r="R57" s="132"/>
      <c r="S57" s="132"/>
      <c r="T57" s="132"/>
      <c r="U57" s="132"/>
      <c r="V57" s="132"/>
      <c r="W57" s="132"/>
      <c r="Y57" s="132" t="str">
        <f t="array" ref="Y57">_xlfn.TEXTJOIN("  ·  ",TRUE,IF(MONTH(Feiertage)=MONTH($Y$43),TEXT(DAY(Feiertage),"00")&amp;"."&amp;TEXT(MONTH(Feiertage),"00")&amp;". "&amp;Feiertage_Name,""))</f>
        <v>03.10. Tag der Deutschen Einheit</v>
      </c>
      <c r="Z57" s="132"/>
      <c r="AA57" s="132"/>
      <c r="AB57" s="132"/>
      <c r="AC57" s="132"/>
      <c r="AD57" s="132"/>
      <c r="AE57" s="132"/>
      <c r="AF57" s="132"/>
      <c r="AG57" s="132"/>
      <c r="AH57" s="132"/>
      <c r="AI57" s="132"/>
      <c r="AJ57" s="132"/>
      <c r="AK57" s="132"/>
      <c r="AL57" s="132"/>
      <c r="AM57" s="132"/>
      <c r="AN57" s="132"/>
      <c r="AO57" s="132"/>
      <c r="AP57" s="132"/>
      <c r="AQ57" s="132"/>
      <c r="AR57" s="132"/>
      <c r="AS57" s="132"/>
      <c r="AT57" s="132"/>
      <c r="AV57" s="132" t="str">
        <f t="array" ref="AV57">_xlfn.TEXTJOIN("  ·  ",TRUE,IF(MONTH(Feiertage)=MONTH($AV$43),TEXT(DAY(Feiertage),"00")&amp;"."&amp;TEXT(MONTH(Feiertage),"00")&amp;". "&amp;Feiertage_Name,""))</f>
        <v>01.11. Allerheiligen</v>
      </c>
      <c r="AW57" s="132"/>
      <c r="AX57" s="132"/>
      <c r="AY57" s="132"/>
      <c r="AZ57" s="132"/>
      <c r="BA57" s="132"/>
      <c r="BB57" s="132"/>
      <c r="BC57" s="132"/>
      <c r="BD57" s="132"/>
      <c r="BE57" s="132"/>
      <c r="BF57" s="132"/>
      <c r="BG57" s="132"/>
      <c r="BH57" s="132"/>
      <c r="BI57" s="132"/>
      <c r="BJ57" s="132"/>
      <c r="BK57" s="132"/>
      <c r="BL57" s="132"/>
      <c r="BM57" s="132"/>
      <c r="BN57" s="132"/>
      <c r="BO57" s="132"/>
      <c r="BP57" s="132"/>
      <c r="BQ57" s="132"/>
      <c r="BS57" s="132" t="str">
        <f t="array" ref="BS57">_xlfn.TEXTJOIN("  ·  ",TRUE,IF(MONTH(Feiertage)=MONTH($BS$43),TEXT(DAY(Feiertage),"00")&amp;"."&amp;TEXT(MONTH(Feiertage),"00")&amp;". "&amp;Feiertage_Name,""))</f>
        <v>25.12. 1. Weihnachtsfeiertag  ·  26.12. 2. Weihnachtsfeiertag</v>
      </c>
      <c r="BT57" s="132"/>
      <c r="BU57" s="132"/>
      <c r="BV57" s="132"/>
      <c r="BW57" s="132"/>
      <c r="BX57" s="132"/>
      <c r="BY57" s="132"/>
      <c r="BZ57" s="132"/>
      <c r="CA57" s="132"/>
      <c r="CB57" s="132"/>
      <c r="CC57" s="132"/>
      <c r="CD57" s="132"/>
      <c r="CE57" s="132"/>
      <c r="CF57" s="132"/>
      <c r="CG57" s="132"/>
      <c r="CH57" s="132"/>
      <c r="CI57" s="132"/>
      <c r="CJ57" s="132"/>
      <c r="CK57" s="132"/>
      <c r="CL57" s="132"/>
      <c r="CM57" s="132"/>
      <c r="CN57" s="132"/>
    </row>
    <row r="58" ht="8" customHeight="1"/>
    <row r="59" ht="10" customHeight="1"/>
    <row r="60" ht="24" customHeight="1">
      <c r="B60" s="134" t="str">
        <f>"Maßnahmen "&amp;Planungsjahr&amp;" – sortiert nach PAL"</f>
        <v>Maßnahmen 2027 – sortiert nach PAL</v>
      </c>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c r="AH60" s="134"/>
      <c r="AI60" s="134"/>
      <c r="AJ60" s="134"/>
      <c r="AK60" s="135" t="s">
        <v>84</v>
      </c>
      <c r="AL60" s="135"/>
      <c r="AM60" s="135"/>
      <c r="AN60" s="135"/>
      <c r="AO60" s="135"/>
      <c r="AP60" s="135"/>
      <c r="AQ60" s="135"/>
      <c r="AR60" s="135"/>
      <c r="AS60" s="135"/>
      <c r="AT60" s="135"/>
      <c r="AU60" s="135"/>
      <c r="AV60" s="135"/>
      <c r="AW60" s="135"/>
      <c r="AX60" s="135"/>
      <c r="AY60" s="135"/>
      <c r="AZ60" s="135"/>
      <c r="BA60" s="135"/>
      <c r="BB60" s="135"/>
      <c r="BC60" s="135"/>
      <c r="BD60" s="135"/>
      <c r="BE60" s="135"/>
      <c r="BF60" s="135"/>
      <c r="BG60" s="135"/>
      <c r="BH60" s="135"/>
      <c r="BI60" s="135"/>
      <c r="BJ60" s="135"/>
      <c r="BK60" s="135"/>
      <c r="BL60" s="135"/>
      <c r="BM60" s="135"/>
      <c r="BN60" s="135"/>
      <c r="BO60" s="135"/>
      <c r="BP60" s="135"/>
      <c r="BQ60" s="135"/>
      <c r="BR60" s="135"/>
      <c r="BS60" s="135"/>
      <c r="BT60" s="135"/>
      <c r="BU60" s="135"/>
      <c r="BV60" s="135"/>
      <c r="BW60" s="135"/>
      <c r="BX60" s="135"/>
      <c r="BY60" s="135"/>
      <c r="BZ60" s="135"/>
      <c r="CA60" s="135"/>
      <c r="CB60" s="135"/>
      <c r="CC60" s="135"/>
      <c r="CD60" s="135"/>
      <c r="CE60" s="135"/>
      <c r="CF60" s="135"/>
      <c r="CG60" s="135"/>
      <c r="CH60" s="135"/>
      <c r="CI60" s="135"/>
      <c r="CJ60" s="135"/>
      <c r="CK60" s="135"/>
      <c r="CL60" s="135"/>
      <c r="CM60" s="135"/>
      <c r="CN60" s="135"/>
    </row>
    <row r="61" ht="42" customHeight="1">
      <c r="B61" s="142" t="s">
        <v>85</v>
      </c>
      <c r="C61" s="142"/>
      <c r="D61" s="142"/>
      <c r="E61" s="142"/>
      <c r="F61" s="142"/>
      <c r="G61" s="142"/>
      <c r="H61" s="142"/>
      <c r="I61" s="142"/>
      <c r="J61" s="142"/>
      <c r="K61" s="142"/>
      <c r="L61" s="142"/>
      <c r="M61" s="142"/>
      <c r="N61" s="142"/>
      <c r="O61" s="142"/>
      <c r="P61" s="142"/>
      <c r="Q61" s="142"/>
      <c r="R61" s="142"/>
      <c r="S61" s="142"/>
      <c r="T61" s="142"/>
      <c r="U61" s="142"/>
      <c r="V61" s="136" t="s">
        <v>86</v>
      </c>
      <c r="W61" s="136"/>
      <c r="X61" s="136"/>
      <c r="Y61" s="136"/>
      <c r="Z61" s="137" t="s">
        <v>62</v>
      </c>
      <c r="AA61" s="137"/>
      <c r="AB61" s="137"/>
      <c r="AC61" s="137"/>
      <c r="AD61" s="137"/>
      <c r="AE61" s="137"/>
      <c r="AF61" s="137"/>
      <c r="AG61" s="137"/>
      <c r="AH61" s="137"/>
      <c r="AI61" s="140" t="s">
        <v>87</v>
      </c>
      <c r="AJ61" s="140"/>
      <c r="AK61" s="140"/>
      <c r="AL61" s="140"/>
      <c r="AM61" s="140"/>
      <c r="AN61" s="140"/>
      <c r="AO61" s="140"/>
      <c r="AP61" s="138" t="s">
        <v>66</v>
      </c>
      <c r="AQ61" s="138"/>
      <c r="AR61" s="138"/>
      <c r="AS61" s="138"/>
      <c r="AT61" s="138"/>
      <c r="AU61" s="138"/>
      <c r="AV61" s="138"/>
      <c r="AW61" s="141" t="s">
        <v>88</v>
      </c>
      <c r="AX61" s="141"/>
      <c r="AY61" s="141"/>
      <c r="AZ61" s="141"/>
      <c r="BA61" s="141"/>
      <c r="BB61" s="141"/>
      <c r="BC61" s="141"/>
      <c r="BD61" s="139" t="s">
        <v>89</v>
      </c>
      <c r="BE61" s="139"/>
      <c r="BF61" s="139"/>
      <c r="BG61" s="139"/>
      <c r="BH61" s="139"/>
      <c r="BI61" s="139"/>
      <c r="BJ61" s="139"/>
      <c r="BK61" s="139"/>
      <c r="BL61" s="139"/>
      <c r="BM61" s="136" t="s">
        <v>90</v>
      </c>
      <c r="BN61" s="136"/>
      <c r="BO61" s="136"/>
      <c r="BP61" s="136"/>
      <c r="BQ61" s="136"/>
      <c r="BR61" s="136"/>
      <c r="BS61" s="136"/>
      <c r="BT61" s="136"/>
      <c r="BU61" s="142" t="s">
        <v>91</v>
      </c>
      <c r="BV61" s="142"/>
      <c r="BW61" s="142"/>
      <c r="BX61" s="142"/>
      <c r="BY61" s="142"/>
      <c r="BZ61" s="142"/>
      <c r="CA61" s="142"/>
      <c r="CB61" s="142"/>
      <c r="CC61" s="142"/>
      <c r="CD61" s="142"/>
      <c r="CE61" s="142"/>
      <c r="CF61" s="142"/>
      <c r="CG61" s="142"/>
      <c r="CH61" s="142"/>
      <c r="CI61" s="142"/>
      <c r="CJ61" s="142"/>
      <c r="CK61" s="142"/>
      <c r="CL61" s="142"/>
      <c r="CM61" s="142"/>
      <c r="CN61" s="142"/>
    </row>
    <row r="62" ht="18" customHeight="1">
      <c r="B62" s="143" t="s">
        <v>92</v>
      </c>
      <c r="C62" s="143"/>
      <c r="D62" s="143"/>
      <c r="E62" s="143"/>
      <c r="F62" s="143"/>
      <c r="G62" s="143"/>
      <c r="H62" s="143"/>
      <c r="I62" s="143"/>
      <c r="J62" s="143"/>
      <c r="K62" s="143"/>
      <c r="L62" s="143"/>
      <c r="M62" s="143"/>
      <c r="N62" s="143"/>
      <c r="O62" s="143"/>
      <c r="P62" s="143"/>
      <c r="Q62" s="143"/>
      <c r="R62" s="143"/>
      <c r="S62" s="143"/>
      <c r="T62" s="143"/>
      <c r="U62" s="143"/>
      <c r="V62" s="144"/>
      <c r="W62" s="144"/>
      <c r="X62" s="144"/>
      <c r="Y62" s="144"/>
      <c r="Z62" s="145">
        <f>IF(OR($BD62="",$AI62=""),"",$BD62-$AI62)</f>
        <v>46340</v>
      </c>
      <c r="AA62" s="145"/>
      <c r="AB62" s="145"/>
      <c r="AC62" s="145"/>
      <c r="AD62" s="145"/>
      <c r="AE62" s="145"/>
      <c r="AF62" s="145"/>
      <c r="AG62" s="145"/>
      <c r="AH62" s="145"/>
      <c r="AI62" s="146">
        <f>IF($B62="","",Std_Vorlauf_Sel)</f>
        <v>76</v>
      </c>
      <c r="AJ62" s="146"/>
      <c r="AK62" s="146"/>
      <c r="AL62" s="146"/>
      <c r="AM62" s="146"/>
      <c r="AN62" s="146"/>
      <c r="AO62" s="146"/>
      <c r="AP62" s="145">
        <f>IF(OR($BD62="",$AW62=""),"",$BD62-$AW62)</f>
        <v>46358</v>
      </c>
      <c r="AQ62" s="145"/>
      <c r="AR62" s="145"/>
      <c r="AS62" s="145"/>
      <c r="AT62" s="145"/>
      <c r="AU62" s="145"/>
      <c r="AV62" s="145"/>
      <c r="AW62" s="146">
        <f>IF($B62="","",Std_Vorlauf_Inhalt)</f>
        <v>58</v>
      </c>
      <c r="AX62" s="146"/>
      <c r="AY62" s="146"/>
      <c r="AZ62" s="146"/>
      <c r="BA62" s="146"/>
      <c r="BB62" s="146"/>
      <c r="BC62" s="146"/>
      <c r="BD62" s="147">
        <v>46416</v>
      </c>
      <c r="BE62" s="147"/>
      <c r="BF62" s="147"/>
      <c r="BG62" s="147"/>
      <c r="BH62" s="147"/>
      <c r="BI62" s="147"/>
      <c r="BJ62" s="147"/>
      <c r="BK62" s="147"/>
      <c r="BL62" s="147"/>
      <c r="BM62" s="148"/>
      <c r="BN62" s="148"/>
      <c r="BO62" s="148"/>
      <c r="BP62" s="148"/>
      <c r="BQ62" s="148"/>
      <c r="BR62" s="148"/>
      <c r="BS62" s="148"/>
      <c r="BT62" s="148"/>
      <c r="BU62" s="149" t="s">
        <v>93</v>
      </c>
      <c r="BV62" s="149"/>
      <c r="BW62" s="149"/>
      <c r="BX62" s="149"/>
      <c r="BY62" s="149"/>
      <c r="BZ62" s="149"/>
      <c r="CA62" s="149"/>
      <c r="CB62" s="149"/>
      <c r="CC62" s="149"/>
      <c r="CD62" s="149"/>
      <c r="CE62" s="149"/>
      <c r="CF62" s="149"/>
      <c r="CG62" s="149"/>
      <c r="CH62" s="149"/>
      <c r="CI62" s="149"/>
      <c r="CJ62" s="149"/>
      <c r="CK62" s="149"/>
      <c r="CL62" s="149"/>
      <c r="CM62" s="149"/>
      <c r="CN62" s="149"/>
    </row>
    <row r="63" ht="18" customHeight="1">
      <c r="B63" s="143" t="s">
        <v>94</v>
      </c>
      <c r="C63" s="143"/>
      <c r="D63" s="143"/>
      <c r="E63" s="143"/>
      <c r="F63" s="143"/>
      <c r="G63" s="143"/>
      <c r="H63" s="143"/>
      <c r="I63" s="143"/>
      <c r="J63" s="143"/>
      <c r="K63" s="143"/>
      <c r="L63" s="143"/>
      <c r="M63" s="143"/>
      <c r="N63" s="143"/>
      <c r="O63" s="143"/>
      <c r="P63" s="143"/>
      <c r="Q63" s="143"/>
      <c r="R63" s="143"/>
      <c r="S63" s="143"/>
      <c r="T63" s="143"/>
      <c r="U63" s="143"/>
      <c r="V63" s="144"/>
      <c r="W63" s="144"/>
      <c r="X63" s="144"/>
      <c r="Y63" s="144"/>
      <c r="Z63" s="145">
        <f>IF(OR($BD63="",$AI63=""),"",$BD63-$AI63)</f>
        <v>46361</v>
      </c>
      <c r="AA63" s="145"/>
      <c r="AB63" s="145"/>
      <c r="AC63" s="145"/>
      <c r="AD63" s="145"/>
      <c r="AE63" s="145"/>
      <c r="AF63" s="145"/>
      <c r="AG63" s="145"/>
      <c r="AH63" s="145"/>
      <c r="AI63" s="146">
        <f>IF($B63="","",Std_Vorlauf_Sel)</f>
        <v>76</v>
      </c>
      <c r="AJ63" s="146"/>
      <c r="AK63" s="146"/>
      <c r="AL63" s="146"/>
      <c r="AM63" s="146"/>
      <c r="AN63" s="146"/>
      <c r="AO63" s="146"/>
      <c r="AP63" s="145">
        <f>IF(OR($BD63="",$AW63=""),"",$BD63-$AW63)</f>
        <v>46379</v>
      </c>
      <c r="AQ63" s="145"/>
      <c r="AR63" s="145"/>
      <c r="AS63" s="145"/>
      <c r="AT63" s="145"/>
      <c r="AU63" s="145"/>
      <c r="AV63" s="145"/>
      <c r="AW63" s="146">
        <f>IF($B63="","",Std_Vorlauf_Inhalt)</f>
        <v>58</v>
      </c>
      <c r="AX63" s="146"/>
      <c r="AY63" s="146"/>
      <c r="AZ63" s="146"/>
      <c r="BA63" s="146"/>
      <c r="BB63" s="146"/>
      <c r="BC63" s="146"/>
      <c r="BD63" s="147">
        <v>46437</v>
      </c>
      <c r="BE63" s="147"/>
      <c r="BF63" s="147"/>
      <c r="BG63" s="147"/>
      <c r="BH63" s="147"/>
      <c r="BI63" s="147"/>
      <c r="BJ63" s="147"/>
      <c r="BK63" s="147"/>
      <c r="BL63" s="147"/>
      <c r="BM63" s="148"/>
      <c r="BN63" s="148"/>
      <c r="BO63" s="148"/>
      <c r="BP63" s="148"/>
      <c r="BQ63" s="148"/>
      <c r="BR63" s="148"/>
      <c r="BS63" s="148"/>
      <c r="BT63" s="148"/>
      <c r="BU63" s="149" t="s">
        <v>93</v>
      </c>
      <c r="BV63" s="149"/>
      <c r="BW63" s="149"/>
      <c r="BX63" s="149"/>
      <c r="BY63" s="149"/>
      <c r="BZ63" s="149"/>
      <c r="CA63" s="149"/>
      <c r="CB63" s="149"/>
      <c r="CC63" s="149"/>
      <c r="CD63" s="149"/>
      <c r="CE63" s="149"/>
      <c r="CF63" s="149"/>
      <c r="CG63" s="149"/>
      <c r="CH63" s="149"/>
      <c r="CI63" s="149"/>
      <c r="CJ63" s="149"/>
      <c r="CK63" s="149"/>
      <c r="CL63" s="149"/>
      <c r="CM63" s="149"/>
      <c r="CN63" s="149"/>
    </row>
    <row r="64" ht="18" customHeight="1">
      <c r="B64" s="143" t="s">
        <v>95</v>
      </c>
      <c r="C64" s="143"/>
      <c r="D64" s="143"/>
      <c r="E64" s="143"/>
      <c r="F64" s="143"/>
      <c r="G64" s="143"/>
      <c r="H64" s="143"/>
      <c r="I64" s="143"/>
      <c r="J64" s="143"/>
      <c r="K64" s="143"/>
      <c r="L64" s="143"/>
      <c r="M64" s="143"/>
      <c r="N64" s="143"/>
      <c r="O64" s="143"/>
      <c r="P64" s="143"/>
      <c r="Q64" s="143"/>
      <c r="R64" s="143"/>
      <c r="S64" s="143"/>
      <c r="T64" s="143"/>
      <c r="U64" s="143"/>
      <c r="V64" s="144"/>
      <c r="W64" s="144"/>
      <c r="X64" s="144"/>
      <c r="Y64" s="144"/>
      <c r="Z64" s="145">
        <f>IF(OR($BD64="",$AI64=""),"",$BD64-$AI64)</f>
        <v>46424</v>
      </c>
      <c r="AA64" s="145"/>
      <c r="AB64" s="145"/>
      <c r="AC64" s="145"/>
      <c r="AD64" s="145"/>
      <c r="AE64" s="145"/>
      <c r="AF64" s="145"/>
      <c r="AG64" s="145"/>
      <c r="AH64" s="145"/>
      <c r="AI64" s="146">
        <f>IF($B64="","",Std_Vorlauf_Sel)</f>
        <v>76</v>
      </c>
      <c r="AJ64" s="146"/>
      <c r="AK64" s="146"/>
      <c r="AL64" s="146"/>
      <c r="AM64" s="146"/>
      <c r="AN64" s="146"/>
      <c r="AO64" s="146"/>
      <c r="AP64" s="145">
        <f>IF(OR($BD64="",$AW64=""),"",$BD64-$AW64)</f>
        <v>46442</v>
      </c>
      <c r="AQ64" s="145"/>
      <c r="AR64" s="145"/>
      <c r="AS64" s="145"/>
      <c r="AT64" s="145"/>
      <c r="AU64" s="145"/>
      <c r="AV64" s="145"/>
      <c r="AW64" s="146">
        <f>IF($B64="","",Std_Vorlauf_Inhalt)</f>
        <v>58</v>
      </c>
      <c r="AX64" s="146"/>
      <c r="AY64" s="146"/>
      <c r="AZ64" s="146"/>
      <c r="BA64" s="146"/>
      <c r="BB64" s="146"/>
      <c r="BC64" s="146"/>
      <c r="BD64" s="147">
        <v>46500</v>
      </c>
      <c r="BE64" s="147"/>
      <c r="BF64" s="147"/>
      <c r="BG64" s="147"/>
      <c r="BH64" s="147"/>
      <c r="BI64" s="147"/>
      <c r="BJ64" s="147"/>
      <c r="BK64" s="147"/>
      <c r="BL64" s="147"/>
      <c r="BM64" s="148"/>
      <c r="BN64" s="148"/>
      <c r="BO64" s="148"/>
      <c r="BP64" s="148"/>
      <c r="BQ64" s="148"/>
      <c r="BR64" s="148"/>
      <c r="BS64" s="148"/>
      <c r="BT64" s="148"/>
      <c r="BU64" s="149" t="s">
        <v>93</v>
      </c>
      <c r="BV64" s="149"/>
      <c r="BW64" s="149"/>
      <c r="BX64" s="149"/>
      <c r="BY64" s="149"/>
      <c r="BZ64" s="149"/>
      <c r="CA64" s="149"/>
      <c r="CB64" s="149"/>
      <c r="CC64" s="149"/>
      <c r="CD64" s="149"/>
      <c r="CE64" s="149"/>
      <c r="CF64" s="149"/>
      <c r="CG64" s="149"/>
      <c r="CH64" s="149"/>
      <c r="CI64" s="149"/>
      <c r="CJ64" s="149"/>
      <c r="CK64" s="149"/>
      <c r="CL64" s="149"/>
      <c r="CM64" s="149"/>
      <c r="CN64" s="149"/>
    </row>
    <row r="65" ht="18" customHeight="1">
      <c r="B65" s="143" t="s">
        <v>57</v>
      </c>
      <c r="C65" s="143"/>
      <c r="D65" s="143"/>
      <c r="E65" s="143"/>
      <c r="F65" s="143"/>
      <c r="G65" s="143"/>
      <c r="H65" s="143"/>
      <c r="I65" s="143"/>
      <c r="J65" s="143"/>
      <c r="K65" s="143"/>
      <c r="L65" s="143"/>
      <c r="M65" s="143"/>
      <c r="N65" s="143"/>
      <c r="O65" s="143"/>
      <c r="P65" s="143"/>
      <c r="Q65" s="143"/>
      <c r="R65" s="143"/>
      <c r="S65" s="143"/>
      <c r="T65" s="143"/>
      <c r="U65" s="143"/>
      <c r="V65" s="144"/>
      <c r="W65" s="144"/>
      <c r="X65" s="144"/>
      <c r="Y65" s="144"/>
      <c r="Z65" s="145">
        <f>IF(OR($BD65="",$AI65=""),"",$BD65-$AI65)</f>
        <v>46481</v>
      </c>
      <c r="AA65" s="145"/>
      <c r="AB65" s="145"/>
      <c r="AC65" s="145"/>
      <c r="AD65" s="145"/>
      <c r="AE65" s="145"/>
      <c r="AF65" s="145"/>
      <c r="AG65" s="145"/>
      <c r="AH65" s="145"/>
      <c r="AI65" s="146">
        <f>IF($B65="","",Std_Vorlauf_Sel)</f>
        <v>76</v>
      </c>
      <c r="AJ65" s="146"/>
      <c r="AK65" s="146"/>
      <c r="AL65" s="146"/>
      <c r="AM65" s="146"/>
      <c r="AN65" s="146"/>
      <c r="AO65" s="146"/>
      <c r="AP65" s="145">
        <f>IF(OR($BD65="",$AW65=""),"",$BD65-$AW65)</f>
        <v>46499</v>
      </c>
      <c r="AQ65" s="145"/>
      <c r="AR65" s="145"/>
      <c r="AS65" s="145"/>
      <c r="AT65" s="145"/>
      <c r="AU65" s="145"/>
      <c r="AV65" s="145"/>
      <c r="AW65" s="146">
        <f>IF($B65="","",Std_Vorlauf_Inhalt)</f>
        <v>58</v>
      </c>
      <c r="AX65" s="146"/>
      <c r="AY65" s="146"/>
      <c r="AZ65" s="146"/>
      <c r="BA65" s="146"/>
      <c r="BB65" s="146"/>
      <c r="BC65" s="146"/>
      <c r="BD65" s="147">
        <v>46557</v>
      </c>
      <c r="BE65" s="147"/>
      <c r="BF65" s="147"/>
      <c r="BG65" s="147"/>
      <c r="BH65" s="147"/>
      <c r="BI65" s="147"/>
      <c r="BJ65" s="147"/>
      <c r="BK65" s="147"/>
      <c r="BL65" s="147"/>
      <c r="BM65" s="148" t="s">
        <v>96</v>
      </c>
      <c r="BN65" s="148"/>
      <c r="BO65" s="148"/>
      <c r="BP65" s="148"/>
      <c r="BQ65" s="148"/>
      <c r="BR65" s="148"/>
      <c r="BS65" s="148"/>
      <c r="BT65" s="148"/>
      <c r="BU65" s="149" t="s">
        <v>97</v>
      </c>
      <c r="BV65" s="149"/>
      <c r="BW65" s="149"/>
      <c r="BX65" s="149"/>
      <c r="BY65" s="149"/>
      <c r="BZ65" s="149"/>
      <c r="CA65" s="149"/>
      <c r="CB65" s="149"/>
      <c r="CC65" s="149"/>
      <c r="CD65" s="149"/>
      <c r="CE65" s="149"/>
      <c r="CF65" s="149"/>
      <c r="CG65" s="149"/>
      <c r="CH65" s="149"/>
      <c r="CI65" s="149"/>
      <c r="CJ65" s="149"/>
      <c r="CK65" s="149"/>
      <c r="CL65" s="149"/>
      <c r="CM65" s="149"/>
      <c r="CN65" s="149"/>
    </row>
    <row r="66" ht="18" customHeight="1">
      <c r="B66" s="143" t="s">
        <v>98</v>
      </c>
      <c r="C66" s="143"/>
      <c r="D66" s="143"/>
      <c r="E66" s="143"/>
      <c r="F66" s="143"/>
      <c r="G66" s="143"/>
      <c r="H66" s="143"/>
      <c r="I66" s="143"/>
      <c r="J66" s="143"/>
      <c r="K66" s="143"/>
      <c r="L66" s="143"/>
      <c r="M66" s="143"/>
      <c r="N66" s="143"/>
      <c r="O66" s="143"/>
      <c r="P66" s="143"/>
      <c r="Q66" s="143"/>
      <c r="R66" s="143"/>
      <c r="S66" s="143"/>
      <c r="T66" s="143"/>
      <c r="U66" s="143"/>
      <c r="V66" s="144"/>
      <c r="W66" s="144"/>
      <c r="X66" s="144"/>
      <c r="Y66" s="144"/>
      <c r="Z66" s="145">
        <f>IF(OR($BD66="",$AI66=""),"",$BD66-$AI66)</f>
        <v>46550</v>
      </c>
      <c r="AA66" s="145"/>
      <c r="AB66" s="145"/>
      <c r="AC66" s="145"/>
      <c r="AD66" s="145"/>
      <c r="AE66" s="145"/>
      <c r="AF66" s="145"/>
      <c r="AG66" s="145"/>
      <c r="AH66" s="145"/>
      <c r="AI66" s="146">
        <f>IF($B66="","",Std_Vorlauf_Sel)</f>
        <v>76</v>
      </c>
      <c r="AJ66" s="146"/>
      <c r="AK66" s="146"/>
      <c r="AL66" s="146"/>
      <c r="AM66" s="146"/>
      <c r="AN66" s="146"/>
      <c r="AO66" s="146"/>
      <c r="AP66" s="145">
        <f>IF(OR($BD66="",$AW66=""),"",$BD66-$AW66)</f>
        <v>46568</v>
      </c>
      <c r="AQ66" s="145"/>
      <c r="AR66" s="145"/>
      <c r="AS66" s="145"/>
      <c r="AT66" s="145"/>
      <c r="AU66" s="145"/>
      <c r="AV66" s="145"/>
      <c r="AW66" s="146">
        <f>IF($B66="","",Std_Vorlauf_Inhalt)</f>
        <v>58</v>
      </c>
      <c r="AX66" s="146"/>
      <c r="AY66" s="146"/>
      <c r="AZ66" s="146"/>
      <c r="BA66" s="146"/>
      <c r="BB66" s="146"/>
      <c r="BC66" s="146"/>
      <c r="BD66" s="147">
        <v>46626</v>
      </c>
      <c r="BE66" s="147"/>
      <c r="BF66" s="147"/>
      <c r="BG66" s="147"/>
      <c r="BH66" s="147"/>
      <c r="BI66" s="147"/>
      <c r="BJ66" s="147"/>
      <c r="BK66" s="147"/>
      <c r="BL66" s="147"/>
      <c r="BM66" s="148"/>
      <c r="BN66" s="148"/>
      <c r="BO66" s="148"/>
      <c r="BP66" s="148"/>
      <c r="BQ66" s="148"/>
      <c r="BR66" s="148"/>
      <c r="BS66" s="148"/>
      <c r="BT66" s="148"/>
      <c r="BU66" s="149" t="s">
        <v>93</v>
      </c>
      <c r="BV66" s="149"/>
      <c r="BW66" s="149"/>
      <c r="BX66" s="149"/>
      <c r="BY66" s="149"/>
      <c r="BZ66" s="149"/>
      <c r="CA66" s="149"/>
      <c r="CB66" s="149"/>
      <c r="CC66" s="149"/>
      <c r="CD66" s="149"/>
      <c r="CE66" s="149"/>
      <c r="CF66" s="149"/>
      <c r="CG66" s="149"/>
      <c r="CH66" s="149"/>
      <c r="CI66" s="149"/>
      <c r="CJ66" s="149"/>
      <c r="CK66" s="149"/>
      <c r="CL66" s="149"/>
      <c r="CM66" s="149"/>
      <c r="CN66" s="149"/>
    </row>
    <row r="67" ht="18" customHeight="1">
      <c r="B67" s="143" t="s">
        <v>99</v>
      </c>
      <c r="C67" s="143"/>
      <c r="D67" s="143"/>
      <c r="E67" s="143"/>
      <c r="F67" s="143"/>
      <c r="G67" s="143"/>
      <c r="H67" s="143"/>
      <c r="I67" s="143"/>
      <c r="J67" s="143"/>
      <c r="K67" s="143"/>
      <c r="L67" s="143"/>
      <c r="M67" s="143"/>
      <c r="N67" s="143"/>
      <c r="O67" s="143"/>
      <c r="P67" s="143"/>
      <c r="Q67" s="143"/>
      <c r="R67" s="143"/>
      <c r="S67" s="143"/>
      <c r="T67" s="143"/>
      <c r="U67" s="143"/>
      <c r="V67" s="144"/>
      <c r="W67" s="144"/>
      <c r="X67" s="144"/>
      <c r="Y67" s="144"/>
      <c r="Z67" s="145">
        <f>IF(OR($BD67="",$AI67=""),"",$BD67-$AI67)</f>
        <v>46578</v>
      </c>
      <c r="AA67" s="145"/>
      <c r="AB67" s="145"/>
      <c r="AC67" s="145"/>
      <c r="AD67" s="145"/>
      <c r="AE67" s="145"/>
      <c r="AF67" s="145"/>
      <c r="AG67" s="145"/>
      <c r="AH67" s="145"/>
      <c r="AI67" s="146">
        <f>IF($B67="","",Std_Vorlauf_Sel)</f>
        <v>76</v>
      </c>
      <c r="AJ67" s="146"/>
      <c r="AK67" s="146"/>
      <c r="AL67" s="146"/>
      <c r="AM67" s="146"/>
      <c r="AN67" s="146"/>
      <c r="AO67" s="146"/>
      <c r="AP67" s="145">
        <f>IF(OR($BD67="",$AW67=""),"",$BD67-$AW67)</f>
        <v>46596</v>
      </c>
      <c r="AQ67" s="145"/>
      <c r="AR67" s="145"/>
      <c r="AS67" s="145"/>
      <c r="AT67" s="145"/>
      <c r="AU67" s="145"/>
      <c r="AV67" s="145"/>
      <c r="AW67" s="146">
        <f>IF($B67="","",Std_Vorlauf_Inhalt)</f>
        <v>58</v>
      </c>
      <c r="AX67" s="146"/>
      <c r="AY67" s="146"/>
      <c r="AZ67" s="146"/>
      <c r="BA67" s="146"/>
      <c r="BB67" s="146"/>
      <c r="BC67" s="146"/>
      <c r="BD67" s="147">
        <v>46654</v>
      </c>
      <c r="BE67" s="147"/>
      <c r="BF67" s="147"/>
      <c r="BG67" s="147"/>
      <c r="BH67" s="147"/>
      <c r="BI67" s="147"/>
      <c r="BJ67" s="147"/>
      <c r="BK67" s="147"/>
      <c r="BL67" s="147"/>
      <c r="BM67" s="148"/>
      <c r="BN67" s="148"/>
      <c r="BO67" s="148"/>
      <c r="BP67" s="148"/>
      <c r="BQ67" s="148"/>
      <c r="BR67" s="148"/>
      <c r="BS67" s="148"/>
      <c r="BT67" s="148"/>
      <c r="BU67" s="149" t="s">
        <v>93</v>
      </c>
      <c r="BV67" s="149"/>
      <c r="BW67" s="149"/>
      <c r="BX67" s="149"/>
      <c r="BY67" s="149"/>
      <c r="BZ67" s="149"/>
      <c r="CA67" s="149"/>
      <c r="CB67" s="149"/>
      <c r="CC67" s="149"/>
      <c r="CD67" s="149"/>
      <c r="CE67" s="149"/>
      <c r="CF67" s="149"/>
      <c r="CG67" s="149"/>
      <c r="CH67" s="149"/>
      <c r="CI67" s="149"/>
      <c r="CJ67" s="149"/>
      <c r="CK67" s="149"/>
      <c r="CL67" s="149"/>
      <c r="CM67" s="149"/>
      <c r="CN67" s="149"/>
    </row>
    <row r="68" ht="18" customHeight="1">
      <c r="B68" s="143" t="s">
        <v>100</v>
      </c>
      <c r="C68" s="143"/>
      <c r="D68" s="143"/>
      <c r="E68" s="143"/>
      <c r="F68" s="143"/>
      <c r="G68" s="143"/>
      <c r="H68" s="143"/>
      <c r="I68" s="143"/>
      <c r="J68" s="143"/>
      <c r="K68" s="143"/>
      <c r="L68" s="143"/>
      <c r="M68" s="143"/>
      <c r="N68" s="143"/>
      <c r="O68" s="143"/>
      <c r="P68" s="143"/>
      <c r="Q68" s="143"/>
      <c r="R68" s="143"/>
      <c r="S68" s="143"/>
      <c r="T68" s="143"/>
      <c r="U68" s="143"/>
      <c r="V68" s="144"/>
      <c r="W68" s="144"/>
      <c r="X68" s="144"/>
      <c r="Y68" s="144"/>
      <c r="Z68" s="145">
        <f>IF(OR($BD68="",$AI68=""),"",$BD68-$AI68)</f>
        <v>46592</v>
      </c>
      <c r="AA68" s="145"/>
      <c r="AB68" s="145"/>
      <c r="AC68" s="145"/>
      <c r="AD68" s="145"/>
      <c r="AE68" s="145"/>
      <c r="AF68" s="145"/>
      <c r="AG68" s="145"/>
      <c r="AH68" s="145"/>
      <c r="AI68" s="146">
        <f>IF($B68="","",Std_Vorlauf_Sel)</f>
        <v>76</v>
      </c>
      <c r="AJ68" s="146"/>
      <c r="AK68" s="146"/>
      <c r="AL68" s="146"/>
      <c r="AM68" s="146"/>
      <c r="AN68" s="146"/>
      <c r="AO68" s="146"/>
      <c r="AP68" s="145">
        <f>IF(OR($BD68="",$AW68=""),"",$BD68-$AW68)</f>
        <v>46610</v>
      </c>
      <c r="AQ68" s="145"/>
      <c r="AR68" s="145"/>
      <c r="AS68" s="145"/>
      <c r="AT68" s="145"/>
      <c r="AU68" s="145"/>
      <c r="AV68" s="145"/>
      <c r="AW68" s="146">
        <f>IF($B68="","",Std_Vorlauf_Inhalt)</f>
        <v>58</v>
      </c>
      <c r="AX68" s="146"/>
      <c r="AY68" s="146"/>
      <c r="AZ68" s="146"/>
      <c r="BA68" s="146"/>
      <c r="BB68" s="146"/>
      <c r="BC68" s="146"/>
      <c r="BD68" s="147">
        <v>46668</v>
      </c>
      <c r="BE68" s="147"/>
      <c r="BF68" s="147"/>
      <c r="BG68" s="147"/>
      <c r="BH68" s="147"/>
      <c r="BI68" s="147"/>
      <c r="BJ68" s="147"/>
      <c r="BK68" s="147"/>
      <c r="BL68" s="147"/>
      <c r="BM68" s="148" t="s">
        <v>96</v>
      </c>
      <c r="BN68" s="148"/>
      <c r="BO68" s="148"/>
      <c r="BP68" s="148"/>
      <c r="BQ68" s="148"/>
      <c r="BR68" s="148"/>
      <c r="BS68" s="148"/>
      <c r="BT68" s="148"/>
      <c r="BU68" s="149" t="s">
        <v>101</v>
      </c>
      <c r="BV68" s="149"/>
      <c r="BW68" s="149"/>
      <c r="BX68" s="149"/>
      <c r="BY68" s="149"/>
      <c r="BZ68" s="149"/>
      <c r="CA68" s="149"/>
      <c r="CB68" s="149"/>
      <c r="CC68" s="149"/>
      <c r="CD68" s="149"/>
      <c r="CE68" s="149"/>
      <c r="CF68" s="149"/>
      <c r="CG68" s="149"/>
      <c r="CH68" s="149"/>
      <c r="CI68" s="149"/>
      <c r="CJ68" s="149"/>
      <c r="CK68" s="149"/>
      <c r="CL68" s="149"/>
      <c r="CM68" s="149"/>
      <c r="CN68" s="149"/>
    </row>
    <row r="69" ht="18" customHeight="1">
      <c r="B69" s="143" t="s">
        <v>102</v>
      </c>
      <c r="C69" s="143"/>
      <c r="D69" s="143"/>
      <c r="E69" s="143"/>
      <c r="F69" s="143"/>
      <c r="G69" s="143"/>
      <c r="H69" s="143"/>
      <c r="I69" s="143"/>
      <c r="J69" s="143"/>
      <c r="K69" s="143"/>
      <c r="L69" s="143"/>
      <c r="M69" s="143"/>
      <c r="N69" s="143"/>
      <c r="O69" s="143"/>
      <c r="P69" s="143"/>
      <c r="Q69" s="143"/>
      <c r="R69" s="143"/>
      <c r="S69" s="143"/>
      <c r="T69" s="143"/>
      <c r="U69" s="143"/>
      <c r="V69" s="144"/>
      <c r="W69" s="144"/>
      <c r="X69" s="144"/>
      <c r="Y69" s="144"/>
      <c r="Z69" s="145">
        <f>IF(OR($BD69="",$AI69=""),"",$BD69-$AI69)</f>
        <v>46606</v>
      </c>
      <c r="AA69" s="145"/>
      <c r="AB69" s="145"/>
      <c r="AC69" s="145"/>
      <c r="AD69" s="145"/>
      <c r="AE69" s="145"/>
      <c r="AF69" s="145"/>
      <c r="AG69" s="145"/>
      <c r="AH69" s="145"/>
      <c r="AI69" s="146">
        <f>IF($B69="","",Std_Vorlauf_Sel)</f>
        <v>76</v>
      </c>
      <c r="AJ69" s="146"/>
      <c r="AK69" s="146"/>
      <c r="AL69" s="146"/>
      <c r="AM69" s="146"/>
      <c r="AN69" s="146"/>
      <c r="AO69" s="146"/>
      <c r="AP69" s="145">
        <f>IF(OR($BD69="",$AW69=""),"",$BD69-$AW69)</f>
        <v>46624</v>
      </c>
      <c r="AQ69" s="145"/>
      <c r="AR69" s="145"/>
      <c r="AS69" s="145"/>
      <c r="AT69" s="145"/>
      <c r="AU69" s="145"/>
      <c r="AV69" s="145"/>
      <c r="AW69" s="146">
        <f>IF($B69="","",Std_Vorlauf_Inhalt)</f>
        <v>58</v>
      </c>
      <c r="AX69" s="146"/>
      <c r="AY69" s="146"/>
      <c r="AZ69" s="146"/>
      <c r="BA69" s="146"/>
      <c r="BB69" s="146"/>
      <c r="BC69" s="146"/>
      <c r="BD69" s="147">
        <v>46682</v>
      </c>
      <c r="BE69" s="147"/>
      <c r="BF69" s="147"/>
      <c r="BG69" s="147"/>
      <c r="BH69" s="147"/>
      <c r="BI69" s="147"/>
      <c r="BJ69" s="147"/>
      <c r="BK69" s="147"/>
      <c r="BL69" s="147"/>
      <c r="BM69" s="148"/>
      <c r="BN69" s="148"/>
      <c r="BO69" s="148"/>
      <c r="BP69" s="148"/>
      <c r="BQ69" s="148"/>
      <c r="BR69" s="148"/>
      <c r="BS69" s="148"/>
      <c r="BT69" s="148"/>
      <c r="BU69" s="149" t="s">
        <v>93</v>
      </c>
      <c r="BV69" s="149"/>
      <c r="BW69" s="149"/>
      <c r="BX69" s="149"/>
      <c r="BY69" s="149"/>
      <c r="BZ69" s="149"/>
      <c r="CA69" s="149"/>
      <c r="CB69" s="149"/>
      <c r="CC69" s="149"/>
      <c r="CD69" s="149"/>
      <c r="CE69" s="149"/>
      <c r="CF69" s="149"/>
      <c r="CG69" s="149"/>
      <c r="CH69" s="149"/>
      <c r="CI69" s="149"/>
      <c r="CJ69" s="149"/>
      <c r="CK69" s="149"/>
      <c r="CL69" s="149"/>
      <c r="CM69" s="149"/>
      <c r="CN69" s="149"/>
    </row>
    <row r="70" ht="18" customHeight="1">
      <c r="B70" s="143" t="s">
        <v>58</v>
      </c>
      <c r="C70" s="143"/>
      <c r="D70" s="143"/>
      <c r="E70" s="143"/>
      <c r="F70" s="143"/>
      <c r="G70" s="143"/>
      <c r="H70" s="143"/>
      <c r="I70" s="143"/>
      <c r="J70" s="143"/>
      <c r="K70" s="143"/>
      <c r="L70" s="143"/>
      <c r="M70" s="143"/>
      <c r="N70" s="143"/>
      <c r="O70" s="143"/>
      <c r="P70" s="143"/>
      <c r="Q70" s="143"/>
      <c r="R70" s="143"/>
      <c r="S70" s="143"/>
      <c r="T70" s="143"/>
      <c r="U70" s="143"/>
      <c r="V70" s="144"/>
      <c r="W70" s="144"/>
      <c r="X70" s="144"/>
      <c r="Y70" s="144"/>
      <c r="Z70" s="145">
        <f>IF(OR($BD70="",$AI70=""),"",$BD70-$AI70)</f>
        <v>46641</v>
      </c>
      <c r="AA70" s="145"/>
      <c r="AB70" s="145"/>
      <c r="AC70" s="145"/>
      <c r="AD70" s="145"/>
      <c r="AE70" s="145"/>
      <c r="AF70" s="145"/>
      <c r="AG70" s="145"/>
      <c r="AH70" s="145"/>
      <c r="AI70" s="146">
        <f>IF($B70="","",Std_Vorlauf_Sel)</f>
        <v>76</v>
      </c>
      <c r="AJ70" s="146"/>
      <c r="AK70" s="146"/>
      <c r="AL70" s="146"/>
      <c r="AM70" s="146"/>
      <c r="AN70" s="146"/>
      <c r="AO70" s="146"/>
      <c r="AP70" s="145">
        <f>IF(OR($BD70="",$AW70=""),"",$BD70-$AW70)</f>
        <v>46659</v>
      </c>
      <c r="AQ70" s="145"/>
      <c r="AR70" s="145"/>
      <c r="AS70" s="145"/>
      <c r="AT70" s="145"/>
      <c r="AU70" s="145"/>
      <c r="AV70" s="145"/>
      <c r="AW70" s="146">
        <f>IF($B70="","",Std_Vorlauf_Inhalt)</f>
        <v>58</v>
      </c>
      <c r="AX70" s="146"/>
      <c r="AY70" s="146"/>
      <c r="AZ70" s="146"/>
      <c r="BA70" s="146"/>
      <c r="BB70" s="146"/>
      <c r="BC70" s="146"/>
      <c r="BD70" s="147">
        <v>46717</v>
      </c>
      <c r="BE70" s="147"/>
      <c r="BF70" s="147"/>
      <c r="BG70" s="147"/>
      <c r="BH70" s="147"/>
      <c r="BI70" s="147"/>
      <c r="BJ70" s="147"/>
      <c r="BK70" s="147"/>
      <c r="BL70" s="147"/>
      <c r="BM70" s="148" t="s">
        <v>96</v>
      </c>
      <c r="BN70" s="148"/>
      <c r="BO70" s="148"/>
      <c r="BP70" s="148"/>
      <c r="BQ70" s="148"/>
      <c r="BR70" s="148"/>
      <c r="BS70" s="148"/>
      <c r="BT70" s="148"/>
      <c r="BU70" s="149" t="s">
        <v>103</v>
      </c>
      <c r="BV70" s="149"/>
      <c r="BW70" s="149"/>
      <c r="BX70" s="149"/>
      <c r="BY70" s="149"/>
      <c r="BZ70" s="149"/>
      <c r="CA70" s="149"/>
      <c r="CB70" s="149"/>
      <c r="CC70" s="149"/>
      <c r="CD70" s="149"/>
      <c r="CE70" s="149"/>
      <c r="CF70" s="149"/>
      <c r="CG70" s="149"/>
      <c r="CH70" s="149"/>
      <c r="CI70" s="149"/>
      <c r="CJ70" s="149"/>
      <c r="CK70" s="149"/>
      <c r="CL70" s="149"/>
      <c r="CM70" s="149"/>
      <c r="CN70" s="149"/>
    </row>
    <row r="71" ht="18" customHeight="1">
      <c r="B71" s="143" t="s">
        <v>104</v>
      </c>
      <c r="C71" s="143"/>
      <c r="D71" s="143"/>
      <c r="E71" s="143"/>
      <c r="F71" s="143"/>
      <c r="G71" s="143"/>
      <c r="H71" s="143"/>
      <c r="I71" s="143"/>
      <c r="J71" s="143"/>
      <c r="K71" s="143"/>
      <c r="L71" s="143"/>
      <c r="M71" s="143"/>
      <c r="N71" s="143"/>
      <c r="O71" s="143"/>
      <c r="P71" s="143"/>
      <c r="Q71" s="143"/>
      <c r="R71" s="143"/>
      <c r="S71" s="143"/>
      <c r="T71" s="143"/>
      <c r="U71" s="143"/>
      <c r="V71" s="144"/>
      <c r="W71" s="144"/>
      <c r="X71" s="144"/>
      <c r="Y71" s="144"/>
      <c r="Z71" s="145">
        <f>IF(OR($BD71="",$AI71=""),"",$BD71-$AI71)</f>
        <v>46655</v>
      </c>
      <c r="AA71" s="145"/>
      <c r="AB71" s="145"/>
      <c r="AC71" s="145"/>
      <c r="AD71" s="145"/>
      <c r="AE71" s="145"/>
      <c r="AF71" s="145"/>
      <c r="AG71" s="145"/>
      <c r="AH71" s="145"/>
      <c r="AI71" s="146">
        <f>IF($B71="","",Std_Vorlauf_Sel)</f>
        <v>76</v>
      </c>
      <c r="AJ71" s="146"/>
      <c r="AK71" s="146"/>
      <c r="AL71" s="146"/>
      <c r="AM71" s="146"/>
      <c r="AN71" s="146"/>
      <c r="AO71" s="146"/>
      <c r="AP71" s="145">
        <f>IF(OR($BD71="",$AW71=""),"",$BD71-$AW71)</f>
        <v>46673</v>
      </c>
      <c r="AQ71" s="145"/>
      <c r="AR71" s="145"/>
      <c r="AS71" s="145"/>
      <c r="AT71" s="145"/>
      <c r="AU71" s="145"/>
      <c r="AV71" s="145"/>
      <c r="AW71" s="146">
        <f>IF($B71="","",Std_Vorlauf_Inhalt)</f>
        <v>58</v>
      </c>
      <c r="AX71" s="146"/>
      <c r="AY71" s="146"/>
      <c r="AZ71" s="146"/>
      <c r="BA71" s="146"/>
      <c r="BB71" s="146"/>
      <c r="BC71" s="146"/>
      <c r="BD71" s="147">
        <v>46731</v>
      </c>
      <c r="BE71" s="147"/>
      <c r="BF71" s="147"/>
      <c r="BG71" s="147"/>
      <c r="BH71" s="147"/>
      <c r="BI71" s="147"/>
      <c r="BJ71" s="147"/>
      <c r="BK71" s="147"/>
      <c r="BL71" s="147"/>
      <c r="BM71" s="148"/>
      <c r="BN71" s="148"/>
      <c r="BO71" s="148"/>
      <c r="BP71" s="148"/>
      <c r="BQ71" s="148"/>
      <c r="BR71" s="148"/>
      <c r="BS71" s="148"/>
      <c r="BT71" s="148"/>
      <c r="BU71" s="149" t="s">
        <v>93</v>
      </c>
      <c r="BV71" s="149"/>
      <c r="BW71" s="149"/>
      <c r="BX71" s="149"/>
      <c r="BY71" s="149"/>
      <c r="BZ71" s="149"/>
      <c r="CA71" s="149"/>
      <c r="CB71" s="149"/>
      <c r="CC71" s="149"/>
      <c r="CD71" s="149"/>
      <c r="CE71" s="149"/>
      <c r="CF71" s="149"/>
      <c r="CG71" s="149"/>
      <c r="CH71" s="149"/>
      <c r="CI71" s="149"/>
      <c r="CJ71" s="149"/>
      <c r="CK71" s="149"/>
      <c r="CL71" s="149"/>
      <c r="CM71" s="149"/>
      <c r="CN71" s="149"/>
    </row>
    <row r="72" ht="18" customHeight="1">
      <c r="B72" s="143"/>
      <c r="C72" s="143"/>
      <c r="D72" s="143"/>
      <c r="E72" s="143"/>
      <c r="F72" s="143"/>
      <c r="G72" s="143"/>
      <c r="H72" s="143"/>
      <c r="I72" s="143"/>
      <c r="J72" s="143"/>
      <c r="K72" s="143"/>
      <c r="L72" s="143"/>
      <c r="M72" s="143"/>
      <c r="N72" s="143"/>
      <c r="O72" s="143"/>
      <c r="P72" s="143"/>
      <c r="Q72" s="143"/>
      <c r="R72" s="143"/>
      <c r="S72" s="143"/>
      <c r="T72" s="143"/>
      <c r="U72" s="143"/>
      <c r="V72" s="144"/>
      <c r="W72" s="144"/>
      <c r="X72" s="144"/>
      <c r="Y72" s="144"/>
      <c r="Z72" s="145" t="str">
        <f>IF(OR($BD72="",$AI72=""),"",$BD72-$AI72)</f>
        <v/>
      </c>
      <c r="AA72" s="145"/>
      <c r="AB72" s="145"/>
      <c r="AC72" s="145"/>
      <c r="AD72" s="145"/>
      <c r="AE72" s="145"/>
      <c r="AF72" s="145"/>
      <c r="AG72" s="145"/>
      <c r="AH72" s="145"/>
      <c r="AI72" s="146" t="str">
        <f>IF($B72="","",Std_Vorlauf_Sel)</f>
        <v/>
      </c>
      <c r="AJ72" s="146"/>
      <c r="AK72" s="146"/>
      <c r="AL72" s="146"/>
      <c r="AM72" s="146"/>
      <c r="AN72" s="146"/>
      <c r="AO72" s="146"/>
      <c r="AP72" s="145" t="str">
        <f>IF(OR($BD72="",$AW72=""),"",$BD72-$AW72)</f>
        <v/>
      </c>
      <c r="AQ72" s="145"/>
      <c r="AR72" s="145"/>
      <c r="AS72" s="145"/>
      <c r="AT72" s="145"/>
      <c r="AU72" s="145"/>
      <c r="AV72" s="145"/>
      <c r="AW72" s="146" t="str">
        <f>IF($B72="","",Std_Vorlauf_Inhalt)</f>
        <v/>
      </c>
      <c r="AX72" s="146"/>
      <c r="AY72" s="146"/>
      <c r="AZ72" s="146"/>
      <c r="BA72" s="146"/>
      <c r="BB72" s="146"/>
      <c r="BC72" s="146"/>
      <c r="BD72" s="147"/>
      <c r="BE72" s="147"/>
      <c r="BF72" s="147"/>
      <c r="BG72" s="147"/>
      <c r="BH72" s="147"/>
      <c r="BI72" s="147"/>
      <c r="BJ72" s="147"/>
      <c r="BK72" s="147"/>
      <c r="BL72" s="147"/>
      <c r="BM72" s="148"/>
      <c r="BN72" s="148"/>
      <c r="BO72" s="148"/>
      <c r="BP72" s="148"/>
      <c r="BQ72" s="148"/>
      <c r="BR72" s="148"/>
      <c r="BS72" s="148"/>
      <c r="BT72" s="148"/>
      <c r="BU72" s="149"/>
      <c r="BV72" s="149"/>
      <c r="BW72" s="149"/>
      <c r="BX72" s="149"/>
      <c r="BY72" s="149"/>
      <c r="BZ72" s="149"/>
      <c r="CA72" s="149"/>
      <c r="CB72" s="149"/>
      <c r="CC72" s="149"/>
      <c r="CD72" s="149"/>
      <c r="CE72" s="149"/>
      <c r="CF72" s="149"/>
      <c r="CG72" s="149"/>
      <c r="CH72" s="149"/>
      <c r="CI72" s="149"/>
      <c r="CJ72" s="149"/>
      <c r="CK72" s="149"/>
      <c r="CL72" s="149"/>
      <c r="CM72" s="149"/>
      <c r="CN72" s="149"/>
    </row>
    <row r="73" ht="18" customHeight="1">
      <c r="B73" s="143"/>
      <c r="C73" s="143"/>
      <c r="D73" s="143"/>
      <c r="E73" s="143"/>
      <c r="F73" s="143"/>
      <c r="G73" s="143"/>
      <c r="H73" s="143"/>
      <c r="I73" s="143"/>
      <c r="J73" s="143"/>
      <c r="K73" s="143"/>
      <c r="L73" s="143"/>
      <c r="M73" s="143"/>
      <c r="N73" s="143"/>
      <c r="O73" s="143"/>
      <c r="P73" s="143"/>
      <c r="Q73" s="143"/>
      <c r="R73" s="143"/>
      <c r="S73" s="143"/>
      <c r="T73" s="143"/>
      <c r="U73" s="143"/>
      <c r="V73" s="144"/>
      <c r="W73" s="144"/>
      <c r="X73" s="144"/>
      <c r="Y73" s="144"/>
      <c r="Z73" s="145" t="str">
        <f>IF(OR($BD73="",$AI73=""),"",$BD73-$AI73)</f>
        <v/>
      </c>
      <c r="AA73" s="145"/>
      <c r="AB73" s="145"/>
      <c r="AC73" s="145"/>
      <c r="AD73" s="145"/>
      <c r="AE73" s="145"/>
      <c r="AF73" s="145"/>
      <c r="AG73" s="145"/>
      <c r="AH73" s="145"/>
      <c r="AI73" s="146" t="str">
        <f>IF($B73="","",Std_Vorlauf_Sel)</f>
        <v/>
      </c>
      <c r="AJ73" s="146"/>
      <c r="AK73" s="146"/>
      <c r="AL73" s="146"/>
      <c r="AM73" s="146"/>
      <c r="AN73" s="146"/>
      <c r="AO73" s="146"/>
      <c r="AP73" s="145" t="str">
        <f>IF(OR($BD73="",$AW73=""),"",$BD73-$AW73)</f>
        <v/>
      </c>
      <c r="AQ73" s="145"/>
      <c r="AR73" s="145"/>
      <c r="AS73" s="145"/>
      <c r="AT73" s="145"/>
      <c r="AU73" s="145"/>
      <c r="AV73" s="145"/>
      <c r="AW73" s="146" t="str">
        <f>IF($B73="","",Std_Vorlauf_Inhalt)</f>
        <v/>
      </c>
      <c r="AX73" s="146"/>
      <c r="AY73" s="146"/>
      <c r="AZ73" s="146"/>
      <c r="BA73" s="146"/>
      <c r="BB73" s="146"/>
      <c r="BC73" s="146"/>
      <c r="BD73" s="147"/>
      <c r="BE73" s="147"/>
      <c r="BF73" s="147"/>
      <c r="BG73" s="147"/>
      <c r="BH73" s="147"/>
      <c r="BI73" s="147"/>
      <c r="BJ73" s="147"/>
      <c r="BK73" s="147"/>
      <c r="BL73" s="147"/>
      <c r="BM73" s="148"/>
      <c r="BN73" s="148"/>
      <c r="BO73" s="148"/>
      <c r="BP73" s="148"/>
      <c r="BQ73" s="148"/>
      <c r="BR73" s="148"/>
      <c r="BS73" s="148"/>
      <c r="BT73" s="148"/>
      <c r="BU73" s="149"/>
      <c r="BV73" s="149"/>
      <c r="BW73" s="149"/>
      <c r="BX73" s="149"/>
      <c r="BY73" s="149"/>
      <c r="BZ73" s="149"/>
      <c r="CA73" s="149"/>
      <c r="CB73" s="149"/>
      <c r="CC73" s="149"/>
      <c r="CD73" s="149"/>
      <c r="CE73" s="149"/>
      <c r="CF73" s="149"/>
      <c r="CG73" s="149"/>
      <c r="CH73" s="149"/>
      <c r="CI73" s="149"/>
      <c r="CJ73" s="149"/>
      <c r="CK73" s="149"/>
      <c r="CL73" s="149"/>
      <c r="CM73" s="149"/>
      <c r="CN73" s="149"/>
    </row>
    <row r="74" ht="18" customHeight="1">
      <c r="B74" s="143"/>
      <c r="C74" s="143"/>
      <c r="D74" s="143"/>
      <c r="E74" s="143"/>
      <c r="F74" s="143"/>
      <c r="G74" s="143"/>
      <c r="H74" s="143"/>
      <c r="I74" s="143"/>
      <c r="J74" s="143"/>
      <c r="K74" s="143"/>
      <c r="L74" s="143"/>
      <c r="M74" s="143"/>
      <c r="N74" s="143"/>
      <c r="O74" s="143"/>
      <c r="P74" s="143"/>
      <c r="Q74" s="143"/>
      <c r="R74" s="143"/>
      <c r="S74" s="143"/>
      <c r="T74" s="143"/>
      <c r="U74" s="143"/>
      <c r="V74" s="144"/>
      <c r="W74" s="144"/>
      <c r="X74" s="144"/>
      <c r="Y74" s="144"/>
      <c r="Z74" s="145" t="str">
        <f>IF(OR($BD74="",$AI74=""),"",$BD74-$AI74)</f>
        <v/>
      </c>
      <c r="AA74" s="145"/>
      <c r="AB74" s="145"/>
      <c r="AC74" s="145"/>
      <c r="AD74" s="145"/>
      <c r="AE74" s="145"/>
      <c r="AF74" s="145"/>
      <c r="AG74" s="145"/>
      <c r="AH74" s="145"/>
      <c r="AI74" s="146" t="str">
        <f>IF($B74="","",Std_Vorlauf_Sel)</f>
        <v/>
      </c>
      <c r="AJ74" s="146"/>
      <c r="AK74" s="146"/>
      <c r="AL74" s="146"/>
      <c r="AM74" s="146"/>
      <c r="AN74" s="146"/>
      <c r="AO74" s="146"/>
      <c r="AP74" s="145" t="str">
        <f>IF(OR($BD74="",$AW74=""),"",$BD74-$AW74)</f>
        <v/>
      </c>
      <c r="AQ74" s="145"/>
      <c r="AR74" s="145"/>
      <c r="AS74" s="145"/>
      <c r="AT74" s="145"/>
      <c r="AU74" s="145"/>
      <c r="AV74" s="145"/>
      <c r="AW74" s="146" t="str">
        <f>IF($B74="","",Std_Vorlauf_Inhalt)</f>
        <v/>
      </c>
      <c r="AX74" s="146"/>
      <c r="AY74" s="146"/>
      <c r="AZ74" s="146"/>
      <c r="BA74" s="146"/>
      <c r="BB74" s="146"/>
      <c r="BC74" s="146"/>
      <c r="BD74" s="147"/>
      <c r="BE74" s="147"/>
      <c r="BF74" s="147"/>
      <c r="BG74" s="147"/>
      <c r="BH74" s="147"/>
      <c r="BI74" s="147"/>
      <c r="BJ74" s="147"/>
      <c r="BK74" s="147"/>
      <c r="BL74" s="147"/>
      <c r="BM74" s="148"/>
      <c r="BN74" s="148"/>
      <c r="BO74" s="148"/>
      <c r="BP74" s="148"/>
      <c r="BQ74" s="148"/>
      <c r="BR74" s="148"/>
      <c r="BS74" s="148"/>
      <c r="BT74" s="148"/>
      <c r="BU74" s="149"/>
      <c r="BV74" s="149"/>
      <c r="BW74" s="149"/>
      <c r="BX74" s="149"/>
      <c r="BY74" s="149"/>
      <c r="BZ74" s="149"/>
      <c r="CA74" s="149"/>
      <c r="CB74" s="149"/>
      <c r="CC74" s="149"/>
      <c r="CD74" s="149"/>
      <c r="CE74" s="149"/>
      <c r="CF74" s="149"/>
      <c r="CG74" s="149"/>
      <c r="CH74" s="149"/>
      <c r="CI74" s="149"/>
      <c r="CJ74" s="149"/>
      <c r="CK74" s="149"/>
      <c r="CL74" s="149"/>
      <c r="CM74" s="149"/>
      <c r="CN74" s="149"/>
    </row>
    <row r="75" ht="18" customHeight="1">
      <c r="B75" s="143"/>
      <c r="C75" s="143"/>
      <c r="D75" s="143"/>
      <c r="E75" s="143"/>
      <c r="F75" s="143"/>
      <c r="G75" s="143"/>
      <c r="H75" s="143"/>
      <c r="I75" s="143"/>
      <c r="J75" s="143"/>
      <c r="K75" s="143"/>
      <c r="L75" s="143"/>
      <c r="M75" s="143"/>
      <c r="N75" s="143"/>
      <c r="O75" s="143"/>
      <c r="P75" s="143"/>
      <c r="Q75" s="143"/>
      <c r="R75" s="143"/>
      <c r="S75" s="143"/>
      <c r="T75" s="143"/>
      <c r="U75" s="143"/>
      <c r="V75" s="144"/>
      <c r="W75" s="144"/>
      <c r="X75" s="144"/>
      <c r="Y75" s="144"/>
      <c r="Z75" s="145" t="str">
        <f>IF(OR($BD75="",$AI75=""),"",$BD75-$AI75)</f>
        <v/>
      </c>
      <c r="AA75" s="145"/>
      <c r="AB75" s="145"/>
      <c r="AC75" s="145"/>
      <c r="AD75" s="145"/>
      <c r="AE75" s="145"/>
      <c r="AF75" s="145"/>
      <c r="AG75" s="145"/>
      <c r="AH75" s="145"/>
      <c r="AI75" s="146" t="str">
        <f>IF($B75="","",Std_Vorlauf_Sel)</f>
        <v/>
      </c>
      <c r="AJ75" s="146"/>
      <c r="AK75" s="146"/>
      <c r="AL75" s="146"/>
      <c r="AM75" s="146"/>
      <c r="AN75" s="146"/>
      <c r="AO75" s="146"/>
      <c r="AP75" s="145" t="str">
        <f>IF(OR($BD75="",$AW75=""),"",$BD75-$AW75)</f>
        <v/>
      </c>
      <c r="AQ75" s="145"/>
      <c r="AR75" s="145"/>
      <c r="AS75" s="145"/>
      <c r="AT75" s="145"/>
      <c r="AU75" s="145"/>
      <c r="AV75" s="145"/>
      <c r="AW75" s="146" t="str">
        <f>IF($B75="","",Std_Vorlauf_Inhalt)</f>
        <v/>
      </c>
      <c r="AX75" s="146"/>
      <c r="AY75" s="146"/>
      <c r="AZ75" s="146"/>
      <c r="BA75" s="146"/>
      <c r="BB75" s="146"/>
      <c r="BC75" s="146"/>
      <c r="BD75" s="147"/>
      <c r="BE75" s="147"/>
      <c r="BF75" s="147"/>
      <c r="BG75" s="147"/>
      <c r="BH75" s="147"/>
      <c r="BI75" s="147"/>
      <c r="BJ75" s="147"/>
      <c r="BK75" s="147"/>
      <c r="BL75" s="147"/>
      <c r="BM75" s="148"/>
      <c r="BN75" s="148"/>
      <c r="BO75" s="148"/>
      <c r="BP75" s="148"/>
      <c r="BQ75" s="148"/>
      <c r="BR75" s="148"/>
      <c r="BS75" s="148"/>
      <c r="BT75" s="148"/>
      <c r="BU75" s="149"/>
      <c r="BV75" s="149"/>
      <c r="BW75" s="149"/>
      <c r="BX75" s="149"/>
      <c r="BY75" s="149"/>
      <c r="BZ75" s="149"/>
      <c r="CA75" s="149"/>
      <c r="CB75" s="149"/>
      <c r="CC75" s="149"/>
      <c r="CD75" s="149"/>
      <c r="CE75" s="149"/>
      <c r="CF75" s="149"/>
      <c r="CG75" s="149"/>
      <c r="CH75" s="149"/>
      <c r="CI75" s="149"/>
      <c r="CJ75" s="149"/>
      <c r="CK75" s="149"/>
      <c r="CL75" s="149"/>
      <c r="CM75" s="149"/>
      <c r="CN75" s="149"/>
    </row>
    <row r="76" ht="18" customHeight="1">
      <c r="B76" s="143"/>
      <c r="C76" s="143"/>
      <c r="D76" s="143"/>
      <c r="E76" s="143"/>
      <c r="F76" s="143"/>
      <c r="G76" s="143"/>
      <c r="H76" s="143"/>
      <c r="I76" s="143"/>
      <c r="J76" s="143"/>
      <c r="K76" s="143"/>
      <c r="L76" s="143"/>
      <c r="M76" s="143"/>
      <c r="N76" s="143"/>
      <c r="O76" s="143"/>
      <c r="P76" s="143"/>
      <c r="Q76" s="143"/>
      <c r="R76" s="143"/>
      <c r="S76" s="143"/>
      <c r="T76" s="143"/>
      <c r="U76" s="143"/>
      <c r="V76" s="144"/>
      <c r="W76" s="144"/>
      <c r="X76" s="144"/>
      <c r="Y76" s="144"/>
      <c r="Z76" s="145" t="str">
        <f>IF(OR($BD76="",$AI76=""),"",$BD76-$AI76)</f>
        <v/>
      </c>
      <c r="AA76" s="145"/>
      <c r="AB76" s="145"/>
      <c r="AC76" s="145"/>
      <c r="AD76" s="145"/>
      <c r="AE76" s="145"/>
      <c r="AF76" s="145"/>
      <c r="AG76" s="145"/>
      <c r="AH76" s="145"/>
      <c r="AI76" s="146" t="str">
        <f>IF($B76="","",Std_Vorlauf_Sel)</f>
        <v/>
      </c>
      <c r="AJ76" s="146"/>
      <c r="AK76" s="146"/>
      <c r="AL76" s="146"/>
      <c r="AM76" s="146"/>
      <c r="AN76" s="146"/>
      <c r="AO76" s="146"/>
      <c r="AP76" s="145" t="str">
        <f>IF(OR($BD76="",$AW76=""),"",$BD76-$AW76)</f>
        <v/>
      </c>
      <c r="AQ76" s="145"/>
      <c r="AR76" s="145"/>
      <c r="AS76" s="145"/>
      <c r="AT76" s="145"/>
      <c r="AU76" s="145"/>
      <c r="AV76" s="145"/>
      <c r="AW76" s="146" t="str">
        <f>IF($B76="","",Std_Vorlauf_Inhalt)</f>
        <v/>
      </c>
      <c r="AX76" s="146"/>
      <c r="AY76" s="146"/>
      <c r="AZ76" s="146"/>
      <c r="BA76" s="146"/>
      <c r="BB76" s="146"/>
      <c r="BC76" s="146"/>
      <c r="BD76" s="147"/>
      <c r="BE76" s="147"/>
      <c r="BF76" s="147"/>
      <c r="BG76" s="147"/>
      <c r="BH76" s="147"/>
      <c r="BI76" s="147"/>
      <c r="BJ76" s="147"/>
      <c r="BK76" s="147"/>
      <c r="BL76" s="147"/>
      <c r="BM76" s="148"/>
      <c r="BN76" s="148"/>
      <c r="BO76" s="148"/>
      <c r="BP76" s="148"/>
      <c r="BQ76" s="148"/>
      <c r="BR76" s="148"/>
      <c r="BS76" s="148"/>
      <c r="BT76" s="148"/>
      <c r="BU76" s="149"/>
      <c r="BV76" s="149"/>
      <c r="BW76" s="149"/>
      <c r="BX76" s="149"/>
      <c r="BY76" s="149"/>
      <c r="BZ76" s="149"/>
      <c r="CA76" s="149"/>
      <c r="CB76" s="149"/>
      <c r="CC76" s="149"/>
      <c r="CD76" s="149"/>
      <c r="CE76" s="149"/>
      <c r="CF76" s="149"/>
      <c r="CG76" s="149"/>
      <c r="CH76" s="149"/>
      <c r="CI76" s="149"/>
      <c r="CJ76" s="149"/>
      <c r="CK76" s="149"/>
      <c r="CL76" s="149"/>
      <c r="CM76" s="149"/>
      <c r="CN76" s="149"/>
    </row>
    <row r="77" ht="18" customHeight="1">
      <c r="B77" s="143"/>
      <c r="C77" s="143"/>
      <c r="D77" s="143"/>
      <c r="E77" s="143"/>
      <c r="F77" s="143"/>
      <c r="G77" s="143"/>
      <c r="H77" s="143"/>
      <c r="I77" s="143"/>
      <c r="J77" s="143"/>
      <c r="K77" s="143"/>
      <c r="L77" s="143"/>
      <c r="M77" s="143"/>
      <c r="N77" s="143"/>
      <c r="O77" s="143"/>
      <c r="P77" s="143"/>
      <c r="Q77" s="143"/>
      <c r="R77" s="143"/>
      <c r="S77" s="143"/>
      <c r="T77" s="143"/>
      <c r="U77" s="143"/>
      <c r="V77" s="144"/>
      <c r="W77" s="144"/>
      <c r="X77" s="144"/>
      <c r="Y77" s="144"/>
      <c r="Z77" s="145" t="str">
        <f>IF(OR($BD77="",$AI77=""),"",$BD77-$AI77)</f>
        <v/>
      </c>
      <c r="AA77" s="145"/>
      <c r="AB77" s="145"/>
      <c r="AC77" s="145"/>
      <c r="AD77" s="145"/>
      <c r="AE77" s="145"/>
      <c r="AF77" s="145"/>
      <c r="AG77" s="145"/>
      <c r="AH77" s="145"/>
      <c r="AI77" s="146" t="str">
        <f>IF($B77="","",Std_Vorlauf_Sel)</f>
        <v/>
      </c>
      <c r="AJ77" s="146"/>
      <c r="AK77" s="146"/>
      <c r="AL77" s="146"/>
      <c r="AM77" s="146"/>
      <c r="AN77" s="146"/>
      <c r="AO77" s="146"/>
      <c r="AP77" s="145" t="str">
        <f>IF(OR($BD77="",$AW77=""),"",$BD77-$AW77)</f>
        <v/>
      </c>
      <c r="AQ77" s="145"/>
      <c r="AR77" s="145"/>
      <c r="AS77" s="145"/>
      <c r="AT77" s="145"/>
      <c r="AU77" s="145"/>
      <c r="AV77" s="145"/>
      <c r="AW77" s="146" t="str">
        <f>IF($B77="","",Std_Vorlauf_Inhalt)</f>
        <v/>
      </c>
      <c r="AX77" s="146"/>
      <c r="AY77" s="146"/>
      <c r="AZ77" s="146"/>
      <c r="BA77" s="146"/>
      <c r="BB77" s="146"/>
      <c r="BC77" s="146"/>
      <c r="BD77" s="147"/>
      <c r="BE77" s="147"/>
      <c r="BF77" s="147"/>
      <c r="BG77" s="147"/>
      <c r="BH77" s="147"/>
      <c r="BI77" s="147"/>
      <c r="BJ77" s="147"/>
      <c r="BK77" s="147"/>
      <c r="BL77" s="147"/>
      <c r="BM77" s="148"/>
      <c r="BN77" s="148"/>
      <c r="BO77" s="148"/>
      <c r="BP77" s="148"/>
      <c r="BQ77" s="148"/>
      <c r="BR77" s="148"/>
      <c r="BS77" s="148"/>
      <c r="BT77" s="148"/>
      <c r="BU77" s="149"/>
      <c r="BV77" s="149"/>
      <c r="BW77" s="149"/>
      <c r="BX77" s="149"/>
      <c r="BY77" s="149"/>
      <c r="BZ77" s="149"/>
      <c r="CA77" s="149"/>
      <c r="CB77" s="149"/>
      <c r="CC77" s="149"/>
      <c r="CD77" s="149"/>
      <c r="CE77" s="149"/>
      <c r="CF77" s="149"/>
      <c r="CG77" s="149"/>
      <c r="CH77" s="149"/>
      <c r="CI77" s="149"/>
      <c r="CJ77" s="149"/>
      <c r="CK77" s="149"/>
      <c r="CL77" s="149"/>
      <c r="CM77" s="149"/>
      <c r="CN77" s="149"/>
    </row>
    <row r="78" ht="18" customHeight="1">
      <c r="B78" s="143"/>
      <c r="C78" s="143"/>
      <c r="D78" s="143"/>
      <c r="E78" s="143"/>
      <c r="F78" s="143"/>
      <c r="G78" s="143"/>
      <c r="H78" s="143"/>
      <c r="I78" s="143"/>
      <c r="J78" s="143"/>
      <c r="K78" s="143"/>
      <c r="L78" s="143"/>
      <c r="M78" s="143"/>
      <c r="N78" s="143"/>
      <c r="O78" s="143"/>
      <c r="P78" s="143"/>
      <c r="Q78" s="143"/>
      <c r="R78" s="143"/>
      <c r="S78" s="143"/>
      <c r="T78" s="143"/>
      <c r="U78" s="143"/>
      <c r="V78" s="144"/>
      <c r="W78" s="144"/>
      <c r="X78" s="144"/>
      <c r="Y78" s="144"/>
      <c r="Z78" s="145" t="str">
        <f>IF(OR($BD78="",$AI78=""),"",$BD78-$AI78)</f>
        <v/>
      </c>
      <c r="AA78" s="145"/>
      <c r="AB78" s="145"/>
      <c r="AC78" s="145"/>
      <c r="AD78" s="145"/>
      <c r="AE78" s="145"/>
      <c r="AF78" s="145"/>
      <c r="AG78" s="145"/>
      <c r="AH78" s="145"/>
      <c r="AI78" s="146" t="str">
        <f>IF($B78="","",Std_Vorlauf_Sel)</f>
        <v/>
      </c>
      <c r="AJ78" s="146"/>
      <c r="AK78" s="146"/>
      <c r="AL78" s="146"/>
      <c r="AM78" s="146"/>
      <c r="AN78" s="146"/>
      <c r="AO78" s="146"/>
      <c r="AP78" s="145" t="str">
        <f>IF(OR($BD78="",$AW78=""),"",$BD78-$AW78)</f>
        <v/>
      </c>
      <c r="AQ78" s="145"/>
      <c r="AR78" s="145"/>
      <c r="AS78" s="145"/>
      <c r="AT78" s="145"/>
      <c r="AU78" s="145"/>
      <c r="AV78" s="145"/>
      <c r="AW78" s="146" t="str">
        <f>IF($B78="","",Std_Vorlauf_Inhalt)</f>
        <v/>
      </c>
      <c r="AX78" s="146"/>
      <c r="AY78" s="146"/>
      <c r="AZ78" s="146"/>
      <c r="BA78" s="146"/>
      <c r="BB78" s="146"/>
      <c r="BC78" s="146"/>
      <c r="BD78" s="147"/>
      <c r="BE78" s="147"/>
      <c r="BF78" s="147"/>
      <c r="BG78" s="147"/>
      <c r="BH78" s="147"/>
      <c r="BI78" s="147"/>
      <c r="BJ78" s="147"/>
      <c r="BK78" s="147"/>
      <c r="BL78" s="147"/>
      <c r="BM78" s="148"/>
      <c r="BN78" s="148"/>
      <c r="BO78" s="148"/>
      <c r="BP78" s="148"/>
      <c r="BQ78" s="148"/>
      <c r="BR78" s="148"/>
      <c r="BS78" s="148"/>
      <c r="BT78" s="148"/>
      <c r="BU78" s="149"/>
      <c r="BV78" s="149"/>
      <c r="BW78" s="149"/>
      <c r="BX78" s="149"/>
      <c r="BY78" s="149"/>
      <c r="BZ78" s="149"/>
      <c r="CA78" s="149"/>
      <c r="CB78" s="149"/>
      <c r="CC78" s="149"/>
      <c r="CD78" s="149"/>
      <c r="CE78" s="149"/>
      <c r="CF78" s="149"/>
      <c r="CG78" s="149"/>
      <c r="CH78" s="149"/>
      <c r="CI78" s="149"/>
      <c r="CJ78" s="149"/>
      <c r="CK78" s="149"/>
      <c r="CL78" s="149"/>
      <c r="CM78" s="149"/>
      <c r="CN78" s="149"/>
    </row>
    <row r="79" ht="18" customHeight="1">
      <c r="B79" s="143"/>
      <c r="C79" s="143"/>
      <c r="D79" s="143"/>
      <c r="E79" s="143"/>
      <c r="F79" s="143"/>
      <c r="G79" s="143"/>
      <c r="H79" s="143"/>
      <c r="I79" s="143"/>
      <c r="J79" s="143"/>
      <c r="K79" s="143"/>
      <c r="L79" s="143"/>
      <c r="M79" s="143"/>
      <c r="N79" s="143"/>
      <c r="O79" s="143"/>
      <c r="P79" s="143"/>
      <c r="Q79" s="143"/>
      <c r="R79" s="143"/>
      <c r="S79" s="143"/>
      <c r="T79" s="143"/>
      <c r="U79" s="143"/>
      <c r="V79" s="144"/>
      <c r="W79" s="144"/>
      <c r="X79" s="144"/>
      <c r="Y79" s="144"/>
      <c r="Z79" s="145" t="str">
        <f>IF(OR($BD79="",$AI79=""),"",$BD79-$AI79)</f>
        <v/>
      </c>
      <c r="AA79" s="145"/>
      <c r="AB79" s="145"/>
      <c r="AC79" s="145"/>
      <c r="AD79" s="145"/>
      <c r="AE79" s="145"/>
      <c r="AF79" s="145"/>
      <c r="AG79" s="145"/>
      <c r="AH79" s="145"/>
      <c r="AI79" s="146" t="str">
        <f>IF($B79="","",Std_Vorlauf_Sel)</f>
        <v/>
      </c>
      <c r="AJ79" s="146"/>
      <c r="AK79" s="146"/>
      <c r="AL79" s="146"/>
      <c r="AM79" s="146"/>
      <c r="AN79" s="146"/>
      <c r="AO79" s="146"/>
      <c r="AP79" s="145" t="str">
        <f>IF(OR($BD79="",$AW79=""),"",$BD79-$AW79)</f>
        <v/>
      </c>
      <c r="AQ79" s="145"/>
      <c r="AR79" s="145"/>
      <c r="AS79" s="145"/>
      <c r="AT79" s="145"/>
      <c r="AU79" s="145"/>
      <c r="AV79" s="145"/>
      <c r="AW79" s="146" t="str">
        <f>IF($B79="","",Std_Vorlauf_Inhalt)</f>
        <v/>
      </c>
      <c r="AX79" s="146"/>
      <c r="AY79" s="146"/>
      <c r="AZ79" s="146"/>
      <c r="BA79" s="146"/>
      <c r="BB79" s="146"/>
      <c r="BC79" s="146"/>
      <c r="BD79" s="147"/>
      <c r="BE79" s="147"/>
      <c r="BF79" s="147"/>
      <c r="BG79" s="147"/>
      <c r="BH79" s="147"/>
      <c r="BI79" s="147"/>
      <c r="BJ79" s="147"/>
      <c r="BK79" s="147"/>
      <c r="BL79" s="147"/>
      <c r="BM79" s="148"/>
      <c r="BN79" s="148"/>
      <c r="BO79" s="148"/>
      <c r="BP79" s="148"/>
      <c r="BQ79" s="148"/>
      <c r="BR79" s="148"/>
      <c r="BS79" s="148"/>
      <c r="BT79" s="148"/>
      <c r="BU79" s="149"/>
      <c r="BV79" s="149"/>
      <c r="BW79" s="149"/>
      <c r="BX79" s="149"/>
      <c r="BY79" s="149"/>
      <c r="BZ79" s="149"/>
      <c r="CA79" s="149"/>
      <c r="CB79" s="149"/>
      <c r="CC79" s="149"/>
      <c r="CD79" s="149"/>
      <c r="CE79" s="149"/>
      <c r="CF79" s="149"/>
      <c r="CG79" s="149"/>
      <c r="CH79" s="149"/>
      <c r="CI79" s="149"/>
      <c r="CJ79" s="149"/>
      <c r="CK79" s="149"/>
      <c r="CL79" s="149"/>
      <c r="CM79" s="149"/>
      <c r="CN79" s="149"/>
    </row>
    <row r="80" ht="18" customHeight="1">
      <c r="B80" s="143"/>
      <c r="C80" s="143"/>
      <c r="D80" s="143"/>
      <c r="E80" s="143"/>
      <c r="F80" s="143"/>
      <c r="G80" s="143"/>
      <c r="H80" s="143"/>
      <c r="I80" s="143"/>
      <c r="J80" s="143"/>
      <c r="K80" s="143"/>
      <c r="L80" s="143"/>
      <c r="M80" s="143"/>
      <c r="N80" s="143"/>
      <c r="O80" s="143"/>
      <c r="P80" s="143"/>
      <c r="Q80" s="143"/>
      <c r="R80" s="143"/>
      <c r="S80" s="143"/>
      <c r="T80" s="143"/>
      <c r="U80" s="143"/>
      <c r="V80" s="144"/>
      <c r="W80" s="144"/>
      <c r="X80" s="144"/>
      <c r="Y80" s="144"/>
      <c r="Z80" s="145" t="str">
        <f>IF(OR($BD80="",$AI80=""),"",$BD80-$AI80)</f>
        <v/>
      </c>
      <c r="AA80" s="145"/>
      <c r="AB80" s="145"/>
      <c r="AC80" s="145"/>
      <c r="AD80" s="145"/>
      <c r="AE80" s="145"/>
      <c r="AF80" s="145"/>
      <c r="AG80" s="145"/>
      <c r="AH80" s="145"/>
      <c r="AI80" s="146" t="str">
        <f>IF($B80="","",Std_Vorlauf_Sel)</f>
        <v/>
      </c>
      <c r="AJ80" s="146"/>
      <c r="AK80" s="146"/>
      <c r="AL80" s="146"/>
      <c r="AM80" s="146"/>
      <c r="AN80" s="146"/>
      <c r="AO80" s="146"/>
      <c r="AP80" s="145" t="str">
        <f>IF(OR($BD80="",$AW80=""),"",$BD80-$AW80)</f>
        <v/>
      </c>
      <c r="AQ80" s="145"/>
      <c r="AR80" s="145"/>
      <c r="AS80" s="145"/>
      <c r="AT80" s="145"/>
      <c r="AU80" s="145"/>
      <c r="AV80" s="145"/>
      <c r="AW80" s="146" t="str">
        <f>IF($B80="","",Std_Vorlauf_Inhalt)</f>
        <v/>
      </c>
      <c r="AX80" s="146"/>
      <c r="AY80" s="146"/>
      <c r="AZ80" s="146"/>
      <c r="BA80" s="146"/>
      <c r="BB80" s="146"/>
      <c r="BC80" s="146"/>
      <c r="BD80" s="147"/>
      <c r="BE80" s="147"/>
      <c r="BF80" s="147"/>
      <c r="BG80" s="147"/>
      <c r="BH80" s="147"/>
      <c r="BI80" s="147"/>
      <c r="BJ80" s="147"/>
      <c r="BK80" s="147"/>
      <c r="BL80" s="147"/>
      <c r="BM80" s="148"/>
      <c r="BN80" s="148"/>
      <c r="BO80" s="148"/>
      <c r="BP80" s="148"/>
      <c r="BQ80" s="148"/>
      <c r="BR80" s="148"/>
      <c r="BS80" s="148"/>
      <c r="BT80" s="148"/>
      <c r="BU80" s="149"/>
      <c r="BV80" s="149"/>
      <c r="BW80" s="149"/>
      <c r="BX80" s="149"/>
      <c r="BY80" s="149"/>
      <c r="BZ80" s="149"/>
      <c r="CA80" s="149"/>
      <c r="CB80" s="149"/>
      <c r="CC80" s="149"/>
      <c r="CD80" s="149"/>
      <c r="CE80" s="149"/>
      <c r="CF80" s="149"/>
      <c r="CG80" s="149"/>
      <c r="CH80" s="149"/>
      <c r="CI80" s="149"/>
      <c r="CJ80" s="149"/>
      <c r="CK80" s="149"/>
      <c r="CL80" s="149"/>
      <c r="CM80" s="149"/>
      <c r="CN80" s="149"/>
    </row>
    <row r="81" ht="18" customHeight="1">
      <c r="B81" s="143"/>
      <c r="C81" s="143"/>
      <c r="D81" s="143"/>
      <c r="E81" s="143"/>
      <c r="F81" s="143"/>
      <c r="G81" s="143"/>
      <c r="H81" s="143"/>
      <c r="I81" s="143"/>
      <c r="J81" s="143"/>
      <c r="K81" s="143"/>
      <c r="L81" s="143"/>
      <c r="M81" s="143"/>
      <c r="N81" s="143"/>
      <c r="O81" s="143"/>
      <c r="P81" s="143"/>
      <c r="Q81" s="143"/>
      <c r="R81" s="143"/>
      <c r="S81" s="143"/>
      <c r="T81" s="143"/>
      <c r="U81" s="143"/>
      <c r="V81" s="144"/>
      <c r="W81" s="144"/>
      <c r="X81" s="144"/>
      <c r="Y81" s="144"/>
      <c r="Z81" s="145" t="str">
        <f>IF(OR($BD81="",$AI81=""),"",$BD81-$AI81)</f>
        <v/>
      </c>
      <c r="AA81" s="145"/>
      <c r="AB81" s="145"/>
      <c r="AC81" s="145"/>
      <c r="AD81" s="145"/>
      <c r="AE81" s="145"/>
      <c r="AF81" s="145"/>
      <c r="AG81" s="145"/>
      <c r="AH81" s="145"/>
      <c r="AI81" s="146" t="str">
        <f>IF($B81="","",Std_Vorlauf_Sel)</f>
        <v/>
      </c>
      <c r="AJ81" s="146"/>
      <c r="AK81" s="146"/>
      <c r="AL81" s="146"/>
      <c r="AM81" s="146"/>
      <c r="AN81" s="146"/>
      <c r="AO81" s="146"/>
      <c r="AP81" s="145" t="str">
        <f>IF(OR($BD81="",$AW81=""),"",$BD81-$AW81)</f>
        <v/>
      </c>
      <c r="AQ81" s="145"/>
      <c r="AR81" s="145"/>
      <c r="AS81" s="145"/>
      <c r="AT81" s="145"/>
      <c r="AU81" s="145"/>
      <c r="AV81" s="145"/>
      <c r="AW81" s="146" t="str">
        <f>IF($B81="","",Std_Vorlauf_Inhalt)</f>
        <v/>
      </c>
      <c r="AX81" s="146"/>
      <c r="AY81" s="146"/>
      <c r="AZ81" s="146"/>
      <c r="BA81" s="146"/>
      <c r="BB81" s="146"/>
      <c r="BC81" s="146"/>
      <c r="BD81" s="147"/>
      <c r="BE81" s="147"/>
      <c r="BF81" s="147"/>
      <c r="BG81" s="147"/>
      <c r="BH81" s="147"/>
      <c r="BI81" s="147"/>
      <c r="BJ81" s="147"/>
      <c r="BK81" s="147"/>
      <c r="BL81" s="147"/>
      <c r="BM81" s="148"/>
      <c r="BN81" s="148"/>
      <c r="BO81" s="148"/>
      <c r="BP81" s="148"/>
      <c r="BQ81" s="148"/>
      <c r="BR81" s="148"/>
      <c r="BS81" s="148"/>
      <c r="BT81" s="148"/>
      <c r="BU81" s="149"/>
      <c r="BV81" s="149"/>
      <c r="BW81" s="149"/>
      <c r="BX81" s="149"/>
      <c r="BY81" s="149"/>
      <c r="BZ81" s="149"/>
      <c r="CA81" s="149"/>
      <c r="CB81" s="149"/>
      <c r="CC81" s="149"/>
      <c r="CD81" s="149"/>
      <c r="CE81" s="149"/>
      <c r="CF81" s="149"/>
      <c r="CG81" s="149"/>
      <c r="CH81" s="149"/>
      <c r="CI81" s="149"/>
      <c r="CJ81" s="149"/>
      <c r="CK81" s="149"/>
      <c r="CL81" s="149"/>
      <c r="CM81" s="149"/>
      <c r="CN81" s="149"/>
    </row>
    <row r="83" ht="15" customHeight="1">
      <c r="B83" s="150" t="s">
        <v>105</v>
      </c>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c r="AB83" s="150"/>
      <c r="AC83" s="150"/>
      <c r="AD83" s="150"/>
      <c r="AE83" s="150"/>
      <c r="AF83" s="150"/>
      <c r="AG83" s="150"/>
      <c r="AH83" s="150"/>
      <c r="AI83" s="150"/>
      <c r="AJ83" s="150"/>
      <c r="AK83" s="150"/>
      <c r="AL83" s="150"/>
      <c r="AM83" s="150"/>
      <c r="AN83" s="150"/>
      <c r="AO83" s="150"/>
      <c r="AP83" s="150"/>
      <c r="AQ83" s="150"/>
      <c r="AR83" s="150"/>
      <c r="AS83" s="150"/>
      <c r="AT83" s="150"/>
      <c r="AU83" s="150"/>
      <c r="AV83" s="150"/>
      <c r="AW83" s="150"/>
      <c r="AX83" s="150"/>
      <c r="AY83" s="150"/>
      <c r="AZ83" s="150"/>
      <c r="BA83" s="150"/>
      <c r="BB83" s="150"/>
      <c r="BC83" s="150"/>
      <c r="BD83" s="150"/>
      <c r="BE83" s="150"/>
      <c r="BF83" s="150"/>
      <c r="BG83" s="150"/>
      <c r="BH83" s="150"/>
      <c r="BI83" s="150"/>
      <c r="BJ83" s="150"/>
      <c r="BK83" s="150"/>
      <c r="BL83" s="150"/>
      <c r="BM83" s="150"/>
      <c r="BN83" s="150"/>
      <c r="BO83" s="150"/>
      <c r="BP83" s="150"/>
      <c r="BQ83" s="150"/>
      <c r="BR83" s="150"/>
      <c r="BS83" s="150"/>
      <c r="BT83" s="150"/>
      <c r="BU83" s="150"/>
      <c r="BV83" s="150"/>
      <c r="BW83" s="150"/>
      <c r="BX83" s="150"/>
      <c r="BY83" s="150"/>
      <c r="BZ83" s="150"/>
      <c r="CA83" s="150"/>
      <c r="CB83" s="150"/>
      <c r="CC83" s="150"/>
      <c r="CD83" s="150"/>
      <c r="CE83" s="150"/>
      <c r="CF83" s="150"/>
      <c r="CG83" s="150"/>
      <c r="CH83" s="150"/>
      <c r="CI83" s="150"/>
      <c r="CJ83" s="150"/>
      <c r="CK83" s="150"/>
      <c r="CL83" s="150"/>
      <c r="CM83" s="150"/>
      <c r="CN83" s="150"/>
    </row>
    <row r="84" ht="15" customHeight="1">
      <c r="B84" s="151" t="s">
        <v>106</v>
      </c>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151"/>
      <c r="AH84" s="151"/>
      <c r="AI84" s="151"/>
      <c r="AJ84" s="151"/>
      <c r="AK84" s="151"/>
      <c r="AL84" s="151"/>
      <c r="AM84" s="151"/>
      <c r="AN84" s="151"/>
      <c r="AO84" s="151"/>
      <c r="AP84" s="151"/>
      <c r="AQ84" s="151"/>
      <c r="AR84" s="151"/>
      <c r="AS84" s="151"/>
      <c r="AT84" s="151"/>
      <c r="AU84" s="151"/>
      <c r="AV84" s="151"/>
      <c r="AW84" s="151"/>
      <c r="AX84" s="151"/>
      <c r="AY84" s="151"/>
      <c r="AZ84" s="151"/>
      <c r="BA84" s="151"/>
      <c r="BB84" s="151"/>
      <c r="BC84" s="151"/>
      <c r="BD84" s="151"/>
      <c r="BE84" s="151"/>
      <c r="BF84" s="151"/>
      <c r="BG84" s="151"/>
      <c r="BH84" s="151"/>
      <c r="BI84" s="151"/>
      <c r="BJ84" s="151"/>
      <c r="BK84" s="151"/>
      <c r="BL84" s="151"/>
      <c r="BM84" s="151"/>
      <c r="BN84" s="151"/>
      <c r="BO84" s="151"/>
      <c r="BP84" s="151"/>
      <c r="BQ84" s="151"/>
      <c r="BR84" s="151"/>
      <c r="BS84" s="151"/>
      <c r="BT84" s="151"/>
      <c r="BU84" s="151"/>
      <c r="BV84" s="151"/>
      <c r="BW84" s="151"/>
      <c r="BX84" s="151"/>
      <c r="BY84" s="151"/>
      <c r="BZ84" s="151"/>
      <c r="CA84" s="151"/>
      <c r="CB84" s="151"/>
      <c r="CC84" s="151"/>
      <c r="CD84" s="151"/>
      <c r="CE84" s="151"/>
      <c r="CF84" s="151"/>
      <c r="CG84" s="151"/>
      <c r="CH84" s="151"/>
      <c r="CI84" s="151"/>
      <c r="CJ84" s="151"/>
      <c r="CK84" s="151"/>
      <c r="CL84" s="151"/>
      <c r="CM84" s="151"/>
      <c r="CN84" s="151"/>
    </row>
    <row r="85" ht="15" customHeight="1">
      <c r="B85" s="151" t="s">
        <v>107</v>
      </c>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151"/>
      <c r="AH85" s="151"/>
      <c r="AI85" s="151"/>
      <c r="AJ85" s="151"/>
      <c r="AK85" s="151"/>
      <c r="AL85" s="151"/>
      <c r="AM85" s="151"/>
      <c r="AN85" s="151"/>
      <c r="AO85" s="151"/>
      <c r="AP85" s="151"/>
      <c r="AQ85" s="151"/>
      <c r="AR85" s="151"/>
      <c r="AS85" s="151"/>
      <c r="AT85" s="151"/>
      <c r="AU85" s="151"/>
      <c r="AV85" s="151"/>
      <c r="AW85" s="151"/>
      <c r="AX85" s="151"/>
      <c r="AY85" s="151"/>
      <c r="AZ85" s="151"/>
      <c r="BA85" s="151"/>
      <c r="BB85" s="151"/>
      <c r="BC85" s="151"/>
      <c r="BD85" s="151"/>
      <c r="BE85" s="151"/>
      <c r="BF85" s="151"/>
      <c r="BG85" s="151"/>
      <c r="BH85" s="151"/>
      <c r="BI85" s="151"/>
      <c r="BJ85" s="151"/>
      <c r="BK85" s="151"/>
      <c r="BL85" s="151"/>
      <c r="BM85" s="151"/>
      <c r="BN85" s="151"/>
      <c r="BO85" s="151"/>
      <c r="BP85" s="151"/>
      <c r="BQ85" s="151"/>
      <c r="BR85" s="151"/>
      <c r="BS85" s="151"/>
      <c r="BT85" s="151"/>
      <c r="BU85" s="151"/>
      <c r="BV85" s="151"/>
      <c r="BW85" s="151"/>
      <c r="BX85" s="151"/>
      <c r="BY85" s="151"/>
      <c r="BZ85" s="151"/>
      <c r="CA85" s="151"/>
      <c r="CB85" s="151"/>
      <c r="CC85" s="151"/>
      <c r="CD85" s="151"/>
      <c r="CE85" s="151"/>
      <c r="CF85" s="151"/>
      <c r="CG85" s="151"/>
      <c r="CH85" s="151"/>
      <c r="CI85" s="151"/>
      <c r="CJ85" s="151"/>
      <c r="CK85" s="151"/>
      <c r="CL85" s="151"/>
      <c r="CM85" s="151"/>
      <c r="CN85" s="151"/>
    </row>
    <row r="86" ht="15" customHeight="1">
      <c r="B86" s="151" t="s">
        <v>108</v>
      </c>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151"/>
      <c r="AH86" s="151"/>
      <c r="AI86" s="151"/>
      <c r="AJ86" s="151"/>
      <c r="AK86" s="151"/>
      <c r="AL86" s="151"/>
      <c r="AM86" s="151"/>
      <c r="AN86" s="151"/>
      <c r="AO86" s="151"/>
      <c r="AP86" s="151"/>
      <c r="AQ86" s="151"/>
      <c r="AR86" s="151"/>
      <c r="AS86" s="151"/>
      <c r="AT86" s="151"/>
      <c r="AU86" s="151"/>
      <c r="AV86" s="151"/>
      <c r="AW86" s="151"/>
      <c r="AX86" s="151"/>
      <c r="AY86" s="151"/>
      <c r="AZ86" s="151"/>
      <c r="BA86" s="151"/>
      <c r="BB86" s="151"/>
      <c r="BC86" s="151"/>
      <c r="BD86" s="151"/>
      <c r="BE86" s="151"/>
      <c r="BF86" s="151"/>
      <c r="BG86" s="151"/>
      <c r="BH86" s="151"/>
      <c r="BI86" s="151"/>
      <c r="BJ86" s="151"/>
      <c r="BK86" s="151"/>
      <c r="BL86" s="151"/>
      <c r="BM86" s="151"/>
      <c r="BN86" s="151"/>
      <c r="BO86" s="151"/>
      <c r="BP86" s="151"/>
      <c r="BQ86" s="151"/>
      <c r="BR86" s="151"/>
      <c r="BS86" s="151"/>
      <c r="BT86" s="151"/>
      <c r="BU86" s="151"/>
      <c r="BV86" s="151"/>
      <c r="BW86" s="151"/>
      <c r="BX86" s="151"/>
      <c r="BY86" s="151"/>
      <c r="BZ86" s="151"/>
      <c r="CA86" s="151"/>
      <c r="CB86" s="151"/>
      <c r="CC86" s="151"/>
      <c r="CD86" s="151"/>
      <c r="CE86" s="151"/>
      <c r="CF86" s="151"/>
      <c r="CG86" s="151"/>
      <c r="CH86" s="151"/>
      <c r="CI86" s="151"/>
      <c r="CJ86" s="151"/>
      <c r="CK86" s="151"/>
      <c r="CL86" s="151"/>
      <c r="CM86" s="151"/>
      <c r="CN86" s="151"/>
    </row>
    <row r="87" ht="15" customHeight="1">
      <c r="B87" s="151" t="s">
        <v>109</v>
      </c>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151"/>
      <c r="AH87" s="151"/>
      <c r="AI87" s="151"/>
      <c r="AJ87" s="151"/>
      <c r="AK87" s="151"/>
      <c r="AL87" s="151"/>
      <c r="AM87" s="151"/>
      <c r="AN87" s="151"/>
      <c r="AO87" s="151"/>
      <c r="AP87" s="151"/>
      <c r="AQ87" s="151"/>
      <c r="AR87" s="151"/>
      <c r="AS87" s="151"/>
      <c r="AT87" s="151"/>
      <c r="AU87" s="151"/>
      <c r="AV87" s="151"/>
      <c r="AW87" s="151"/>
      <c r="AX87" s="151"/>
      <c r="AY87" s="151"/>
      <c r="AZ87" s="151"/>
      <c r="BA87" s="151"/>
      <c r="BB87" s="151"/>
      <c r="BC87" s="151"/>
      <c r="BD87" s="151"/>
      <c r="BE87" s="151"/>
      <c r="BF87" s="151"/>
      <c r="BG87" s="151"/>
      <c r="BH87" s="151"/>
      <c r="BI87" s="151"/>
      <c r="BJ87" s="151"/>
      <c r="BK87" s="151"/>
      <c r="BL87" s="151"/>
      <c r="BM87" s="151"/>
      <c r="BN87" s="151"/>
      <c r="BO87" s="151"/>
      <c r="BP87" s="151"/>
      <c r="BQ87" s="151"/>
      <c r="BR87" s="151"/>
      <c r="BS87" s="151"/>
      <c r="BT87" s="151"/>
      <c r="BU87" s="151"/>
      <c r="BV87" s="151"/>
      <c r="BW87" s="151"/>
      <c r="BX87" s="151"/>
      <c r="BY87" s="151"/>
      <c r="BZ87" s="151"/>
      <c r="CA87" s="151"/>
      <c r="CB87" s="151"/>
      <c r="CC87" s="151"/>
      <c r="CD87" s="151"/>
      <c r="CE87" s="151"/>
      <c r="CF87" s="151"/>
      <c r="CG87" s="151"/>
      <c r="CH87" s="151"/>
      <c r="CI87" s="151"/>
      <c r="CJ87" s="151"/>
      <c r="CK87" s="151"/>
      <c r="CL87" s="151"/>
      <c r="CM87" s="151"/>
      <c r="CN87" s="151"/>
    </row>
  </sheetData>
  <mergeCells count="829">
    <mergeCell ref="Q2:CN2"/>
    <mergeCell ref="B4:V4"/>
    <mergeCell ref="W4:AA4"/>
    <mergeCell ref="B5:V5"/>
    <mergeCell ref="W5:AA5"/>
    <mergeCell ref="B6:V6"/>
    <mergeCell ref="W6:AA6"/>
    <mergeCell ref="B7:AC7"/>
    <mergeCell ref="AE4:BQ4"/>
    <mergeCell ref="AE5:BQ5"/>
    <mergeCell ref="AE6:BQ6"/>
    <mergeCell ref="AE7:AV7"/>
    <mergeCell ref="AX7:BQ7"/>
    <mergeCell ref="BV4:CN4"/>
    <mergeCell ref="BV5:CN5"/>
    <mergeCell ref="BV6:CN6"/>
    <mergeCell ref="BT7:BU7"/>
    <mergeCell ref="BV7:CB7"/>
    <mergeCell ref="CD7:CE7"/>
    <mergeCell ref="CF7:CN7"/>
    <mergeCell ref="B9:CN9"/>
    <mergeCell ref="B11:W11"/>
    <mergeCell ref="C12:E12"/>
    <mergeCell ref="F12:H12"/>
    <mergeCell ref="I12:K12"/>
    <mergeCell ref="L12:N12"/>
    <mergeCell ref="O12:Q12"/>
    <mergeCell ref="R12:T12"/>
    <mergeCell ref="U12:W12"/>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B25:W25"/>
    <mergeCell ref="Y11:AT11"/>
    <mergeCell ref="Z12:AB12"/>
    <mergeCell ref="AC12:AE12"/>
    <mergeCell ref="AF12:AH12"/>
    <mergeCell ref="AI12:AK12"/>
    <mergeCell ref="AL12:AN12"/>
    <mergeCell ref="AO12:AQ12"/>
    <mergeCell ref="AR12:AT12"/>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Y25:AT25"/>
    <mergeCell ref="AV11:BQ11"/>
    <mergeCell ref="AW12:AY12"/>
    <mergeCell ref="AZ12:BB12"/>
    <mergeCell ref="BC12:BE12"/>
    <mergeCell ref="BF12:BH12"/>
    <mergeCell ref="BI12:BK12"/>
    <mergeCell ref="BL12:BN12"/>
    <mergeCell ref="BO12:BQ12"/>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V25:BQ25"/>
    <mergeCell ref="BS11:CN11"/>
    <mergeCell ref="BT12:BV12"/>
    <mergeCell ref="BW12:BY12"/>
    <mergeCell ref="BZ12:CB12"/>
    <mergeCell ref="CC12:CE12"/>
    <mergeCell ref="CF12:CH12"/>
    <mergeCell ref="CI12:CK12"/>
    <mergeCell ref="CL12:CN12"/>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S25:CN25"/>
    <mergeCell ref="B27:W27"/>
    <mergeCell ref="C28:E28"/>
    <mergeCell ref="F28:H28"/>
    <mergeCell ref="I28:K28"/>
    <mergeCell ref="L28:N28"/>
    <mergeCell ref="O28:Q28"/>
    <mergeCell ref="R28:T28"/>
    <mergeCell ref="U28:W28"/>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B41:W41"/>
    <mergeCell ref="Y27:AT27"/>
    <mergeCell ref="Z28:AB28"/>
    <mergeCell ref="AC28:AE28"/>
    <mergeCell ref="AF28:AH28"/>
    <mergeCell ref="AI28:AK28"/>
    <mergeCell ref="AL28:AN28"/>
    <mergeCell ref="AO28:AQ28"/>
    <mergeCell ref="AR28:AT28"/>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Y41:AT41"/>
    <mergeCell ref="AV27:BQ27"/>
    <mergeCell ref="AW28:AY28"/>
    <mergeCell ref="AZ28:BB28"/>
    <mergeCell ref="BC28:BE28"/>
    <mergeCell ref="BF28:BH28"/>
    <mergeCell ref="BI28:BK28"/>
    <mergeCell ref="BL28:BN28"/>
    <mergeCell ref="BO28:BQ28"/>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V41:BQ41"/>
    <mergeCell ref="BS27:CN27"/>
    <mergeCell ref="BT28:BV28"/>
    <mergeCell ref="BW28:BY28"/>
    <mergeCell ref="BZ28:CB28"/>
    <mergeCell ref="CC28:CE28"/>
    <mergeCell ref="CF28:CH28"/>
    <mergeCell ref="CI28:CK28"/>
    <mergeCell ref="CL28:CN28"/>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S41:CN41"/>
    <mergeCell ref="B43:W43"/>
    <mergeCell ref="C44:E44"/>
    <mergeCell ref="F44:H44"/>
    <mergeCell ref="I44:K44"/>
    <mergeCell ref="L44:N44"/>
    <mergeCell ref="O44:Q44"/>
    <mergeCell ref="R44:T44"/>
    <mergeCell ref="U44:W44"/>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B57:W57"/>
    <mergeCell ref="Y43:AT43"/>
    <mergeCell ref="Z44:AB44"/>
    <mergeCell ref="AC44:AE44"/>
    <mergeCell ref="AF44:AH44"/>
    <mergeCell ref="AI44:AK44"/>
    <mergeCell ref="AL44:AN44"/>
    <mergeCell ref="AO44:AQ44"/>
    <mergeCell ref="AR44:AT44"/>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Y57:AT57"/>
    <mergeCell ref="AV43:BQ43"/>
    <mergeCell ref="AW44:AY44"/>
    <mergeCell ref="AZ44:BB44"/>
    <mergeCell ref="BC44:BE44"/>
    <mergeCell ref="BF44:BH44"/>
    <mergeCell ref="BI44:BK44"/>
    <mergeCell ref="BL44:BN44"/>
    <mergeCell ref="BO44:BQ44"/>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V57:BQ57"/>
    <mergeCell ref="BS43:CN43"/>
    <mergeCell ref="BT44:BV44"/>
    <mergeCell ref="BW44:BY44"/>
    <mergeCell ref="BZ44:CB44"/>
    <mergeCell ref="CC44:CE44"/>
    <mergeCell ref="CF44:CH44"/>
    <mergeCell ref="CI44:CK44"/>
    <mergeCell ref="CL44:CN44"/>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S57:CN57"/>
    <mergeCell ref="B60:AJ60"/>
    <mergeCell ref="AK60:CN60"/>
    <mergeCell ref="B61:U61"/>
    <mergeCell ref="V61:Y61"/>
    <mergeCell ref="Z61:AH61"/>
    <mergeCell ref="AI61:AO61"/>
    <mergeCell ref="AP61:AV61"/>
    <mergeCell ref="AW61:BC61"/>
    <mergeCell ref="BD61:BL61"/>
    <mergeCell ref="BM61:BT61"/>
    <mergeCell ref="BU61:CN61"/>
    <mergeCell ref="B62:U62"/>
    <mergeCell ref="V62:Y62"/>
    <mergeCell ref="Z62:AH62"/>
    <mergeCell ref="AI62:AO62"/>
    <mergeCell ref="AP62:AV62"/>
    <mergeCell ref="AW62:BC62"/>
    <mergeCell ref="BD62:BL62"/>
    <mergeCell ref="BM62:BT62"/>
    <mergeCell ref="BU62:CN62"/>
    <mergeCell ref="B63:U63"/>
    <mergeCell ref="V63:Y63"/>
    <mergeCell ref="Z63:AH63"/>
    <mergeCell ref="AI63:AO63"/>
    <mergeCell ref="AP63:AV63"/>
    <mergeCell ref="AW63:BC63"/>
    <mergeCell ref="BD63:BL63"/>
    <mergeCell ref="BM63:BT63"/>
    <mergeCell ref="BU63:CN63"/>
    <mergeCell ref="B64:U64"/>
    <mergeCell ref="V64:Y64"/>
    <mergeCell ref="Z64:AH64"/>
    <mergeCell ref="AI64:AO64"/>
    <mergeCell ref="AP64:AV64"/>
    <mergeCell ref="AW64:BC64"/>
    <mergeCell ref="BD64:BL64"/>
    <mergeCell ref="BM64:BT64"/>
    <mergeCell ref="BU64:CN64"/>
    <mergeCell ref="B65:U65"/>
    <mergeCell ref="V65:Y65"/>
    <mergeCell ref="Z65:AH65"/>
    <mergeCell ref="AI65:AO65"/>
    <mergeCell ref="AP65:AV65"/>
    <mergeCell ref="AW65:BC65"/>
    <mergeCell ref="BD65:BL65"/>
    <mergeCell ref="BM65:BT65"/>
    <mergeCell ref="BU65:CN65"/>
    <mergeCell ref="B66:U66"/>
    <mergeCell ref="V66:Y66"/>
    <mergeCell ref="Z66:AH66"/>
    <mergeCell ref="AI66:AO66"/>
    <mergeCell ref="AP66:AV66"/>
    <mergeCell ref="AW66:BC66"/>
    <mergeCell ref="BD66:BL66"/>
    <mergeCell ref="BM66:BT66"/>
    <mergeCell ref="BU66:CN66"/>
    <mergeCell ref="B67:U67"/>
    <mergeCell ref="V67:Y67"/>
    <mergeCell ref="Z67:AH67"/>
    <mergeCell ref="AI67:AO67"/>
    <mergeCell ref="AP67:AV67"/>
    <mergeCell ref="AW67:BC67"/>
    <mergeCell ref="BD67:BL67"/>
    <mergeCell ref="BM67:BT67"/>
    <mergeCell ref="BU67:CN67"/>
    <mergeCell ref="B68:U68"/>
    <mergeCell ref="V68:Y68"/>
    <mergeCell ref="Z68:AH68"/>
    <mergeCell ref="AI68:AO68"/>
    <mergeCell ref="AP68:AV68"/>
    <mergeCell ref="AW68:BC68"/>
    <mergeCell ref="BD68:BL68"/>
    <mergeCell ref="BM68:BT68"/>
    <mergeCell ref="BU68:CN68"/>
    <mergeCell ref="B69:U69"/>
    <mergeCell ref="V69:Y69"/>
    <mergeCell ref="Z69:AH69"/>
    <mergeCell ref="AI69:AO69"/>
    <mergeCell ref="AP69:AV69"/>
    <mergeCell ref="AW69:BC69"/>
    <mergeCell ref="BD69:BL69"/>
    <mergeCell ref="BM69:BT69"/>
    <mergeCell ref="BU69:CN69"/>
    <mergeCell ref="B70:U70"/>
    <mergeCell ref="V70:Y70"/>
    <mergeCell ref="Z70:AH70"/>
    <mergeCell ref="AI70:AO70"/>
    <mergeCell ref="AP70:AV70"/>
    <mergeCell ref="AW70:BC70"/>
    <mergeCell ref="BD70:BL70"/>
    <mergeCell ref="BM70:BT70"/>
    <mergeCell ref="BU70:CN70"/>
    <mergeCell ref="B71:U71"/>
    <mergeCell ref="V71:Y71"/>
    <mergeCell ref="Z71:AH71"/>
    <mergeCell ref="AI71:AO71"/>
    <mergeCell ref="AP71:AV71"/>
    <mergeCell ref="AW71:BC71"/>
    <mergeCell ref="BD71:BL71"/>
    <mergeCell ref="BM71:BT71"/>
    <mergeCell ref="BU71:CN71"/>
    <mergeCell ref="B72:U72"/>
    <mergeCell ref="V72:Y72"/>
    <mergeCell ref="Z72:AH72"/>
    <mergeCell ref="AI72:AO72"/>
    <mergeCell ref="AP72:AV72"/>
    <mergeCell ref="AW72:BC72"/>
    <mergeCell ref="BD72:BL72"/>
    <mergeCell ref="BM72:BT72"/>
    <mergeCell ref="BU72:CN72"/>
    <mergeCell ref="B73:U73"/>
    <mergeCell ref="V73:Y73"/>
    <mergeCell ref="Z73:AH73"/>
    <mergeCell ref="AI73:AO73"/>
    <mergeCell ref="AP73:AV73"/>
    <mergeCell ref="AW73:BC73"/>
    <mergeCell ref="BD73:BL73"/>
    <mergeCell ref="BM73:BT73"/>
    <mergeCell ref="BU73:CN73"/>
    <mergeCell ref="B74:U74"/>
    <mergeCell ref="V74:Y74"/>
    <mergeCell ref="Z74:AH74"/>
    <mergeCell ref="AI74:AO74"/>
    <mergeCell ref="AP74:AV74"/>
    <mergeCell ref="AW74:BC74"/>
    <mergeCell ref="BD74:BL74"/>
    <mergeCell ref="BM74:BT74"/>
    <mergeCell ref="BU74:CN74"/>
    <mergeCell ref="B75:U75"/>
    <mergeCell ref="V75:Y75"/>
    <mergeCell ref="Z75:AH75"/>
    <mergeCell ref="AI75:AO75"/>
    <mergeCell ref="AP75:AV75"/>
    <mergeCell ref="AW75:BC75"/>
    <mergeCell ref="BD75:BL75"/>
    <mergeCell ref="BM75:BT75"/>
    <mergeCell ref="BU75:CN75"/>
    <mergeCell ref="B76:U76"/>
    <mergeCell ref="V76:Y76"/>
    <mergeCell ref="Z76:AH76"/>
    <mergeCell ref="AI76:AO76"/>
    <mergeCell ref="AP76:AV76"/>
    <mergeCell ref="AW76:BC76"/>
    <mergeCell ref="BD76:BL76"/>
    <mergeCell ref="BM76:BT76"/>
    <mergeCell ref="BU76:CN76"/>
    <mergeCell ref="B77:U77"/>
    <mergeCell ref="V77:Y77"/>
    <mergeCell ref="Z77:AH77"/>
    <mergeCell ref="AI77:AO77"/>
    <mergeCell ref="AP77:AV77"/>
    <mergeCell ref="AW77:BC77"/>
    <mergeCell ref="BD77:BL77"/>
    <mergeCell ref="BM77:BT77"/>
    <mergeCell ref="BU77:CN77"/>
    <mergeCell ref="B78:U78"/>
    <mergeCell ref="V78:Y78"/>
    <mergeCell ref="Z78:AH78"/>
    <mergeCell ref="AI78:AO78"/>
    <mergeCell ref="AP78:AV78"/>
    <mergeCell ref="AW78:BC78"/>
    <mergeCell ref="BD78:BL78"/>
    <mergeCell ref="BM78:BT78"/>
    <mergeCell ref="BU78:CN78"/>
    <mergeCell ref="B79:U79"/>
    <mergeCell ref="V79:Y79"/>
    <mergeCell ref="Z79:AH79"/>
    <mergeCell ref="AI79:AO79"/>
    <mergeCell ref="AP79:AV79"/>
    <mergeCell ref="AW79:BC79"/>
    <mergeCell ref="BD79:BL79"/>
    <mergeCell ref="BM79:BT79"/>
    <mergeCell ref="BU79:CN79"/>
    <mergeCell ref="B80:U80"/>
    <mergeCell ref="V80:Y80"/>
    <mergeCell ref="Z80:AH80"/>
    <mergeCell ref="AI80:AO80"/>
    <mergeCell ref="AP80:AV80"/>
    <mergeCell ref="AW80:BC80"/>
    <mergeCell ref="BD80:BL80"/>
    <mergeCell ref="BM80:BT80"/>
    <mergeCell ref="BU80:CN80"/>
    <mergeCell ref="B81:U81"/>
    <mergeCell ref="V81:Y81"/>
    <mergeCell ref="Z81:AH81"/>
    <mergeCell ref="AI81:AO81"/>
    <mergeCell ref="AP81:AV81"/>
    <mergeCell ref="AW81:BC81"/>
    <mergeCell ref="BD81:BL81"/>
    <mergeCell ref="BM81:BT81"/>
    <mergeCell ref="BU81:CN81"/>
    <mergeCell ref="B83:CN83"/>
    <mergeCell ref="B84:CN84"/>
    <mergeCell ref="B85:CN85"/>
    <mergeCell ref="B86:CN86"/>
    <mergeCell ref="B87:CN87"/>
  </mergeCells>
  <conditionalFormatting sqref="AE7 AX7">
    <cfRule type="expression" dxfId="93" priority="1">
      <formula>LEFT(AE7,1)="⚠"</formula>
    </cfRule>
  </conditionalFormatting>
  <conditionalFormatting sqref="C13:W13 C15:W15 C17:W17 C19:W19 C21:W21 C23:W23">
    <cfRule type="expression" dxfId="94" priority="2" stopIfTrue="1">
      <formula>AND(ISNUMBER(C13),COUNTIF(Feiertage,C13)&gt;0)</formula>
    </cfRule>
    <cfRule type="expression" dxfId="95" priority="3" stopIfTrue="1">
      <formula>AND(ISNUMBER(C13),WEEKDAY(C13,2)&gt;5)</formula>
    </cfRule>
  </conditionalFormatting>
  <conditionalFormatting sqref="Z13:AT13 Z15:AT15 Z17:AT17 Z19:AT19 Z21:AT21 Z23:AT23">
    <cfRule type="expression" dxfId="94" priority="4" stopIfTrue="1">
      <formula>AND(ISNUMBER(Z13),COUNTIF(Feiertage,Z13)&gt;0)</formula>
    </cfRule>
    <cfRule type="expression" dxfId="95" priority="5" stopIfTrue="1">
      <formula>AND(ISNUMBER(Z13),WEEKDAY(Z13,2)&gt;5)</formula>
    </cfRule>
  </conditionalFormatting>
  <conditionalFormatting sqref="AW13:BQ13 AW15:BQ15 AW17:BQ17 AW19:BQ19 AW21:BQ21 AW23:BQ23">
    <cfRule type="expression" dxfId="94" priority="6" stopIfTrue="1">
      <formula>AND(ISNUMBER(AW13),COUNTIF(Feiertage,AW13)&gt;0)</formula>
    </cfRule>
    <cfRule type="expression" dxfId="95" priority="7" stopIfTrue="1">
      <formula>AND(ISNUMBER(AW13),WEEKDAY(AW13,2)&gt;5)</formula>
    </cfRule>
  </conditionalFormatting>
  <conditionalFormatting sqref="BT13:CN13 BT15:CN15 BT17:CN17 BT19:CN19 BT21:CN21 BT23:CN23">
    <cfRule type="expression" dxfId="94" priority="8" stopIfTrue="1">
      <formula>AND(ISNUMBER(BT13),COUNTIF(Feiertage,BT13)&gt;0)</formula>
    </cfRule>
    <cfRule type="expression" dxfId="95" priority="9" stopIfTrue="1">
      <formula>AND(ISNUMBER(BT13),WEEKDAY(BT13,2)&gt;5)</formula>
    </cfRule>
  </conditionalFormatting>
  <conditionalFormatting sqref="C29:W29 C31:W31 C33:W33 C35:W35 C37:W37 C39:W39">
    <cfRule type="expression" dxfId="94" priority="10" stopIfTrue="1">
      <formula>AND(ISNUMBER(C29),COUNTIF(Feiertage,C29)&gt;0)</formula>
    </cfRule>
    <cfRule type="expression" dxfId="95" priority="11" stopIfTrue="1">
      <formula>AND(ISNUMBER(C29),WEEKDAY(C29,2)&gt;5)</formula>
    </cfRule>
  </conditionalFormatting>
  <conditionalFormatting sqref="Z29:AT29 Z31:AT31 Z33:AT33 Z35:AT35 Z37:AT37 Z39:AT39">
    <cfRule type="expression" dxfId="94" priority="12" stopIfTrue="1">
      <formula>AND(ISNUMBER(Z29),COUNTIF(Feiertage,Z29)&gt;0)</formula>
    </cfRule>
    <cfRule type="expression" dxfId="95" priority="13" stopIfTrue="1">
      <formula>AND(ISNUMBER(Z29),WEEKDAY(Z29,2)&gt;5)</formula>
    </cfRule>
  </conditionalFormatting>
  <conditionalFormatting sqref="AW29:BQ29 AW31:BQ31 AW33:BQ33 AW35:BQ35 AW37:BQ37 AW39:BQ39">
    <cfRule type="expression" dxfId="94" priority="14" stopIfTrue="1">
      <formula>AND(ISNUMBER(AW29),COUNTIF(Feiertage,AW29)&gt;0)</formula>
    </cfRule>
    <cfRule type="expression" dxfId="95" priority="15" stopIfTrue="1">
      <formula>AND(ISNUMBER(AW29),WEEKDAY(AW29,2)&gt;5)</formula>
    </cfRule>
  </conditionalFormatting>
  <conditionalFormatting sqref="BT29:CN29 BT31:CN31 BT33:CN33 BT35:CN35 BT37:CN37 BT39:CN39">
    <cfRule type="expression" dxfId="94" priority="16" stopIfTrue="1">
      <formula>AND(ISNUMBER(BT29),COUNTIF(Feiertage,BT29)&gt;0)</formula>
    </cfRule>
    <cfRule type="expression" dxfId="95" priority="17" stopIfTrue="1">
      <formula>AND(ISNUMBER(BT29),WEEKDAY(BT29,2)&gt;5)</formula>
    </cfRule>
  </conditionalFormatting>
  <conditionalFormatting sqref="C45:W45 C47:W47 C49:W49 C51:W51 C53:W53 C55:W55">
    <cfRule type="expression" dxfId="94" priority="18" stopIfTrue="1">
      <formula>AND(ISNUMBER(C45),COUNTIF(Feiertage,C45)&gt;0)</formula>
    </cfRule>
    <cfRule type="expression" dxfId="95" priority="19" stopIfTrue="1">
      <formula>AND(ISNUMBER(C45),WEEKDAY(C45,2)&gt;5)</formula>
    </cfRule>
  </conditionalFormatting>
  <conditionalFormatting sqref="Z45:AT45 Z47:AT47 Z49:AT49 Z51:AT51 Z53:AT53 Z55:AT55">
    <cfRule type="expression" dxfId="94" priority="20" stopIfTrue="1">
      <formula>AND(ISNUMBER(Z45),COUNTIF(Feiertage,Z45)&gt;0)</formula>
    </cfRule>
    <cfRule type="expression" dxfId="95" priority="21" stopIfTrue="1">
      <formula>AND(ISNUMBER(Z45),WEEKDAY(Z45,2)&gt;5)</formula>
    </cfRule>
  </conditionalFormatting>
  <conditionalFormatting sqref="AW45:BQ45 AW47:BQ47 AW49:BQ49 AW51:BQ51 AW53:BQ53 AW55:BQ55">
    <cfRule type="expression" dxfId="94" priority="22" stopIfTrue="1">
      <formula>AND(ISNUMBER(AW45),COUNTIF(Feiertage,AW45)&gt;0)</formula>
    </cfRule>
    <cfRule type="expression" dxfId="95" priority="23" stopIfTrue="1">
      <formula>AND(ISNUMBER(AW45),WEEKDAY(AW45,2)&gt;5)</formula>
    </cfRule>
  </conditionalFormatting>
  <conditionalFormatting sqref="BT45:CN45 BT47:CN47 BT49:CN49 BT51:CN51 BT53:CN53 BT55:CN55">
    <cfRule type="expression" dxfId="94" priority="24" stopIfTrue="1">
      <formula>AND(ISNUMBER(BT45),COUNTIF(Feiertage,BT45)&gt;0)</formula>
    </cfRule>
    <cfRule type="expression" dxfId="95" priority="25" stopIfTrue="1">
      <formula>AND(ISNUMBER(BT45),WEEKDAY(BT45,2)&gt;5)</formula>
    </cfRule>
  </conditionalFormatting>
  <conditionalFormatting sqref="C14:W14 C16:W16 C18:W18 C20:W20 C22:W22 C24:W24 Z14:AT14 Z16:AT16 Z18:AT18 Z20:AT20 Z22:AT22 Z24:AT24 AW14:BQ14 AW16:BQ16 AW18:BQ18 AW20:BQ20 AW22:BQ22 AW24:BQ24 BT14:CN14 BT16:CN16 BT18:CN18 BT20:CN20 BT22:CN22 BT24:CN24 C30:W30 C32:W32 C34:W34 C36:W36 C38:W38 C40:W40 Z30:AT30 Z32:AT32 Z34:AT34 Z36:AT36 Z38:AT38 Z40:AT40 AW30:BQ30 AW32:BQ32 AW34:BQ34 AW36:BQ36 AW38:BQ38 AW40:BQ40 BT30:CN30 BT32:CN32 BT34:CN34 BT36:CN36 BT38:CN38 BT40:CN40 C46:W46 C48:W48 C50:W50 C52:W52 C54:W54 C56:W56 Z46:AT46 Z48:AT48 Z50:AT50 Z52:AT52 Z54:AT54 Z56:AT56 AW46:BQ46 AW48:BQ48 AW50:BQ50 AW52:BQ52 AW54:BQ54 AW56:BQ56 BT46:CN46 BT48:CN48 BT50:CN50 BT52:CN52 BT54:CN54 BT56:CN56">
    <cfRule type="cellIs" dxfId="96" priority="26" stopIfTrue="1" operator="equal">
      <formula>"S"</formula>
    </cfRule>
    <cfRule type="cellIs" dxfId="97" priority="27" stopIfTrue="1" operator="equal">
      <formula>"I"</formula>
    </cfRule>
    <cfRule type="cellIs" dxfId="98" priority="28" stopIfTrue="1" operator="equal">
      <formula>"P"</formula>
    </cfRule>
    <cfRule type="cellIs" dxfId="99" priority="29" stopIfTrue="1" operator="equal">
      <formula>"h"</formula>
    </cfRule>
    <cfRule type="cellIs" dxfId="100" priority="30" stopIfTrue="1" operator="equal">
      <formula>"w"</formula>
    </cfRule>
  </conditionalFormatting>
  <conditionalFormatting sqref="Z62:Z81">
    <cfRule type="expression" dxfId="101" priority="31">
      <formula>AND(ISNUMBER(Z62),YEAR(Z62)&lt;&gt;Planungsjahr)</formula>
    </cfRule>
  </conditionalFormatting>
  <conditionalFormatting sqref="AP62:AP81">
    <cfRule type="expression" dxfId="101" priority="32">
      <formula>AND(ISNUMBER(AP62),YEAR(AP62)&lt;&gt;Planungsjahr)</formula>
    </cfRule>
  </conditionalFormatting>
  <conditionalFormatting sqref="BD62:BD81">
    <cfRule type="expression" dxfId="101" priority="33">
      <formula>AND(ISNUMBER(BD62),YEAR(BD62)&lt;&gt;Planungsjahr)</formula>
    </cfRule>
  </conditionalFormatting>
  <conditionalFormatting sqref="BD62:BD81">
    <cfRule type="expression" dxfId="102" priority="34">
      <formula>AND(ISNUMBER(BD62),ISNUMBER(SEARCH("prüfen",$BU62)))</formula>
    </cfRule>
  </conditionalFormatting>
  <conditionalFormatting sqref="BD63:BD81">
    <cfRule type="expression" dxfId="93" priority="35">
      <formula>AND(ISNUMBER(BD63),ISNUMBER(BD62),BD63&lt;BD62)</formula>
    </cfRule>
  </conditionalFormatting>
  <dataValidations count="8">
    <dataValidation type="list" allowBlank="1" showInputMessage="1" showErrorMessage="1" promptTitle="Art der Bitte" prompt="Bitte auswählen: aktiv, passiv oder nein" sqref="BM62:BM81">
      <formula1>"aktiv,passiv,nein"</formula1>
    </dataValidation>
    <dataValidation type="date" operator="greaterThan" allowBlank="1" showInputMessage="1" showErrorMessage="1" promptTitle="PAL" prompt="Geplanter Eingang bei der Zielgruppe (Briefkasten-Termin), z. B. 26.11.2027" errorTitle="PAL" error="Bitte ein Datum eingeben." sqref="BD62:BD81">
      <formula1>36526</formula1>
    </dataValidation>
    <dataValidation type="whole" operator="greaterThanOrEqual" allowBlank="1" showInputMessage="1" showErrorMessage="1" promptTitle="Vorlauf Selektion" prompt="Tage vor PAL. Vorbelegt mit dem Standardwert oben – bei Bedarf einfach mit eigener Zahl überschreiben." errorTitle="Vorlauf Selektion" error="Bitte eine ganze Zahl ≥ 0 eingeben." sqref="AI62:AI81">
      <formula1>0</formula1>
    </dataValidation>
    <dataValidation type="whole" operator="greaterThanOrEqual" allowBlank="1" showInputMessage="1" showErrorMessage="1" promptTitle="Vorlauf Inhalt" prompt="Tage vor PAL. Vorbelegt mit dem Standardwert oben – bei Bedarf einfach mit eigener Zahl überschreiben." errorTitle="Vorlauf Inhalt" error="Bitte eine ganze Zahl ≥ 0 eingeben." sqref="AW62:AW81">
      <formula1>0</formula1>
    </dataValidation>
    <dataValidation type="whole" operator="greaterThanOrEqual" allowBlank="1" showInputMessage="1" showErrorMessage="1" promptTitle="Auflage" prompt="Geplante Auflage (optional, Hinweisfeld)" errorTitle="Auflage" error="Bitte eine ganze Zahl eingeben." sqref="V62:V81">
      <formula1>0</formula1>
    </dataValidation>
    <dataValidation type="whole" allowBlank="1" showInputMessage="1" showErrorMessage="1" promptTitle="Planungsjahr" prompt="Jahr ändern: Kalender und Feiertage passen sich automatisch an." errorTitle="Planungsjahr" error="Bitte ein Jahr zwischen 2000 und 2100 eingeben." sqref="W4">
      <formula1>2000</formula1>
      <formula2>2100</formula2>
    </dataValidation>
    <dataValidation type="whole" operator="greaterThanOrEqual" allowBlank="1" showInputMessage="1" showErrorMessage="1" promptTitle="Vorlauf Selektion" prompt="Gantt: Selektion einleiten 2 + Freigabe 5 + Selektion erstellen 52 + Produktion &amp; Versand 17 = 76 Tage. Gilt für alle Zeilen ohne eigenen Wert." errorTitle="Vorlauf Selektion" error="Bitte eine ganze Zahl ≥ 0 eingeben." sqref="W5">
      <formula1>0</formula1>
    </dataValidation>
    <dataValidation type="whole" operator="greaterThanOrEqual" allowBlank="1" showInputMessage="1" showErrorMessage="1" promptTitle="Vorlauf Inhalt" prompt="Gantt: Thema 1 + Texte 7 + Gestaltung 14 + Korrektur 5 + Freigaben 14 + Produktion &amp; Versand 17 = 58 Tage. Gilt für alle Zeilen ohne eigenen Wert." errorTitle="Vorlauf Inhalt" error="Bitte eine ganze Zahl ≥ 0 eingeben." sqref="W6">
      <formula1>0</formula1>
    </dataValidation>
  </dataValidations>
  <printOptions horizontalCentered="1"/>
  <pageMargins left="0.3" right="0.3" top="0.4" bottom="0.4" header="0.2" footer="0.2"/>
  <pageSetup paperSize="9" scale="64" orientation="landscape"/>
  <headerFooter>
    <oddFooter>&amp;L&amp;8Jahresplanung Außenkommunikation&amp;R&amp;8Seite &amp;P von &amp;N</oddFooter>
  </headerFooter>
  <rowBreaks count="1" manualBreakCount="1">
    <brk id="58" max="16383" man="1"/>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pageSetUpPr fitToPage="1"/>
  </sheetPr>
  <dimension ref="A1:BM48"/>
  <sheetViews>
    <sheetView showGridLines="0" showRuler="0" topLeftCell="A3" zoomScale="80" zoomScaleNormal="80" zoomScalePageLayoutView="70" workbookViewId="0">
      <selection activeCell="H21" sqref="H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03" t="str">
        <f>"                    Sommermailing "&amp;Planungsjahr</f>
        <v>                    Sommermailing 2027</v>
      </c>
      <c r="C2" s="104"/>
      <c r="D2" s="104"/>
      <c r="E2" s="104"/>
      <c r="F2" s="104"/>
      <c r="G2" s="104"/>
      <c r="H2" s="104"/>
      <c r="I2" s="105"/>
      <c r="J2" s="106"/>
      <c r="K2" s="106"/>
      <c r="L2" s="106"/>
      <c r="M2" s="106"/>
      <c r="N2" s="106"/>
      <c r="O2" s="97"/>
      <c r="P2" s="97"/>
      <c r="Q2" s="97"/>
      <c r="R2" s="97"/>
      <c r="S2" s="97"/>
      <c r="T2" s="97"/>
      <c r="U2" s="51"/>
      <c r="V2" s="51"/>
      <c r="W2" s="51"/>
      <c r="X2" s="51"/>
      <c r="Y2" s="51"/>
      <c r="Z2" s="51"/>
      <c r="AA2" s="51"/>
      <c r="AB2" s="51"/>
      <c r="AC2" s="51"/>
      <c r="AD2" s="51"/>
      <c r="AE2" s="51"/>
      <c r="AF2" s="100"/>
      <c r="AG2" s="101"/>
      <c r="AH2" s="101"/>
      <c r="AI2" s="101"/>
      <c r="AJ2" s="101"/>
      <c r="AK2" s="101"/>
      <c r="AL2" s="101"/>
      <c r="AM2" s="101"/>
      <c r="AN2" s="101"/>
      <c r="AO2" s="101"/>
      <c r="AP2" s="101"/>
      <c r="AQ2" s="101"/>
      <c r="AR2" s="101"/>
      <c r="AS2" s="101"/>
      <c r="AT2" s="101"/>
      <c r="AU2" s="101"/>
      <c r="AV2" s="101"/>
      <c r="AW2" s="101"/>
      <c r="AX2" s="101"/>
      <c r="AY2" s="51"/>
      <c r="AZ2" s="51"/>
      <c r="BA2" s="51"/>
      <c r="BB2" s="51"/>
      <c r="BC2" s="51"/>
      <c r="BD2" s="51"/>
      <c r="BE2" s="51"/>
      <c r="BF2" s="51"/>
      <c r="BG2" s="51"/>
      <c r="BH2" s="51"/>
      <c r="BI2" s="51"/>
      <c r="BJ2" s="51"/>
      <c r="BK2" s="51"/>
      <c r="BL2" s="51"/>
      <c r="BM2" s="51"/>
    </row>
    <row r="3" spans="1:65" ht="19.899999999999999" customHeight="1" thickBot="1" x14ac:dyDescent="0.3">
      <c r="A3" s="7"/>
      <c r="B3" s="14"/>
      <c r="C3" s="15"/>
      <c r="D3" s="16"/>
      <c r="E3" s="16"/>
      <c r="F3" s="17"/>
      <c r="G3" s="16"/>
      <c r="H3" s="16"/>
      <c r="I3" s="24"/>
      <c r="J3" s="1"/>
      <c r="K3" s="1"/>
      <c r="L3" s="1"/>
    </row>
    <row r="4" spans="1:65" ht="30" customHeight="1" thickBot="1" x14ac:dyDescent="0.3">
      <c r="A4" s="7"/>
      <c r="B4" s="68" t="s">
        <v>2</v>
      </c>
      <c r="C4" s="89">
        <f>INDEX(JP_PAL,MATCH($E$4,JP_Massnahme,0))</f>
        <v>46557</v>
      </c>
      <c r="D4" s="164" t="s">
        <v>56</v>
      </c>
      <c r="E4" s="165" t="s">
        <v>57</v>
      </c>
      <c r="F4" s="114"/>
      <c r="G4" s="21"/>
      <c r="H4" s="19"/>
      <c r="I4" s="107"/>
      <c r="J4" s="107"/>
      <c r="K4" s="107"/>
      <c r="L4" s="107"/>
      <c r="M4" s="107"/>
      <c r="N4" s="107"/>
      <c r="P4" s="99"/>
      <c r="Q4" s="99"/>
      <c r="R4" s="99"/>
      <c r="S4" s="99"/>
      <c r="T4" s="99"/>
      <c r="U4" s="99"/>
      <c r="W4" s="99"/>
      <c r="X4" s="99"/>
      <c r="Y4" s="99"/>
      <c r="Z4" s="99"/>
      <c r="AA4" s="99"/>
      <c r="AB4" s="99"/>
      <c r="AD4" s="99"/>
      <c r="AE4" s="99"/>
      <c r="AF4" s="99"/>
      <c r="AG4" s="99"/>
      <c r="AH4" s="99"/>
      <c r="AJ4" s="98"/>
      <c r="AK4" s="98"/>
      <c r="AL4" s="98"/>
      <c r="AM4" s="98"/>
      <c r="AN4" s="98"/>
      <c r="AO4" s="98"/>
    </row>
    <row r="5" spans="1:65" ht="19.5" customHeight="1" thickBot="1" x14ac:dyDescent="0.4">
      <c r="A5" s="7" t="s">
        <v>3</v>
      </c>
      <c r="B5" s="50" t="s">
        <v>4</v>
      </c>
      <c r="C5" s="48" t="s">
        <v>5</v>
      </c>
      <c r="D5" s="49" t="s">
        <v>6</v>
      </c>
      <c r="E5" s="48" t="s">
        <v>7</v>
      </c>
      <c r="F5" s="48" t="s">
        <v>8</v>
      </c>
      <c r="G5" s="44" t="s">
        <v>9</v>
      </c>
      <c r="H5" s="44" t="s">
        <v>10</v>
      </c>
    </row>
    <row r="6" spans="1:65" ht="30" customHeight="1" thickTop="1" x14ac:dyDescent="0.35">
      <c r="A6" s="7" t="s">
        <v>11</v>
      </c>
      <c r="B6" s="42" t="s">
        <v>12</v>
      </c>
      <c r="C6" s="67">
        <f ca="1">IF(TODAY()&gt;=F11+7,TODAY()-7,F11)</f>
        <v>46481</v>
      </c>
      <c r="D6" s="22"/>
      <c r="E6" s="46"/>
      <c r="F6" s="47"/>
      <c r="G6" s="19"/>
      <c r="H6" s="19"/>
      <c r="I6" s="29" t="str">
        <f ca="1">TEXT(I7,"MMMM")</f>
        <v>April</v>
      </c>
      <c r="J6" s="29"/>
      <c r="K6" s="29"/>
      <c r="L6" s="29"/>
      <c r="M6" s="29"/>
      <c r="N6" s="29"/>
      <c r="O6" s="29"/>
      <c r="P6" s="29" t="str">
        <f ca="1">IF(TEXT(P7,"MMMM")=I6,"",TEXT(P7,"MMMM"))</f>
        <v/>
      </c>
      <c r="Q6" s="29"/>
      <c r="R6" s="29"/>
      <c r="S6" s="29"/>
      <c r="T6" s="29"/>
      <c r="U6" s="29"/>
      <c r="V6" s="29"/>
      <c r="W6" s="29" t="str">
        <f ca="1">IF(OR(TEXT(W7,"MMMM")=P6,TEXT(W7,"MMMM")=I6),"",TEXT(W7,"MMMM"))</f>
        <v/>
      </c>
      <c r="X6" s="29"/>
      <c r="Y6" s="29"/>
      <c r="Z6" s="29"/>
      <c r="AA6" s="29"/>
      <c r="AB6" s="29"/>
      <c r="AC6" s="29"/>
      <c r="AD6" s="29" t="str">
        <f ca="1">IF(OR(TEXT(AD7,"MMMM")=W6,TEXT(AD7,"MMMM")=P6,TEXT(AD7,"MMMM")=I6),"",TEXT(AD7,"MMMM"))</f>
        <v/>
      </c>
      <c r="AE6" s="29"/>
      <c r="AF6" s="29"/>
      <c r="AG6" s="29"/>
      <c r="AH6" s="29"/>
      <c r="AI6" s="29"/>
      <c r="AJ6" s="29"/>
      <c r="AK6" s="29" t="str">
        <f ca="1">IF(OR(TEXT(AK7,"MMMM")=AD6,TEXT(AK7,"MMMM")=W6,TEXT(AK7,"MMMM")=P6,TEXT(AK7,"MMMM")=I6),"",TEXT(AK7,"MMMM"))</f>
        <v>Mai</v>
      </c>
      <c r="AL6" s="29"/>
      <c r="AM6" s="29"/>
      <c r="AN6" s="29"/>
      <c r="AO6" s="29"/>
      <c r="AP6" s="29"/>
      <c r="AQ6" s="29"/>
      <c r="AR6" s="29" t="str">
        <f ca="1">IF(OR(TEXT(AR7,"MMMM")=AK6,TEXT(AR7,"MMMM")=AD6,TEXT(AR7,"MMMM")=W6,TEXT(AR7,"MMMM")=P6),"",TEXT(AR7,"MMMM"))</f>
        <v/>
      </c>
      <c r="AS6" s="29"/>
      <c r="AT6" s="29"/>
      <c r="AU6" s="29"/>
      <c r="AV6" s="29"/>
      <c r="AW6" s="29"/>
      <c r="AX6" s="30"/>
      <c r="AY6" s="30" t="str">
        <f ca="1">IF(OR(TEXT(AY7,"MMMM")=AR6,TEXT(AY7,"MMMM")=AK6,TEXT(AY7,"MMMM")=AD6,TEXT(AY7,"MMMM")=W6),"",TEXT(AY7,"MMMM"))</f>
        <v/>
      </c>
      <c r="AZ6" s="30"/>
      <c r="BA6" s="30"/>
      <c r="BB6" s="31"/>
      <c r="BC6" s="28"/>
      <c r="BD6" s="28"/>
      <c r="BE6" s="28"/>
      <c r="BF6" s="28" t="str">
        <f ca="1">IF(OR(TEXT(BF7,"MMMM")=AY6,TEXT(BF7,"MMMM")=AR6,TEXT(BF7,"MMMM")=AK6,TEXT(BF7,"MMMM")=AD6),"",TEXT(BF7,"MMMM"))</f>
        <v/>
      </c>
      <c r="BG6" s="28"/>
      <c r="BH6" s="28"/>
      <c r="BI6" s="28"/>
      <c r="BJ6" s="28"/>
      <c r="BK6" s="28"/>
      <c r="BL6" s="28"/>
    </row>
    <row r="7" spans="1:65" ht="30" customHeight="1" x14ac:dyDescent="0.25">
      <c r="A7" s="7"/>
      <c r="B7" s="42" t="s">
        <v>13</v>
      </c>
      <c r="C7" s="43">
        <v>0</v>
      </c>
      <c r="D7" s="18"/>
      <c r="E7" s="27"/>
      <c r="F7" s="27"/>
      <c r="G7" s="19"/>
      <c r="H7" s="23"/>
      <c r="I7" s="32">
        <f ca="1">IFERROR(Projekt_Start+Scroll_Schrittweite,TODAY())</f>
        <v>46481</v>
      </c>
      <c r="J7" s="33">
        <f ca="1">I7+1</f>
        <v>46482</v>
      </c>
      <c r="K7" s="33">
        <f t="shared" ref="K7:AX7" ca="1" si="0">J7+1</f>
        <v>46483</v>
      </c>
      <c r="L7" s="33">
        <f t="shared" ca="1" si="0"/>
        <v>46484</v>
      </c>
      <c r="M7" s="33">
        <f t="shared" ca="1" si="0"/>
        <v>46485</v>
      </c>
      <c r="N7" s="33">
        <f t="shared" ca="1" si="0"/>
        <v>46486</v>
      </c>
      <c r="O7" s="34">
        <f t="shared" ca="1" si="0"/>
        <v>46487</v>
      </c>
      <c r="P7" s="33">
        <f ca="1">O7+1</f>
        <v>46488</v>
      </c>
      <c r="Q7" s="33">
        <f ca="1">P7+1</f>
        <v>46489</v>
      </c>
      <c r="R7" s="33">
        <f t="shared" ca="1" si="0"/>
        <v>46490</v>
      </c>
      <c r="S7" s="33">
        <f t="shared" ca="1" si="0"/>
        <v>46491</v>
      </c>
      <c r="T7" s="33">
        <f t="shared" ca="1" si="0"/>
        <v>46492</v>
      </c>
      <c r="U7" s="33">
        <f t="shared" ca="1" si="0"/>
        <v>46493</v>
      </c>
      <c r="V7" s="34">
        <f t="shared" ca="1" si="0"/>
        <v>46494</v>
      </c>
      <c r="W7" s="33">
        <f ca="1">V7+1</f>
        <v>46495</v>
      </c>
      <c r="X7" s="33">
        <f ca="1">W7+1</f>
        <v>46496</v>
      </c>
      <c r="Y7" s="33">
        <f t="shared" ca="1" si="0"/>
        <v>46497</v>
      </c>
      <c r="Z7" s="33">
        <f t="shared" ca="1" si="0"/>
        <v>46498</v>
      </c>
      <c r="AA7" s="33">
        <f t="shared" ca="1" si="0"/>
        <v>46499</v>
      </c>
      <c r="AB7" s="33">
        <f t="shared" ca="1" si="0"/>
        <v>46500</v>
      </c>
      <c r="AC7" s="34">
        <f t="shared" ca="1" si="0"/>
        <v>46501</v>
      </c>
      <c r="AD7" s="33">
        <f ca="1">AC7+1</f>
        <v>46502</v>
      </c>
      <c r="AE7" s="33">
        <f ca="1">AD7+1</f>
        <v>46503</v>
      </c>
      <c r="AF7" s="33">
        <f t="shared" ca="1" si="0"/>
        <v>46504</v>
      </c>
      <c r="AG7" s="33">
        <f t="shared" ca="1" si="0"/>
        <v>46505</v>
      </c>
      <c r="AH7" s="33">
        <f t="shared" ca="1" si="0"/>
        <v>46506</v>
      </c>
      <c r="AI7" s="33">
        <f t="shared" ca="1" si="0"/>
        <v>46507</v>
      </c>
      <c r="AJ7" s="34">
        <f t="shared" ca="1" si="0"/>
        <v>46508</v>
      </c>
      <c r="AK7" s="33">
        <f ca="1">AJ7+1</f>
        <v>46509</v>
      </c>
      <c r="AL7" s="33">
        <f ca="1">AK7+1</f>
        <v>46510</v>
      </c>
      <c r="AM7" s="33">
        <f t="shared" ca="1" si="0"/>
        <v>46511</v>
      </c>
      <c r="AN7" s="33">
        <f t="shared" ca="1" si="0"/>
        <v>46512</v>
      </c>
      <c r="AO7" s="33">
        <f t="shared" ca="1" si="0"/>
        <v>46513</v>
      </c>
      <c r="AP7" s="33">
        <f t="shared" ca="1" si="0"/>
        <v>46514</v>
      </c>
      <c r="AQ7" s="34">
        <f t="shared" ca="1" si="0"/>
        <v>46515</v>
      </c>
      <c r="AR7" s="33">
        <f ca="1">AQ7+1</f>
        <v>46516</v>
      </c>
      <c r="AS7" s="33">
        <f ca="1">AR7+1</f>
        <v>46517</v>
      </c>
      <c r="AT7" s="33">
        <f t="shared" ca="1" si="0"/>
        <v>46518</v>
      </c>
      <c r="AU7" s="33">
        <f t="shared" ca="1" si="0"/>
        <v>46519</v>
      </c>
      <c r="AV7" s="33">
        <f t="shared" ca="1" si="0"/>
        <v>46520</v>
      </c>
      <c r="AW7" s="33">
        <f t="shared" ca="1" si="0"/>
        <v>46521</v>
      </c>
      <c r="AX7" s="34">
        <f t="shared" ca="1" si="0"/>
        <v>46522</v>
      </c>
      <c r="AY7" s="33">
        <f ca="1">AX7+1</f>
        <v>46523</v>
      </c>
      <c r="AZ7" s="33">
        <f ca="1">AY7+1</f>
        <v>46524</v>
      </c>
      <c r="BA7" s="33">
        <f t="shared" ref="BA7:BE7" ca="1" si="1">AZ7+1</f>
        <v>46525</v>
      </c>
      <c r="BB7" s="33">
        <f t="shared" ca="1" si="1"/>
        <v>46526</v>
      </c>
      <c r="BC7" s="33">
        <f t="shared" ca="1" si="1"/>
        <v>46527</v>
      </c>
      <c r="BD7" s="33">
        <f t="shared" ca="1" si="1"/>
        <v>46528</v>
      </c>
      <c r="BE7" s="34">
        <f t="shared" ca="1" si="1"/>
        <v>46529</v>
      </c>
      <c r="BF7" s="33">
        <f ca="1">BE7+1</f>
        <v>46530</v>
      </c>
      <c r="BG7" s="33">
        <f ca="1">BF7+1</f>
        <v>46531</v>
      </c>
      <c r="BH7" s="33">
        <f t="shared" ref="BH7:BL7" ca="1" si="2">BG7+1</f>
        <v>46532</v>
      </c>
      <c r="BI7" s="33">
        <f t="shared" ca="1" si="2"/>
        <v>46533</v>
      </c>
      <c r="BJ7" s="33">
        <f t="shared" ca="1" si="2"/>
        <v>46534</v>
      </c>
      <c r="BK7" s="33">
        <f t="shared" ca="1" si="2"/>
        <v>46535</v>
      </c>
      <c r="BL7" s="34">
        <f t="shared" ca="1" si="2"/>
        <v>46536</v>
      </c>
    </row>
    <row r="8" spans="1:65" ht="19.899999999999999" customHeight="1" x14ac:dyDescent="0.25">
      <c r="A8" s="7"/>
      <c r="B8" s="18"/>
      <c r="C8" s="18"/>
      <c r="D8" s="18"/>
      <c r="E8" s="19"/>
      <c r="F8" s="19"/>
      <c r="G8" s="19"/>
      <c r="H8" s="23"/>
      <c r="I8" s="35"/>
      <c r="J8" s="36"/>
      <c r="K8" s="36"/>
      <c r="L8" s="36"/>
      <c r="M8" s="36"/>
      <c r="N8" s="36"/>
      <c r="O8" s="36"/>
      <c r="P8" s="37"/>
      <c r="Q8" s="36"/>
      <c r="R8" s="36"/>
      <c r="S8" s="36"/>
      <c r="T8" s="36"/>
      <c r="U8" s="36"/>
      <c r="V8" s="38"/>
      <c r="W8" s="36"/>
      <c r="X8" s="36"/>
      <c r="Y8" s="36"/>
      <c r="Z8" s="36"/>
      <c r="AA8" s="36"/>
      <c r="AB8" s="36"/>
      <c r="AC8" s="38"/>
      <c r="AD8" s="36"/>
      <c r="AE8" s="36"/>
      <c r="AF8" s="36"/>
      <c r="AG8" s="36"/>
      <c r="AH8" s="36"/>
      <c r="AI8" s="36"/>
      <c r="AJ8" s="38"/>
      <c r="AK8" s="36"/>
      <c r="AL8" s="36"/>
      <c r="AM8" s="36"/>
      <c r="AN8" s="36"/>
      <c r="AO8" s="36"/>
      <c r="AP8" s="36"/>
      <c r="AQ8" s="38"/>
      <c r="AR8" s="36"/>
      <c r="AS8" s="36"/>
      <c r="AT8" s="36"/>
      <c r="AU8" s="36"/>
      <c r="AV8" s="36"/>
      <c r="AW8" s="36"/>
      <c r="AX8" s="38"/>
      <c r="AY8" s="36"/>
      <c r="AZ8" s="36"/>
      <c r="BA8" s="36"/>
      <c r="BB8" s="36"/>
      <c r="BC8" s="36"/>
      <c r="BD8" s="36"/>
      <c r="BE8" s="38"/>
      <c r="BF8" s="36"/>
      <c r="BG8" s="36"/>
      <c r="BH8" s="36"/>
      <c r="BI8" s="36"/>
      <c r="BJ8" s="36"/>
      <c r="BK8" s="36"/>
      <c r="BL8" s="39"/>
    </row>
    <row r="9" spans="1:65" ht="40.15" customHeight="1" x14ac:dyDescent="0.25">
      <c r="A9" s="7" t="s">
        <v>14</v>
      </c>
      <c r="B9" s="52" t="s">
        <v>15</v>
      </c>
      <c r="C9" s="54" t="s">
        <v>16</v>
      </c>
      <c r="D9" s="53" t="s">
        <v>17</v>
      </c>
      <c r="E9" s="55" t="s">
        <v>18</v>
      </c>
      <c r="F9" s="55" t="s">
        <v>19</v>
      </c>
      <c r="G9" s="54" t="s">
        <v>20</v>
      </c>
      <c r="H9" s="59" t="s">
        <v>21</v>
      </c>
      <c r="I9" s="40" t="str">
        <f t="shared" ref="I9:AN9" ca="1" si="3">LEFT(TEXT(I7,"TTT"),1)</f>
        <v>S</v>
      </c>
      <c r="J9" s="40" t="str">
        <f t="shared" ca="1" si="3"/>
        <v>M</v>
      </c>
      <c r="K9" s="40" t="str">
        <f t="shared" ca="1" si="3"/>
        <v>D</v>
      </c>
      <c r="L9" s="40" t="str">
        <f t="shared" ca="1" si="3"/>
        <v>M</v>
      </c>
      <c r="M9" s="40" t="str">
        <f t="shared" ca="1" si="3"/>
        <v>D</v>
      </c>
      <c r="N9" s="40" t="str">
        <f t="shared" ca="1" si="3"/>
        <v>F</v>
      </c>
      <c r="O9" s="40" t="str">
        <f t="shared" ca="1" si="3"/>
        <v>S</v>
      </c>
      <c r="P9" s="40" t="str">
        <f t="shared" ca="1" si="3"/>
        <v>S</v>
      </c>
      <c r="Q9" s="40" t="str">
        <f t="shared" ca="1" si="3"/>
        <v>M</v>
      </c>
      <c r="R9" s="40" t="str">
        <f t="shared" ca="1" si="3"/>
        <v>D</v>
      </c>
      <c r="S9" s="40" t="str">
        <f t="shared" ca="1" si="3"/>
        <v>M</v>
      </c>
      <c r="T9" s="40" t="str">
        <f t="shared" ca="1" si="3"/>
        <v>D</v>
      </c>
      <c r="U9" s="40" t="str">
        <f t="shared" ca="1" si="3"/>
        <v>F</v>
      </c>
      <c r="V9" s="40" t="str">
        <f t="shared" ca="1" si="3"/>
        <v>S</v>
      </c>
      <c r="W9" s="40" t="str">
        <f t="shared" ca="1" si="3"/>
        <v>S</v>
      </c>
      <c r="X9" s="40" t="str">
        <f t="shared" ca="1" si="3"/>
        <v>M</v>
      </c>
      <c r="Y9" s="40" t="str">
        <f t="shared" ca="1" si="3"/>
        <v>D</v>
      </c>
      <c r="Z9" s="40" t="str">
        <f t="shared" ca="1" si="3"/>
        <v>M</v>
      </c>
      <c r="AA9" s="40" t="str">
        <f t="shared" ca="1" si="3"/>
        <v>D</v>
      </c>
      <c r="AB9" s="40" t="str">
        <f t="shared" ca="1" si="3"/>
        <v>F</v>
      </c>
      <c r="AC9" s="40" t="str">
        <f t="shared" ca="1" si="3"/>
        <v>S</v>
      </c>
      <c r="AD9" s="40" t="str">
        <f t="shared" ca="1" si="3"/>
        <v>S</v>
      </c>
      <c r="AE9" s="40" t="str">
        <f t="shared" ca="1" si="3"/>
        <v>M</v>
      </c>
      <c r="AF9" s="40" t="str">
        <f t="shared" ca="1" si="3"/>
        <v>D</v>
      </c>
      <c r="AG9" s="40" t="str">
        <f t="shared" ca="1" si="3"/>
        <v>M</v>
      </c>
      <c r="AH9" s="40" t="str">
        <f t="shared" ca="1" si="3"/>
        <v>D</v>
      </c>
      <c r="AI9" s="40" t="str">
        <f t="shared" ca="1" si="3"/>
        <v>F</v>
      </c>
      <c r="AJ9" s="40" t="str">
        <f t="shared" ca="1" si="3"/>
        <v>S</v>
      </c>
      <c r="AK9" s="40" t="str">
        <f t="shared" ca="1" si="3"/>
        <v>S</v>
      </c>
      <c r="AL9" s="40" t="str">
        <f t="shared" ca="1" si="3"/>
        <v>M</v>
      </c>
      <c r="AM9" s="40" t="str">
        <f t="shared" ca="1" si="3"/>
        <v>D</v>
      </c>
      <c r="AN9" s="40" t="str">
        <f t="shared" ca="1" si="3"/>
        <v>M</v>
      </c>
      <c r="AO9" s="40" t="str">
        <f t="shared" ref="AO9:BL9" ca="1" si="4">LEFT(TEXT(AO7,"TTT"),1)</f>
        <v>D</v>
      </c>
      <c r="AP9" s="40" t="str">
        <f t="shared" ca="1" si="4"/>
        <v>F</v>
      </c>
      <c r="AQ9" s="40" t="str">
        <f t="shared" ca="1" si="4"/>
        <v>S</v>
      </c>
      <c r="AR9" s="40" t="str">
        <f t="shared" ca="1" si="4"/>
        <v>S</v>
      </c>
      <c r="AS9" s="40" t="str">
        <f t="shared" ca="1" si="4"/>
        <v>M</v>
      </c>
      <c r="AT9" s="40" t="str">
        <f t="shared" ca="1" si="4"/>
        <v>D</v>
      </c>
      <c r="AU9" s="40" t="str">
        <f t="shared" ca="1" si="4"/>
        <v>M</v>
      </c>
      <c r="AV9" s="40" t="str">
        <f t="shared" ca="1" si="4"/>
        <v>D</v>
      </c>
      <c r="AW9" s="40" t="str">
        <f t="shared" ca="1" si="4"/>
        <v>F</v>
      </c>
      <c r="AX9" s="40" t="str">
        <f t="shared" ca="1" si="4"/>
        <v>S</v>
      </c>
      <c r="AY9" s="40" t="str">
        <f t="shared" ca="1" si="4"/>
        <v>S</v>
      </c>
      <c r="AZ9" s="40" t="str">
        <f t="shared" ca="1" si="4"/>
        <v>M</v>
      </c>
      <c r="BA9" s="40" t="str">
        <f t="shared" ca="1" si="4"/>
        <v>D</v>
      </c>
      <c r="BB9" s="40" t="str">
        <f t="shared" ca="1" si="4"/>
        <v>M</v>
      </c>
      <c r="BC9" s="40" t="str">
        <f t="shared" ca="1" si="4"/>
        <v>D</v>
      </c>
      <c r="BD9" s="40" t="str">
        <f t="shared" ca="1" si="4"/>
        <v>F</v>
      </c>
      <c r="BE9" s="40" t="str">
        <f t="shared" ca="1" si="4"/>
        <v>S</v>
      </c>
      <c r="BF9" s="40" t="str">
        <f t="shared" ca="1" si="4"/>
        <v>S</v>
      </c>
      <c r="BG9" s="40" t="str">
        <f t="shared" ca="1" si="4"/>
        <v>M</v>
      </c>
      <c r="BH9" s="40" t="str">
        <f t="shared" ca="1" si="4"/>
        <v>D</v>
      </c>
      <c r="BI9" s="40" t="str">
        <f t="shared" ca="1" si="4"/>
        <v>M</v>
      </c>
      <c r="BJ9" s="40" t="str">
        <f t="shared" ca="1" si="4"/>
        <v>D</v>
      </c>
      <c r="BK9" s="40" t="str">
        <f t="shared" ca="1" si="4"/>
        <v>F</v>
      </c>
      <c r="BL9" s="40" t="str">
        <f t="shared" ca="1" si="4"/>
        <v>S</v>
      </c>
    </row>
    <row r="10" spans="1:65" ht="15" hidden="1" customHeight="1" x14ac:dyDescent="0.25">
      <c r="B10" s="12"/>
      <c r="C10" s="10"/>
      <c r="D10" s="9"/>
      <c r="E10" s="10"/>
      <c r="F10" s="11">
        <f>H13-G11</f>
        <v>46486</v>
      </c>
      <c r="G10" s="60"/>
      <c r="H10" s="63">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96" t="s">
        <v>22</v>
      </c>
      <c r="B11" s="65" t="s">
        <v>23</v>
      </c>
      <c r="C11" s="56"/>
      <c r="D11" s="57" t="s">
        <v>24</v>
      </c>
      <c r="E11" s="58"/>
      <c r="F11" s="71">
        <f>INDEX(JP_StartSel,MATCH($E$4,JP_Massnahme,0))</f>
        <v>46481</v>
      </c>
      <c r="G11" s="72">
        <v>2</v>
      </c>
      <c r="H11" s="73">
        <f>F11+G11</f>
        <v>46483</v>
      </c>
      <c r="I11" s="45" t="str">
        <f t="shared" ref="I11:X28" ca="1" si="6">IF(AND($C11="Ziel",$H11=I$7),2,IF(AND($C11="Meilenstein",$H11=I$7),1,""))</f>
        <v/>
      </c>
      <c r="J11" s="45" t="str">
        <f t="shared" ca="1" si="6"/>
        <v/>
      </c>
      <c r="K11" s="45" t="str">
        <f t="shared" ca="1" si="6"/>
        <v/>
      </c>
      <c r="L11" s="45" t="str">
        <f t="shared" ca="1" si="6"/>
        <v/>
      </c>
      <c r="M11" s="45" t="str">
        <f t="shared" ca="1" si="6"/>
        <v/>
      </c>
      <c r="N11" s="45" t="str">
        <f t="shared" ca="1" si="6"/>
        <v/>
      </c>
      <c r="O11" s="45" t="str">
        <f t="shared" ca="1" si="6"/>
        <v/>
      </c>
      <c r="P11" s="45" t="str">
        <f t="shared" ca="1" si="6"/>
        <v/>
      </c>
      <c r="Q11" s="45" t="str">
        <f t="shared" ca="1" si="6"/>
        <v/>
      </c>
      <c r="R11" s="45" t="str">
        <f t="shared" ca="1" si="6"/>
        <v/>
      </c>
      <c r="S11" s="45" t="str">
        <f t="shared" ca="1" si="6"/>
        <v/>
      </c>
      <c r="T11" s="45" t="str">
        <f t="shared" ca="1" si="6"/>
        <v/>
      </c>
      <c r="U11" s="45" t="str">
        <f t="shared" ca="1" si="6"/>
        <v/>
      </c>
      <c r="V11" s="45" t="str">
        <f t="shared" ca="1" si="6"/>
        <v/>
      </c>
      <c r="W11" s="45" t="str">
        <f t="shared" ca="1" si="6"/>
        <v/>
      </c>
      <c r="X11" s="45" t="str">
        <f t="shared" ca="1" si="6"/>
        <v/>
      </c>
      <c r="Y11" s="45" t="str">
        <f t="shared" ref="Y11:BL11" ca="1" si="7">IF(AND($C11="Ziel",$H11=Y$7),2,IF(AND($C11="Meilenstein",$H11=Y$7),1,""))</f>
        <v/>
      </c>
      <c r="Z11" s="45" t="str">
        <f t="shared" ca="1" si="7"/>
        <v/>
      </c>
      <c r="AA11" s="45" t="str">
        <f t="shared" ca="1" si="7"/>
        <v/>
      </c>
      <c r="AB11" s="45" t="str">
        <f t="shared" ca="1" si="7"/>
        <v/>
      </c>
      <c r="AC11" s="45" t="str">
        <f t="shared" ca="1" si="7"/>
        <v/>
      </c>
      <c r="AD11" s="45" t="str">
        <f t="shared" ca="1" si="7"/>
        <v/>
      </c>
      <c r="AE11" s="45" t="str">
        <f t="shared" ca="1" si="7"/>
        <v/>
      </c>
      <c r="AF11" s="45" t="str">
        <f t="shared" ca="1" si="7"/>
        <v/>
      </c>
      <c r="AG11" s="45" t="str">
        <f t="shared" ca="1" si="7"/>
        <v/>
      </c>
      <c r="AH11" s="45" t="str">
        <f t="shared" ca="1" si="7"/>
        <v/>
      </c>
      <c r="AI11" s="45" t="str">
        <f t="shared" ca="1" si="7"/>
        <v/>
      </c>
      <c r="AJ11" s="45" t="str">
        <f t="shared" ca="1" si="7"/>
        <v/>
      </c>
      <c r="AK11" s="45" t="str">
        <f t="shared" ca="1" si="7"/>
        <v/>
      </c>
      <c r="AL11" s="45" t="str">
        <f t="shared" ca="1" si="7"/>
        <v/>
      </c>
      <c r="AM11" s="45" t="str">
        <f t="shared" ca="1" si="7"/>
        <v/>
      </c>
      <c r="AN11" s="45" t="str">
        <f t="shared" ca="1" si="7"/>
        <v/>
      </c>
      <c r="AO11" s="45" t="str">
        <f t="shared" ca="1" si="7"/>
        <v/>
      </c>
      <c r="AP11" s="45" t="str">
        <f t="shared" ca="1" si="7"/>
        <v/>
      </c>
      <c r="AQ11" s="45" t="str">
        <f t="shared" ca="1" si="7"/>
        <v/>
      </c>
      <c r="AR11" s="45" t="str">
        <f t="shared" ca="1" si="7"/>
        <v/>
      </c>
      <c r="AS11" s="45" t="str">
        <f t="shared" ca="1" si="7"/>
        <v/>
      </c>
      <c r="AT11" s="45" t="str">
        <f t="shared" ca="1" si="7"/>
        <v/>
      </c>
      <c r="AU11" s="45" t="str">
        <f t="shared" ca="1" si="7"/>
        <v/>
      </c>
      <c r="AV11" s="45" t="str">
        <f t="shared" ca="1" si="7"/>
        <v/>
      </c>
      <c r="AW11" s="45" t="str">
        <f t="shared" ca="1" si="7"/>
        <v/>
      </c>
      <c r="AX11" s="45" t="str">
        <f t="shared" ca="1" si="7"/>
        <v/>
      </c>
      <c r="AY11" s="45" t="str">
        <f t="shared" ca="1" si="7"/>
        <v/>
      </c>
      <c r="AZ11" s="45" t="str">
        <f t="shared" ca="1" si="7"/>
        <v/>
      </c>
      <c r="BA11" s="45" t="str">
        <f t="shared" ca="1" si="7"/>
        <v/>
      </c>
      <c r="BB11" s="45" t="str">
        <f t="shared" ca="1" si="7"/>
        <v/>
      </c>
      <c r="BC11" s="45" t="str">
        <f t="shared" ca="1" si="7"/>
        <v/>
      </c>
      <c r="BD11" s="45" t="str">
        <f t="shared" ca="1" si="7"/>
        <v/>
      </c>
      <c r="BE11" s="45" t="str">
        <f t="shared" ca="1" si="7"/>
        <v/>
      </c>
      <c r="BF11" s="45" t="str">
        <f t="shared" ca="1" si="7"/>
        <v/>
      </c>
      <c r="BG11" s="45" t="str">
        <f t="shared" ca="1" si="7"/>
        <v/>
      </c>
      <c r="BH11" s="45" t="str">
        <f t="shared" ca="1" si="7"/>
        <v/>
      </c>
      <c r="BI11" s="45" t="str">
        <f t="shared" ca="1" si="7"/>
        <v/>
      </c>
      <c r="BJ11" s="45" t="str">
        <f t="shared" ca="1" si="7"/>
        <v/>
      </c>
      <c r="BK11" s="45" t="str">
        <f t="shared" ca="1" si="7"/>
        <v/>
      </c>
      <c r="BL11" s="45" t="str">
        <f t="shared" ca="1" si="7"/>
        <v/>
      </c>
      <c r="BM11" s="45"/>
    </row>
    <row r="12" spans="1:65" s="1" customFormat="1" ht="18" customHeight="1" x14ac:dyDescent="0.25">
      <c r="A12" s="96"/>
      <c r="B12" s="65" t="s">
        <v>25</v>
      </c>
      <c r="C12" s="56"/>
      <c r="D12" s="57"/>
      <c r="E12" s="58"/>
      <c r="F12" s="71">
        <f>Plan_Sommer[[#This Row],[Ende]]-Plan_Sommer[[#This Row],[Dauer
in Tage]]</f>
        <v>46526</v>
      </c>
      <c r="G12" s="72">
        <v>14</v>
      </c>
      <c r="H12" s="73">
        <f>H15</f>
        <v>46540</v>
      </c>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K12" s="45"/>
      <c r="BL12" s="45"/>
      <c r="BM12" s="45"/>
    </row>
    <row r="13" spans="1:65" s="1" customFormat="1" ht="18" customHeight="1" x14ac:dyDescent="0.25">
      <c r="A13" s="96"/>
      <c r="B13" s="65" t="s">
        <v>26</v>
      </c>
      <c r="C13" s="56"/>
      <c r="D13" s="57"/>
      <c r="E13" s="58"/>
      <c r="F13" s="71">
        <f>H11</f>
        <v>46483</v>
      </c>
      <c r="G13" s="72">
        <v>5</v>
      </c>
      <c r="H13" s="73">
        <f>F13+G13</f>
        <v>46488</v>
      </c>
      <c r="I13" s="45" t="str">
        <f t="shared" ca="1" si="6"/>
        <v/>
      </c>
      <c r="J13" s="45" t="str">
        <f t="shared" ca="1" si="6"/>
        <v/>
      </c>
      <c r="K13" s="45" t="str">
        <f t="shared" ca="1" si="6"/>
        <v/>
      </c>
      <c r="L13" s="45" t="str">
        <f t="shared" ca="1" si="6"/>
        <v/>
      </c>
      <c r="M13" s="45" t="str">
        <f t="shared" ca="1" si="6"/>
        <v/>
      </c>
      <c r="N13" s="45" t="str">
        <f t="shared" ca="1" si="6"/>
        <v/>
      </c>
      <c r="O13" s="45" t="str">
        <f t="shared" ca="1" si="6"/>
        <v/>
      </c>
      <c r="P13" s="45" t="str">
        <f t="shared" ca="1" si="6"/>
        <v/>
      </c>
      <c r="Q13" s="45" t="str">
        <f t="shared" ca="1" si="6"/>
        <v/>
      </c>
      <c r="R13" s="45" t="str">
        <f t="shared" ca="1" si="6"/>
        <v/>
      </c>
      <c r="S13" s="45" t="str">
        <f t="shared" ca="1" si="6"/>
        <v/>
      </c>
      <c r="T13" s="45" t="str">
        <f t="shared" ca="1" si="6"/>
        <v/>
      </c>
      <c r="U13" s="45" t="str">
        <f t="shared" ca="1" si="6"/>
        <v/>
      </c>
      <c r="V13" s="45" t="str">
        <f t="shared" ca="1" si="6"/>
        <v/>
      </c>
      <c r="W13" s="45" t="str">
        <f t="shared" ref="W13:W19" ca="1" si="8">IF(AND($C13="Ziel",$H13=W$7),2,IF(AND($C13="Meilenstein",$H13=W$7),1,""))</f>
        <v/>
      </c>
      <c r="X13" s="45" t="str">
        <f t="shared" ref="X13:BL18" ca="1" si="9">IF(AND($C13="Ziel",$H13=X$7),2,IF(AND($C13="Meilenstein",$H13=X$7),1,""))</f>
        <v/>
      </c>
      <c r="Y13" s="45" t="str">
        <f t="shared" ca="1" si="9"/>
        <v/>
      </c>
      <c r="Z13" s="45" t="str">
        <f t="shared" ca="1" si="9"/>
        <v/>
      </c>
      <c r="AA13" s="45" t="str">
        <f t="shared" ca="1" si="9"/>
        <v/>
      </c>
      <c r="AB13" s="45" t="str">
        <f t="shared" ca="1" si="9"/>
        <v/>
      </c>
      <c r="AC13" s="45" t="str">
        <f t="shared" ca="1" si="9"/>
        <v/>
      </c>
      <c r="AD13" s="45" t="str">
        <f t="shared" ca="1" si="9"/>
        <v/>
      </c>
      <c r="AE13" s="45" t="str">
        <f t="shared" ca="1" si="9"/>
        <v/>
      </c>
      <c r="AF13" s="45" t="str">
        <f t="shared" ca="1" si="9"/>
        <v/>
      </c>
      <c r="AG13" s="45" t="str">
        <f t="shared" ca="1" si="9"/>
        <v/>
      </c>
      <c r="AH13" s="45" t="str">
        <f t="shared" ca="1" si="9"/>
        <v/>
      </c>
      <c r="AI13" s="45" t="str">
        <f t="shared" ca="1" si="9"/>
        <v/>
      </c>
      <c r="AJ13" s="45" t="str">
        <f t="shared" ca="1" si="9"/>
        <v/>
      </c>
      <c r="AK13" s="45" t="str">
        <f t="shared" ca="1" si="9"/>
        <v/>
      </c>
      <c r="AL13" s="45" t="str">
        <f t="shared" ca="1" si="9"/>
        <v/>
      </c>
      <c r="AM13" s="45" t="str">
        <f t="shared" ca="1" si="9"/>
        <v/>
      </c>
      <c r="AN13" s="45" t="str">
        <f t="shared" ca="1" si="9"/>
        <v/>
      </c>
      <c r="AO13" s="45" t="str">
        <f t="shared" ca="1" si="9"/>
        <v/>
      </c>
      <c r="AP13" s="45" t="str">
        <f t="shared" ca="1" si="9"/>
        <v/>
      </c>
      <c r="AQ13" s="45" t="str">
        <f t="shared" ca="1" si="9"/>
        <v/>
      </c>
      <c r="AR13" s="45" t="str">
        <f t="shared" ca="1" si="9"/>
        <v/>
      </c>
      <c r="AS13" s="45" t="str">
        <f t="shared" ca="1" si="9"/>
        <v/>
      </c>
      <c r="AT13" s="45" t="str">
        <f t="shared" ca="1" si="9"/>
        <v/>
      </c>
      <c r="AU13" s="45" t="str">
        <f t="shared" ca="1" si="9"/>
        <v/>
      </c>
      <c r="AV13" s="45" t="str">
        <f t="shared" ca="1" si="9"/>
        <v/>
      </c>
      <c r="AW13" s="45" t="str">
        <f t="shared" ca="1" si="9"/>
        <v/>
      </c>
      <c r="AX13" s="45" t="str">
        <f t="shared" ca="1" si="9"/>
        <v/>
      </c>
      <c r="AY13" s="45" t="str">
        <f t="shared" ca="1" si="9"/>
        <v/>
      </c>
      <c r="AZ13" s="45" t="str">
        <f t="shared" ca="1" si="9"/>
        <v/>
      </c>
      <c r="BA13" s="45" t="str">
        <f t="shared" ca="1" si="9"/>
        <v/>
      </c>
      <c r="BB13" s="45" t="str">
        <f t="shared" ca="1" si="9"/>
        <v/>
      </c>
      <c r="BC13" s="45" t="str">
        <f t="shared" ca="1" si="9"/>
        <v/>
      </c>
      <c r="BD13" s="45" t="str">
        <f t="shared" ca="1" si="9"/>
        <v/>
      </c>
      <c r="BE13" s="45" t="str">
        <f t="shared" ca="1" si="9"/>
        <v/>
      </c>
      <c r="BF13" s="45" t="str">
        <f t="shared" ca="1" si="9"/>
        <v/>
      </c>
      <c r="BG13" s="45" t="str">
        <f t="shared" ca="1" si="9"/>
        <v/>
      </c>
      <c r="BH13" s="45" t="str">
        <f t="shared" ca="1" si="9"/>
        <v/>
      </c>
      <c r="BI13" s="45" t="str">
        <f t="shared" ca="1" si="9"/>
        <v/>
      </c>
      <c r="BJ13" s="45" t="str">
        <f t="shared" ca="1" si="9"/>
        <v/>
      </c>
      <c r="BK13" s="45" t="str">
        <f t="shared" ca="1" si="9"/>
        <v/>
      </c>
      <c r="BL13" s="45" t="str">
        <f t="shared" ca="1" si="9"/>
        <v/>
      </c>
      <c r="BM13" s="45"/>
    </row>
    <row r="14" spans="1:65" s="1" customFormat="1" ht="18" customHeight="1" x14ac:dyDescent="0.25">
      <c r="A14" s="96"/>
      <c r="B14" s="65" t="s">
        <v>27</v>
      </c>
      <c r="C14" s="56"/>
      <c r="D14" s="57" t="s">
        <v>28</v>
      </c>
      <c r="E14" s="58"/>
      <c r="F14" s="71">
        <f>H13</f>
        <v>46488</v>
      </c>
      <c r="G14" s="72">
        <f>H14-F14</f>
        <v>52</v>
      </c>
      <c r="H14" s="73">
        <f>H23</f>
        <v>46540</v>
      </c>
      <c r="I14" s="45" t="str">
        <f t="shared" ca="1" si="6"/>
        <v/>
      </c>
      <c r="J14" s="45" t="str">
        <f t="shared" ca="1" si="6"/>
        <v/>
      </c>
      <c r="K14" s="45" t="str">
        <f t="shared" ca="1" si="6"/>
        <v/>
      </c>
      <c r="L14" s="45" t="str">
        <f t="shared" ca="1" si="6"/>
        <v/>
      </c>
      <c r="M14" s="45" t="str">
        <f t="shared" ca="1" si="6"/>
        <v/>
      </c>
      <c r="N14" s="45" t="str">
        <f t="shared" ca="1" si="6"/>
        <v/>
      </c>
      <c r="O14" s="45" t="str">
        <f t="shared" ca="1" si="6"/>
        <v/>
      </c>
      <c r="P14" s="45" t="str">
        <f t="shared" ca="1" si="6"/>
        <v/>
      </c>
      <c r="Q14" s="45" t="str">
        <f t="shared" ca="1" si="6"/>
        <v/>
      </c>
      <c r="R14" s="45" t="str">
        <f t="shared" ca="1" si="6"/>
        <v/>
      </c>
      <c r="S14" s="45" t="str">
        <f t="shared" ca="1" si="6"/>
        <v/>
      </c>
      <c r="T14" s="45" t="str">
        <f t="shared" ca="1" si="6"/>
        <v/>
      </c>
      <c r="U14" s="45" t="str">
        <f t="shared" ca="1" si="6"/>
        <v/>
      </c>
      <c r="V14" s="45" t="str">
        <f t="shared" ca="1" si="6"/>
        <v/>
      </c>
      <c r="W14" s="45" t="str">
        <f t="shared" ca="1" si="8"/>
        <v/>
      </c>
      <c r="X14" s="45" t="str">
        <f t="shared" ca="1" si="9"/>
        <v/>
      </c>
      <c r="Y14" s="45" t="str">
        <f t="shared" ca="1" si="9"/>
        <v/>
      </c>
      <c r="Z14" s="45" t="str">
        <f t="shared" ca="1" si="9"/>
        <v/>
      </c>
      <c r="AA14" s="45" t="str">
        <f t="shared" ca="1" si="9"/>
        <v/>
      </c>
      <c r="AB14" s="45" t="str">
        <f t="shared" ca="1" si="9"/>
        <v/>
      </c>
      <c r="AC14" s="45" t="str">
        <f t="shared" ca="1" si="9"/>
        <v/>
      </c>
      <c r="AD14" s="45" t="str">
        <f t="shared" ca="1" si="9"/>
        <v/>
      </c>
      <c r="AE14" s="45" t="str">
        <f t="shared" ca="1" si="9"/>
        <v/>
      </c>
      <c r="AF14" s="45" t="str">
        <f t="shared" ca="1" si="9"/>
        <v/>
      </c>
      <c r="AG14" s="45" t="str">
        <f t="shared" ca="1" si="9"/>
        <v/>
      </c>
      <c r="AH14" s="45" t="str">
        <f t="shared" ca="1" si="9"/>
        <v/>
      </c>
      <c r="AI14" s="45" t="str">
        <f t="shared" ca="1" si="9"/>
        <v/>
      </c>
      <c r="AJ14" s="45" t="str">
        <f t="shared" ca="1" si="9"/>
        <v/>
      </c>
      <c r="AK14" s="45" t="str">
        <f t="shared" ca="1" si="9"/>
        <v/>
      </c>
      <c r="AL14" s="45" t="str">
        <f t="shared" ca="1" si="9"/>
        <v/>
      </c>
      <c r="AM14" s="45" t="str">
        <f t="shared" ca="1" si="9"/>
        <v/>
      </c>
      <c r="AN14" s="45" t="str">
        <f t="shared" ca="1" si="9"/>
        <v/>
      </c>
      <c r="AO14" s="45" t="str">
        <f t="shared" ca="1" si="9"/>
        <v/>
      </c>
      <c r="AP14" s="45" t="str">
        <f t="shared" ca="1" si="9"/>
        <v/>
      </c>
      <c r="AQ14" s="45" t="str">
        <f t="shared" ca="1" si="9"/>
        <v/>
      </c>
      <c r="AR14" s="45" t="str">
        <f t="shared" ca="1" si="9"/>
        <v/>
      </c>
      <c r="AS14" s="45" t="str">
        <f t="shared" ca="1" si="9"/>
        <v/>
      </c>
      <c r="AT14" s="45" t="str">
        <f t="shared" ca="1" si="9"/>
        <v/>
      </c>
      <c r="AU14" s="45" t="str">
        <f t="shared" ca="1" si="9"/>
        <v/>
      </c>
      <c r="AV14" s="45" t="str">
        <f t="shared" ca="1" si="9"/>
        <v/>
      </c>
      <c r="AW14" s="45" t="str">
        <f t="shared" ca="1" si="9"/>
        <v/>
      </c>
      <c r="AX14" s="45" t="str">
        <f t="shared" ca="1" si="9"/>
        <v/>
      </c>
      <c r="AY14" s="45" t="str">
        <f t="shared" ca="1" si="9"/>
        <v/>
      </c>
      <c r="AZ14" s="45" t="str">
        <f t="shared" ca="1" si="9"/>
        <v/>
      </c>
      <c r="BA14" s="45" t="str">
        <f t="shared" ca="1" si="9"/>
        <v/>
      </c>
      <c r="BB14" s="45" t="str">
        <f t="shared" ca="1" si="9"/>
        <v/>
      </c>
      <c r="BC14" s="45" t="str">
        <f t="shared" ca="1" si="9"/>
        <v/>
      </c>
      <c r="BD14" s="45" t="str">
        <f t="shared" ca="1" si="9"/>
        <v/>
      </c>
      <c r="BE14" s="45" t="str">
        <f t="shared" ca="1" si="9"/>
        <v/>
      </c>
      <c r="BF14" s="45" t="str">
        <f t="shared" ca="1" si="9"/>
        <v/>
      </c>
      <c r="BG14" s="45" t="str">
        <f t="shared" ca="1" si="9"/>
        <v/>
      </c>
      <c r="BH14" s="45" t="str">
        <f t="shared" ca="1" si="9"/>
        <v/>
      </c>
      <c r="BI14" s="45" t="str">
        <f t="shared" ca="1" si="9"/>
        <v/>
      </c>
      <c r="BJ14" s="45" t="str">
        <f t="shared" ca="1" si="9"/>
        <v/>
      </c>
      <c r="BK14" s="45" t="str">
        <f t="shared" ca="1" si="9"/>
        <v/>
      </c>
      <c r="BL14" s="45" t="str">
        <f t="shared" ca="1" si="9"/>
        <v/>
      </c>
      <c r="BM14" s="45"/>
    </row>
    <row r="15" spans="1:65" s="1" customFormat="1" ht="18" customHeight="1" x14ac:dyDescent="0.25">
      <c r="A15" s="96"/>
      <c r="B15" s="78" t="s">
        <v>29</v>
      </c>
      <c r="C15" s="90" t="s">
        <v>10</v>
      </c>
      <c r="D15" s="79"/>
      <c r="E15" s="80"/>
      <c r="F15" s="81"/>
      <c r="G15" s="82"/>
      <c r="H15" s="83">
        <f>H24</f>
        <v>46540</v>
      </c>
      <c r="I15" s="84" t="str">
        <f t="shared" ca="1" si="6"/>
        <v/>
      </c>
      <c r="J15" s="84" t="str">
        <f t="shared" ca="1" si="6"/>
        <v/>
      </c>
      <c r="K15" s="84" t="str">
        <f t="shared" ca="1" si="6"/>
        <v/>
      </c>
      <c r="L15" s="84" t="str">
        <f t="shared" ca="1" si="6"/>
        <v/>
      </c>
      <c r="M15" s="84" t="str">
        <f t="shared" ca="1" si="6"/>
        <v/>
      </c>
      <c r="N15" s="84" t="str">
        <f t="shared" ca="1" si="6"/>
        <v/>
      </c>
      <c r="O15" s="84" t="str">
        <f t="shared" ca="1" si="6"/>
        <v/>
      </c>
      <c r="P15" s="84" t="str">
        <f t="shared" ca="1" si="6"/>
        <v/>
      </c>
      <c r="Q15" s="84" t="str">
        <f t="shared" ca="1" si="6"/>
        <v/>
      </c>
      <c r="R15" s="84" t="str">
        <f t="shared" ca="1" si="6"/>
        <v/>
      </c>
      <c r="S15" s="84" t="str">
        <f t="shared" ca="1" si="6"/>
        <v/>
      </c>
      <c r="T15" s="84" t="str">
        <f t="shared" ca="1" si="6"/>
        <v/>
      </c>
      <c r="U15" s="84" t="str">
        <f t="shared" ca="1" si="6"/>
        <v/>
      </c>
      <c r="V15" s="84" t="str">
        <f t="shared" ca="1" si="6"/>
        <v/>
      </c>
      <c r="W15" s="84" t="str">
        <f t="shared" ca="1" si="8"/>
        <v/>
      </c>
      <c r="X15" s="84" t="str">
        <f t="shared" ca="1" si="9"/>
        <v/>
      </c>
      <c r="Y15" s="84" t="str">
        <f t="shared" ca="1" si="9"/>
        <v/>
      </c>
      <c r="Z15" s="84" t="str">
        <f t="shared" ca="1" si="9"/>
        <v/>
      </c>
      <c r="AA15" s="84" t="str">
        <f t="shared" ca="1" si="9"/>
        <v/>
      </c>
      <c r="AB15" s="84" t="str">
        <f t="shared" ca="1" si="9"/>
        <v/>
      </c>
      <c r="AC15" s="84" t="str">
        <f t="shared" ca="1" si="9"/>
        <v/>
      </c>
      <c r="AD15" s="84" t="str">
        <f t="shared" ca="1" si="9"/>
        <v/>
      </c>
      <c r="AE15" s="84" t="str">
        <f t="shared" ca="1" si="9"/>
        <v/>
      </c>
      <c r="AF15" s="84" t="str">
        <f t="shared" ca="1" si="9"/>
        <v/>
      </c>
      <c r="AG15" s="84" t="str">
        <f t="shared" ca="1" si="9"/>
        <v/>
      </c>
      <c r="AH15" s="84" t="str">
        <f t="shared" ca="1" si="9"/>
        <v/>
      </c>
      <c r="AI15" s="84" t="str">
        <f t="shared" ca="1" si="9"/>
        <v/>
      </c>
      <c r="AJ15" s="84" t="str">
        <f t="shared" ca="1" si="9"/>
        <v/>
      </c>
      <c r="AK15" s="84" t="str">
        <f t="shared" ca="1" si="9"/>
        <v/>
      </c>
      <c r="AL15" s="84" t="str">
        <f t="shared" ca="1" si="9"/>
        <v/>
      </c>
      <c r="AM15" s="84" t="str">
        <f t="shared" ca="1" si="9"/>
        <v/>
      </c>
      <c r="AN15" s="84" t="str">
        <f t="shared" ca="1" si="9"/>
        <v/>
      </c>
      <c r="AO15" s="84" t="str">
        <f t="shared" ca="1" si="9"/>
        <v/>
      </c>
      <c r="AP15" s="84" t="str">
        <f t="shared" ca="1" si="9"/>
        <v/>
      </c>
      <c r="AQ15" s="84" t="str">
        <f t="shared" ca="1" si="9"/>
        <v/>
      </c>
      <c r="AR15" s="84" t="str">
        <f t="shared" ca="1" si="9"/>
        <v/>
      </c>
      <c r="AS15" s="84" t="str">
        <f t="shared" ca="1" si="9"/>
        <v/>
      </c>
      <c r="AT15" s="84" t="str">
        <f t="shared" ca="1" si="9"/>
        <v/>
      </c>
      <c r="AU15" s="84" t="str">
        <f t="shared" ca="1" si="9"/>
        <v/>
      </c>
      <c r="AV15" s="84" t="str">
        <f t="shared" ca="1" si="9"/>
        <v/>
      </c>
      <c r="AW15" s="84" t="str">
        <f t="shared" ca="1" si="9"/>
        <v/>
      </c>
      <c r="AX15" s="84" t="str">
        <f t="shared" ca="1" si="9"/>
        <v/>
      </c>
      <c r="AY15" s="84" t="str">
        <f t="shared" ca="1" si="9"/>
        <v/>
      </c>
      <c r="AZ15" s="84" t="str">
        <f t="shared" ca="1" si="9"/>
        <v/>
      </c>
      <c r="BA15" s="84" t="str">
        <f t="shared" ca="1" si="9"/>
        <v/>
      </c>
      <c r="BB15" s="84" t="str">
        <f t="shared" ca="1" si="9"/>
        <v/>
      </c>
      <c r="BC15" s="84" t="str">
        <f t="shared" ca="1" si="9"/>
        <v/>
      </c>
      <c r="BD15" s="84" t="str">
        <f t="shared" ca="1" si="9"/>
        <v/>
      </c>
      <c r="BE15" s="84" t="str">
        <f t="shared" ca="1" si="9"/>
        <v/>
      </c>
      <c r="BF15" s="84" t="str">
        <f t="shared" ca="1" si="9"/>
        <v/>
      </c>
      <c r="BG15" s="84" t="str">
        <f t="shared" ca="1" si="9"/>
        <v/>
      </c>
      <c r="BH15" s="84" t="str">
        <f t="shared" ca="1" si="9"/>
        <v/>
      </c>
      <c r="BI15" s="84" t="str">
        <f t="shared" ca="1" si="9"/>
        <v/>
      </c>
      <c r="BJ15" s="84" t="str">
        <f t="shared" ca="1" si="9"/>
        <v/>
      </c>
      <c r="BK15" s="84" t="str">
        <f t="shared" ca="1" si="9"/>
        <v/>
      </c>
      <c r="BL15" s="84" t="str">
        <f t="shared" ca="1" si="9"/>
        <v/>
      </c>
      <c r="BM15" s="84"/>
    </row>
    <row r="16" spans="1:65" s="1" customFormat="1" ht="18" customHeight="1" x14ac:dyDescent="0.25">
      <c r="A16" s="102" t="s">
        <v>30</v>
      </c>
      <c r="B16" s="66" t="s">
        <v>31</v>
      </c>
      <c r="C16" s="56"/>
      <c r="D16" s="64"/>
      <c r="E16" s="58"/>
      <c r="F16" s="71"/>
      <c r="G16" s="72"/>
      <c r="H16" s="73"/>
      <c r="I16" s="69" t="str">
        <f t="shared" ca="1" si="6"/>
        <v/>
      </c>
      <c r="J16" s="69" t="str">
        <f t="shared" ca="1" si="6"/>
        <v/>
      </c>
      <c r="K16" s="69" t="str">
        <f t="shared" ca="1" si="6"/>
        <v/>
      </c>
      <c r="L16" s="69" t="str">
        <f t="shared" ca="1" si="6"/>
        <v/>
      </c>
      <c r="M16" s="69" t="str">
        <f t="shared" ca="1" si="6"/>
        <v/>
      </c>
      <c r="N16" s="69" t="str">
        <f t="shared" ca="1" si="6"/>
        <v/>
      </c>
      <c r="O16" s="69" t="str">
        <f t="shared" ca="1" si="6"/>
        <v/>
      </c>
      <c r="P16" s="69" t="str">
        <f t="shared" ca="1" si="6"/>
        <v/>
      </c>
      <c r="Q16" s="69" t="str">
        <f t="shared" ca="1" si="6"/>
        <v/>
      </c>
      <c r="R16" s="69" t="str">
        <f t="shared" ca="1" si="6"/>
        <v/>
      </c>
      <c r="S16" s="69" t="str">
        <f t="shared" ca="1" si="6"/>
        <v/>
      </c>
      <c r="T16" s="69" t="str">
        <f t="shared" ca="1" si="6"/>
        <v/>
      </c>
      <c r="U16" s="69" t="str">
        <f t="shared" ca="1" si="6"/>
        <v/>
      </c>
      <c r="V16" s="69" t="str">
        <f t="shared" ca="1" si="6"/>
        <v/>
      </c>
      <c r="W16" s="69" t="str">
        <f t="shared" ca="1" si="8"/>
        <v/>
      </c>
      <c r="X16" s="69" t="str">
        <f t="shared" ca="1" si="9"/>
        <v/>
      </c>
      <c r="Y16" s="69" t="str">
        <f t="shared" ca="1" si="9"/>
        <v/>
      </c>
      <c r="Z16" s="69" t="str">
        <f t="shared" ca="1" si="9"/>
        <v/>
      </c>
      <c r="AA16" s="69" t="str">
        <f t="shared" ca="1" si="9"/>
        <v/>
      </c>
      <c r="AB16" s="69" t="str">
        <f t="shared" ca="1" si="9"/>
        <v/>
      </c>
      <c r="AC16" s="69" t="str">
        <f t="shared" ca="1" si="9"/>
        <v/>
      </c>
      <c r="AD16" s="69" t="str">
        <f t="shared" ca="1" si="9"/>
        <v/>
      </c>
      <c r="AE16" s="69" t="str">
        <f t="shared" ca="1" si="9"/>
        <v/>
      </c>
      <c r="AF16" s="69" t="str">
        <f t="shared" ca="1" si="9"/>
        <v/>
      </c>
      <c r="AG16" s="69" t="str">
        <f t="shared" ca="1" si="9"/>
        <v/>
      </c>
      <c r="AH16" s="69" t="str">
        <f t="shared" ca="1" si="9"/>
        <v/>
      </c>
      <c r="AI16" s="69" t="str">
        <f t="shared" ca="1" si="9"/>
        <v/>
      </c>
      <c r="AJ16" s="69" t="str">
        <f t="shared" ca="1" si="9"/>
        <v/>
      </c>
      <c r="AK16" s="69" t="str">
        <f t="shared" ca="1" si="9"/>
        <v/>
      </c>
      <c r="AL16" s="69" t="str">
        <f t="shared" ca="1" si="9"/>
        <v/>
      </c>
      <c r="AM16" s="69" t="str">
        <f t="shared" ca="1" si="9"/>
        <v/>
      </c>
      <c r="AN16" s="69" t="str">
        <f t="shared" ca="1" si="9"/>
        <v/>
      </c>
      <c r="AO16" s="69" t="str">
        <f t="shared" ca="1" si="9"/>
        <v/>
      </c>
      <c r="AP16" s="69" t="str">
        <f t="shared" ca="1" si="9"/>
        <v/>
      </c>
      <c r="AQ16" s="69" t="str">
        <f t="shared" ca="1" si="9"/>
        <v/>
      </c>
      <c r="AR16" s="69" t="str">
        <f t="shared" ca="1" si="9"/>
        <v/>
      </c>
      <c r="AS16" s="69" t="str">
        <f t="shared" ca="1" si="9"/>
        <v/>
      </c>
      <c r="AT16" s="69" t="str">
        <f t="shared" ca="1" si="9"/>
        <v/>
      </c>
      <c r="AU16" s="69" t="str">
        <f t="shared" ca="1" si="9"/>
        <v/>
      </c>
      <c r="AV16" s="69" t="str">
        <f t="shared" ca="1" si="9"/>
        <v/>
      </c>
      <c r="AW16" s="69" t="str">
        <f t="shared" ca="1" si="9"/>
        <v/>
      </c>
      <c r="AX16" s="69" t="str">
        <f t="shared" ca="1" si="9"/>
        <v/>
      </c>
      <c r="AY16" s="69" t="str">
        <f t="shared" ca="1" si="9"/>
        <v/>
      </c>
      <c r="AZ16" s="69" t="str">
        <f t="shared" ca="1" si="9"/>
        <v/>
      </c>
      <c r="BA16" s="69" t="str">
        <f t="shared" ca="1" si="9"/>
        <v/>
      </c>
      <c r="BB16" s="69" t="str">
        <f t="shared" ca="1" si="9"/>
        <v/>
      </c>
      <c r="BC16" s="69" t="str">
        <f t="shared" ca="1" si="9"/>
        <v/>
      </c>
      <c r="BD16" s="69" t="str">
        <f t="shared" ca="1" si="9"/>
        <v/>
      </c>
      <c r="BE16" s="69" t="str">
        <f t="shared" ca="1" si="9"/>
        <v/>
      </c>
      <c r="BF16" s="69" t="str">
        <f t="shared" ca="1" si="9"/>
        <v/>
      </c>
      <c r="BG16" s="69" t="str">
        <f t="shared" ca="1" si="9"/>
        <v/>
      </c>
      <c r="BH16" s="69" t="str">
        <f t="shared" ca="1" si="9"/>
        <v/>
      </c>
      <c r="BI16" s="69" t="str">
        <f t="shared" ca="1" si="9"/>
        <v/>
      </c>
      <c r="BJ16" s="69" t="str">
        <f t="shared" ca="1" si="9"/>
        <v/>
      </c>
      <c r="BK16" s="69" t="str">
        <f t="shared" ca="1" si="9"/>
        <v/>
      </c>
      <c r="BL16" s="69" t="str">
        <f t="shared" ca="1" si="9"/>
        <v/>
      </c>
      <c r="BM16" s="69"/>
    </row>
    <row r="17" spans="1:65" s="1" customFormat="1" ht="18" customHeight="1" x14ac:dyDescent="0.25">
      <c r="A17" s="102"/>
      <c r="B17" s="65" t="s">
        <v>32</v>
      </c>
      <c r="C17" s="56"/>
      <c r="D17" s="64"/>
      <c r="E17" s="58"/>
      <c r="F17" s="71">
        <f>INDEX(JP_StartInhalt,MATCH($E$4,JP_Massnahme,0))</f>
        <v>46499</v>
      </c>
      <c r="G17" s="72">
        <f>H17-F17</f>
        <v>1</v>
      </c>
      <c r="H17" s="73">
        <f>F18</f>
        <v>46500</v>
      </c>
      <c r="I17" s="45" t="str">
        <f t="shared" ca="1" si="6"/>
        <v/>
      </c>
      <c r="J17" s="45" t="str">
        <f t="shared" ca="1" si="6"/>
        <v/>
      </c>
      <c r="K17" s="45" t="str">
        <f t="shared" ca="1" si="6"/>
        <v/>
      </c>
      <c r="L17" s="45" t="str">
        <f t="shared" ca="1" si="6"/>
        <v/>
      </c>
      <c r="M17" s="45" t="str">
        <f t="shared" ca="1" si="6"/>
        <v/>
      </c>
      <c r="N17" s="45" t="str">
        <f t="shared" ca="1" si="6"/>
        <v/>
      </c>
      <c r="O17" s="45" t="str">
        <f t="shared" ca="1" si="6"/>
        <v/>
      </c>
      <c r="P17" s="45" t="str">
        <f t="shared" ca="1" si="6"/>
        <v/>
      </c>
      <c r="Q17" s="45" t="str">
        <f t="shared" ca="1" si="6"/>
        <v/>
      </c>
      <c r="R17" s="45" t="str">
        <f t="shared" ca="1" si="6"/>
        <v/>
      </c>
      <c r="S17" s="45" t="str">
        <f t="shared" ca="1" si="6"/>
        <v/>
      </c>
      <c r="T17" s="45" t="str">
        <f t="shared" ca="1" si="6"/>
        <v/>
      </c>
      <c r="U17" s="45" t="str">
        <f t="shared" ca="1" si="6"/>
        <v/>
      </c>
      <c r="V17" s="45" t="str">
        <f t="shared" ca="1" si="6"/>
        <v/>
      </c>
      <c r="W17" s="45" t="str">
        <f t="shared" ca="1" si="8"/>
        <v/>
      </c>
      <c r="X17" s="45" t="str">
        <f t="shared" ca="1" si="9"/>
        <v/>
      </c>
      <c r="Y17" s="45" t="str">
        <f t="shared" ca="1" si="9"/>
        <v/>
      </c>
      <c r="Z17" s="45" t="str">
        <f t="shared" ca="1" si="9"/>
        <v/>
      </c>
      <c r="AA17" s="45" t="str">
        <f t="shared" ca="1" si="9"/>
        <v/>
      </c>
      <c r="AB17" s="45" t="str">
        <f t="shared" ca="1" si="9"/>
        <v/>
      </c>
      <c r="AC17" s="45" t="str">
        <f t="shared" ca="1" si="9"/>
        <v/>
      </c>
      <c r="AD17" s="45" t="str">
        <f t="shared" ca="1" si="9"/>
        <v/>
      </c>
      <c r="AE17" s="45" t="str">
        <f t="shared" ca="1" si="9"/>
        <v/>
      </c>
      <c r="AF17" s="45" t="str">
        <f t="shared" ca="1" si="9"/>
        <v/>
      </c>
      <c r="AG17" s="45" t="str">
        <f t="shared" ca="1" si="9"/>
        <v/>
      </c>
      <c r="AH17" s="45" t="str">
        <f t="shared" ca="1" si="9"/>
        <v/>
      </c>
      <c r="AI17" s="45" t="str">
        <f t="shared" ca="1" si="9"/>
        <v/>
      </c>
      <c r="AJ17" s="45" t="str">
        <f t="shared" ca="1" si="9"/>
        <v/>
      </c>
      <c r="AK17" s="45" t="str">
        <f t="shared" ca="1" si="9"/>
        <v/>
      </c>
      <c r="AL17" s="45" t="str">
        <f t="shared" ca="1" si="9"/>
        <v/>
      </c>
      <c r="AM17" s="45" t="str">
        <f t="shared" ca="1" si="9"/>
        <v/>
      </c>
      <c r="AN17" s="45" t="str">
        <f t="shared" ca="1" si="9"/>
        <v/>
      </c>
      <c r="AO17" s="45" t="str">
        <f t="shared" ca="1" si="9"/>
        <v/>
      </c>
      <c r="AP17" s="45" t="str">
        <f t="shared" ca="1" si="9"/>
        <v/>
      </c>
      <c r="AQ17" s="45" t="str">
        <f t="shared" ca="1" si="9"/>
        <v/>
      </c>
      <c r="AR17" s="45" t="str">
        <f t="shared" ca="1" si="9"/>
        <v/>
      </c>
      <c r="AS17" s="45" t="str">
        <f t="shared" ca="1" si="9"/>
        <v/>
      </c>
      <c r="AT17" s="45" t="str">
        <f t="shared" ca="1" si="9"/>
        <v/>
      </c>
      <c r="AU17" s="45" t="str">
        <f t="shared" ca="1" si="9"/>
        <v/>
      </c>
      <c r="AV17" s="45" t="str">
        <f t="shared" ca="1" si="9"/>
        <v/>
      </c>
      <c r="AW17" s="45" t="str">
        <f t="shared" ca="1" si="9"/>
        <v/>
      </c>
      <c r="AX17" s="45" t="str">
        <f t="shared" ca="1" si="9"/>
        <v/>
      </c>
      <c r="AY17" s="45" t="str">
        <f t="shared" ca="1" si="9"/>
        <v/>
      </c>
      <c r="AZ17" s="45" t="str">
        <f t="shared" ca="1" si="9"/>
        <v/>
      </c>
      <c r="BA17" s="45" t="str">
        <f t="shared" ca="1" si="9"/>
        <v/>
      </c>
      <c r="BB17" s="45" t="str">
        <f t="shared" ca="1" si="9"/>
        <v/>
      </c>
      <c r="BC17" s="45" t="str">
        <f t="shared" ca="1" si="9"/>
        <v/>
      </c>
      <c r="BD17" s="45" t="str">
        <f t="shared" ca="1" si="9"/>
        <v/>
      </c>
      <c r="BE17" s="45" t="str">
        <f t="shared" ca="1" si="9"/>
        <v/>
      </c>
      <c r="BF17" s="45" t="str">
        <f t="shared" ca="1" si="9"/>
        <v/>
      </c>
      <c r="BG17" s="45" t="str">
        <f t="shared" ca="1" si="9"/>
        <v/>
      </c>
      <c r="BH17" s="45" t="str">
        <f t="shared" ca="1" si="9"/>
        <v/>
      </c>
      <c r="BI17" s="45" t="str">
        <f t="shared" ca="1" si="9"/>
        <v/>
      </c>
      <c r="BJ17" s="45" t="str">
        <f t="shared" ca="1" si="9"/>
        <v/>
      </c>
      <c r="BK17" s="45" t="str">
        <f t="shared" ca="1" si="9"/>
        <v/>
      </c>
      <c r="BL17" s="45" t="str">
        <f t="shared" ca="1" si="9"/>
        <v/>
      </c>
      <c r="BM17" s="45"/>
    </row>
    <row r="18" spans="1:65" s="1" customFormat="1" ht="18" customHeight="1" x14ac:dyDescent="0.25">
      <c r="A18" s="102"/>
      <c r="B18" s="65" t="s">
        <v>33</v>
      </c>
      <c r="C18" s="56"/>
      <c r="D18" s="57"/>
      <c r="E18" s="58"/>
      <c r="F18" s="71">
        <f>Plan_Sommer[[#This Row],[Ende]]-Plan_Sommer[[#This Row],[Dauer
in Tage]]</f>
        <v>46500</v>
      </c>
      <c r="G18" s="72">
        <v>7</v>
      </c>
      <c r="H18" s="73">
        <f>F21</f>
        <v>46507</v>
      </c>
      <c r="I18" s="45" t="str">
        <f t="shared" ca="1" si="6"/>
        <v/>
      </c>
      <c r="J18" s="45" t="str">
        <f t="shared" ca="1" si="6"/>
        <v/>
      </c>
      <c r="K18" s="45" t="str">
        <f t="shared" ca="1" si="6"/>
        <v/>
      </c>
      <c r="L18" s="45" t="str">
        <f t="shared" ca="1" si="6"/>
        <v/>
      </c>
      <c r="M18" s="45" t="str">
        <f t="shared" ca="1" si="6"/>
        <v/>
      </c>
      <c r="N18" s="45" t="str">
        <f t="shared" ca="1" si="6"/>
        <v/>
      </c>
      <c r="O18" s="45" t="str">
        <f t="shared" ca="1" si="6"/>
        <v/>
      </c>
      <c r="P18" s="45" t="str">
        <f t="shared" ca="1" si="6"/>
        <v/>
      </c>
      <c r="Q18" s="45" t="str">
        <f t="shared" ca="1" si="6"/>
        <v/>
      </c>
      <c r="R18" s="45" t="str">
        <f t="shared" ca="1" si="6"/>
        <v/>
      </c>
      <c r="S18" s="45" t="str">
        <f t="shared" ca="1" si="6"/>
        <v/>
      </c>
      <c r="T18" s="45" t="str">
        <f t="shared" ca="1" si="6"/>
        <v/>
      </c>
      <c r="U18" s="45" t="str">
        <f t="shared" ca="1" si="6"/>
        <v/>
      </c>
      <c r="V18" s="45" t="str">
        <f t="shared" ca="1" si="6"/>
        <v/>
      </c>
      <c r="W18" s="45" t="str">
        <f t="shared" ca="1" si="8"/>
        <v/>
      </c>
      <c r="X18" s="45" t="str">
        <f t="shared" ca="1" si="9"/>
        <v/>
      </c>
      <c r="Y18" s="45" t="str">
        <f t="shared" ca="1" si="9"/>
        <v/>
      </c>
      <c r="Z18" s="45" t="str">
        <f t="shared" ca="1" si="9"/>
        <v/>
      </c>
      <c r="AA18" s="45" t="str">
        <f t="shared" ca="1" si="9"/>
        <v/>
      </c>
      <c r="AB18" s="45" t="str">
        <f t="shared" ref="X18:BL24" ca="1" si="10">IF(AND($C18="Ziel",$H18=AB$7),2,IF(AND($C18="Meilenstein",$H18=AB$7),1,""))</f>
        <v/>
      </c>
      <c r="AC18" s="45" t="str">
        <f t="shared" ca="1" si="10"/>
        <v/>
      </c>
      <c r="AD18" s="45" t="str">
        <f t="shared" ca="1" si="10"/>
        <v/>
      </c>
      <c r="AE18" s="45" t="str">
        <f t="shared" ca="1" si="10"/>
        <v/>
      </c>
      <c r="AF18" s="45" t="str">
        <f t="shared" ca="1" si="10"/>
        <v/>
      </c>
      <c r="AG18" s="45" t="str">
        <f t="shared" ca="1" si="10"/>
        <v/>
      </c>
      <c r="AH18" s="45" t="str">
        <f t="shared" ca="1" si="10"/>
        <v/>
      </c>
      <c r="AI18" s="45" t="str">
        <f t="shared" ca="1" si="10"/>
        <v/>
      </c>
      <c r="AJ18" s="45" t="str">
        <f t="shared" ca="1" si="10"/>
        <v/>
      </c>
      <c r="AK18" s="45" t="str">
        <f t="shared" ca="1" si="10"/>
        <v/>
      </c>
      <c r="AL18" s="45" t="str">
        <f t="shared" ca="1" si="10"/>
        <v/>
      </c>
      <c r="AM18" s="45" t="str">
        <f t="shared" ca="1" si="10"/>
        <v/>
      </c>
      <c r="AN18" s="45" t="str">
        <f t="shared" ca="1" si="10"/>
        <v/>
      </c>
      <c r="AO18" s="45" t="str">
        <f t="shared" ca="1" si="10"/>
        <v/>
      </c>
      <c r="AP18" s="45" t="str">
        <f t="shared" ca="1" si="10"/>
        <v/>
      </c>
      <c r="AQ18" s="45" t="str">
        <f t="shared" ca="1" si="10"/>
        <v/>
      </c>
      <c r="AR18" s="45" t="str">
        <f t="shared" ca="1" si="10"/>
        <v/>
      </c>
      <c r="AS18" s="45" t="str">
        <f t="shared" ca="1" si="10"/>
        <v/>
      </c>
      <c r="AT18" s="45" t="str">
        <f t="shared" ca="1" si="10"/>
        <v/>
      </c>
      <c r="AU18" s="45" t="str">
        <f t="shared" ca="1" si="10"/>
        <v/>
      </c>
      <c r="AV18" s="45" t="str">
        <f t="shared" ca="1" si="10"/>
        <v/>
      </c>
      <c r="AW18" s="45" t="str">
        <f t="shared" ca="1" si="10"/>
        <v/>
      </c>
      <c r="AX18" s="45" t="str">
        <f t="shared" ca="1" si="10"/>
        <v/>
      </c>
      <c r="AY18" s="45" t="str">
        <f t="shared" ca="1" si="10"/>
        <v/>
      </c>
      <c r="AZ18" s="45" t="str">
        <f t="shared" ca="1" si="10"/>
        <v/>
      </c>
      <c r="BA18" s="45" t="str">
        <f t="shared" ca="1" si="10"/>
        <v/>
      </c>
      <c r="BB18" s="45" t="str">
        <f t="shared" ca="1" si="10"/>
        <v/>
      </c>
      <c r="BC18" s="45" t="str">
        <f t="shared" ca="1" si="10"/>
        <v/>
      </c>
      <c r="BD18" s="45" t="str">
        <f t="shared" ca="1" si="10"/>
        <v/>
      </c>
      <c r="BE18" s="45" t="str">
        <f t="shared" ca="1" si="10"/>
        <v/>
      </c>
      <c r="BF18" s="45" t="str">
        <f t="shared" ca="1" si="10"/>
        <v/>
      </c>
      <c r="BG18" s="45" t="str">
        <f t="shared" ca="1" si="10"/>
        <v/>
      </c>
      <c r="BH18" s="45" t="str">
        <f t="shared" ca="1" si="10"/>
        <v/>
      </c>
      <c r="BI18" s="45" t="str">
        <f t="shared" ca="1" si="10"/>
        <v/>
      </c>
      <c r="BJ18" s="45" t="str">
        <f t="shared" ca="1" si="10"/>
        <v/>
      </c>
      <c r="BK18" s="45" t="str">
        <f t="shared" ca="1" si="10"/>
        <v/>
      </c>
      <c r="BL18" s="45" t="str">
        <f t="shared" ca="1" si="10"/>
        <v/>
      </c>
      <c r="BM18" s="45"/>
    </row>
    <row r="19" spans="1:65" s="1" customFormat="1" ht="18" customHeight="1" x14ac:dyDescent="0.25">
      <c r="A19" s="102"/>
      <c r="B19" s="65" t="s">
        <v>34</v>
      </c>
      <c r="C19" s="56"/>
      <c r="D19" s="57"/>
      <c r="E19" s="58"/>
      <c r="F19" s="71">
        <f>Plan_Sommer[[#This Row],[Ende]]-Plan_Sommer[[#This Row],[Dauer
in Tage]]</f>
        <v>46500</v>
      </c>
      <c r="G19" s="72">
        <v>7</v>
      </c>
      <c r="H19" s="73">
        <f>F21</f>
        <v>46507</v>
      </c>
      <c r="I19" s="45" t="str">
        <f t="shared" ca="1" si="6"/>
        <v/>
      </c>
      <c r="J19" s="45" t="str">
        <f t="shared" ca="1" si="6"/>
        <v/>
      </c>
      <c r="K19" s="45" t="str">
        <f t="shared" ca="1" si="6"/>
        <v/>
      </c>
      <c r="L19" s="45" t="str">
        <f t="shared" ca="1" si="6"/>
        <v/>
      </c>
      <c r="M19" s="45" t="str">
        <f t="shared" ca="1" si="6"/>
        <v/>
      </c>
      <c r="N19" s="45" t="str">
        <f t="shared" ca="1" si="6"/>
        <v/>
      </c>
      <c r="O19" s="45" t="str">
        <f t="shared" ca="1" si="6"/>
        <v/>
      </c>
      <c r="P19" s="45" t="str">
        <f t="shared" ca="1" si="6"/>
        <v/>
      </c>
      <c r="Q19" s="45" t="str">
        <f t="shared" ca="1" si="6"/>
        <v/>
      </c>
      <c r="R19" s="45" t="str">
        <f t="shared" ca="1" si="6"/>
        <v/>
      </c>
      <c r="S19" s="45" t="str">
        <f t="shared" ca="1" si="6"/>
        <v/>
      </c>
      <c r="T19" s="45" t="str">
        <f t="shared" ca="1" si="6"/>
        <v/>
      </c>
      <c r="U19" s="45" t="str">
        <f t="shared" ca="1" si="6"/>
        <v/>
      </c>
      <c r="V19" s="45" t="str">
        <f t="shared" ca="1" si="6"/>
        <v/>
      </c>
      <c r="W19" s="45" t="str">
        <f t="shared" ca="1" si="8"/>
        <v/>
      </c>
      <c r="X19" s="45" t="str">
        <f t="shared" ca="1" si="10"/>
        <v/>
      </c>
      <c r="Y19" s="45" t="str">
        <f t="shared" ca="1" si="10"/>
        <v/>
      </c>
      <c r="Z19" s="45" t="str">
        <f t="shared" ca="1" si="10"/>
        <v/>
      </c>
      <c r="AA19" s="45" t="str">
        <f t="shared" ca="1" si="10"/>
        <v/>
      </c>
      <c r="AB19" s="45" t="str">
        <f t="shared" ca="1" si="10"/>
        <v/>
      </c>
      <c r="AC19" s="45" t="str">
        <f t="shared" ca="1" si="10"/>
        <v/>
      </c>
      <c r="AD19" s="45" t="str">
        <f t="shared" ca="1" si="10"/>
        <v/>
      </c>
      <c r="AE19" s="45" t="str">
        <f t="shared" ca="1" si="10"/>
        <v/>
      </c>
      <c r="AF19" s="45" t="str">
        <f t="shared" ca="1" si="10"/>
        <v/>
      </c>
      <c r="AG19" s="45" t="str">
        <f t="shared" ca="1" si="10"/>
        <v/>
      </c>
      <c r="AH19" s="45" t="str">
        <f t="shared" ca="1" si="10"/>
        <v/>
      </c>
      <c r="AI19" s="45" t="str">
        <f t="shared" ca="1" si="10"/>
        <v/>
      </c>
      <c r="AJ19" s="45" t="str">
        <f t="shared" ca="1" si="10"/>
        <v/>
      </c>
      <c r="AK19" s="45" t="str">
        <f t="shared" ca="1" si="10"/>
        <v/>
      </c>
      <c r="AL19" s="45" t="str">
        <f t="shared" ca="1" si="10"/>
        <v/>
      </c>
      <c r="AM19" s="45" t="str">
        <f t="shared" ca="1" si="10"/>
        <v/>
      </c>
      <c r="AN19" s="45" t="str">
        <f t="shared" ca="1" si="10"/>
        <v/>
      </c>
      <c r="AO19" s="45" t="str">
        <f t="shared" ca="1" si="10"/>
        <v/>
      </c>
      <c r="AP19" s="45" t="str">
        <f t="shared" ca="1" si="10"/>
        <v/>
      </c>
      <c r="AQ19" s="45" t="str">
        <f t="shared" ca="1" si="10"/>
        <v/>
      </c>
      <c r="AR19" s="45" t="str">
        <f t="shared" ca="1" si="10"/>
        <v/>
      </c>
      <c r="AS19" s="45" t="str">
        <f t="shared" ca="1" si="10"/>
        <v/>
      </c>
      <c r="AT19" s="45" t="str">
        <f t="shared" ca="1" si="10"/>
        <v/>
      </c>
      <c r="AU19" s="45" t="str">
        <f t="shared" ca="1" si="10"/>
        <v/>
      </c>
      <c r="AV19" s="45" t="str">
        <f t="shared" ca="1" si="10"/>
        <v/>
      </c>
      <c r="AW19" s="45" t="str">
        <f t="shared" ca="1" si="10"/>
        <v/>
      </c>
      <c r="AX19" s="45" t="str">
        <f t="shared" ca="1" si="10"/>
        <v/>
      </c>
      <c r="AY19" s="45" t="str">
        <f t="shared" ca="1" si="10"/>
        <v/>
      </c>
      <c r="AZ19" s="45" t="str">
        <f t="shared" ca="1" si="10"/>
        <v/>
      </c>
      <c r="BA19" s="45" t="str">
        <f t="shared" ca="1" si="10"/>
        <v/>
      </c>
      <c r="BB19" s="45" t="str">
        <f t="shared" ca="1" si="10"/>
        <v/>
      </c>
      <c r="BC19" s="45" t="str">
        <f t="shared" ca="1" si="10"/>
        <v/>
      </c>
      <c r="BD19" s="45" t="str">
        <f t="shared" ca="1" si="10"/>
        <v/>
      </c>
      <c r="BE19" s="45" t="str">
        <f t="shared" ca="1" si="10"/>
        <v/>
      </c>
      <c r="BF19" s="45" t="str">
        <f t="shared" ca="1" si="10"/>
        <v/>
      </c>
      <c r="BG19" s="45" t="str">
        <f t="shared" ca="1" si="10"/>
        <v/>
      </c>
      <c r="BH19" s="45" t="str">
        <f t="shared" ca="1" si="10"/>
        <v/>
      </c>
      <c r="BI19" s="45" t="str">
        <f t="shared" ca="1" si="10"/>
        <v/>
      </c>
      <c r="BJ19" s="45" t="str">
        <f t="shared" ca="1" si="10"/>
        <v/>
      </c>
      <c r="BK19" s="45" t="str">
        <f t="shared" ca="1" si="10"/>
        <v/>
      </c>
      <c r="BL19" s="45" t="str">
        <f t="shared" ca="1" si="10"/>
        <v/>
      </c>
      <c r="BM19" s="45"/>
    </row>
    <row r="20" spans="1:65" s="1" customFormat="1" ht="18" customHeight="1" x14ac:dyDescent="0.25">
      <c r="A20" s="102"/>
      <c r="B20" s="66" t="s">
        <v>35</v>
      </c>
      <c r="C20" s="91" t="s">
        <v>9</v>
      </c>
      <c r="D20" s="57"/>
      <c r="E20" s="58"/>
      <c r="F20" s="71"/>
      <c r="G20" s="72"/>
      <c r="H20" s="74">
        <f>F21</f>
        <v>46507</v>
      </c>
      <c r="I20" s="45" t="str">
        <f t="shared" ca="1" si="6"/>
        <v/>
      </c>
      <c r="J20" s="45" t="str">
        <f t="shared" ca="1" si="6"/>
        <v/>
      </c>
      <c r="K20" s="45" t="str">
        <f t="shared" ca="1" si="6"/>
        <v/>
      </c>
      <c r="L20" s="45" t="str">
        <f t="shared" ca="1" si="6"/>
        <v/>
      </c>
      <c r="M20" s="45" t="str">
        <f t="shared" ca="1" si="6"/>
        <v/>
      </c>
      <c r="N20" s="45" t="str">
        <f t="shared" ca="1" si="6"/>
        <v/>
      </c>
      <c r="O20" s="45" t="str">
        <f t="shared" ca="1" si="6"/>
        <v/>
      </c>
      <c r="P20" s="45" t="str">
        <f t="shared" ca="1" si="6"/>
        <v/>
      </c>
      <c r="Q20" s="45" t="str">
        <f t="shared" ca="1" si="6"/>
        <v/>
      </c>
      <c r="R20" s="45" t="str">
        <f t="shared" ca="1" si="6"/>
        <v/>
      </c>
      <c r="S20" s="45" t="str">
        <f t="shared" ca="1" si="6"/>
        <v/>
      </c>
      <c r="T20" s="45" t="str">
        <f t="shared" ca="1" si="6"/>
        <v/>
      </c>
      <c r="U20" s="45" t="str">
        <f t="shared" ca="1" si="6"/>
        <v/>
      </c>
      <c r="V20" s="45" t="str">
        <f t="shared" ca="1" si="6"/>
        <v/>
      </c>
      <c r="W20" s="45" t="str">
        <f ca="1">IF(AND($C20="Ziel",$H20=W$7),2,IF(AND($C20="Meilenstein",$H20=W$7),1,""))</f>
        <v/>
      </c>
      <c r="X20" s="45" t="str">
        <f t="shared" ca="1" si="10"/>
        <v/>
      </c>
      <c r="Y20" s="45" t="str">
        <f t="shared" ca="1" si="10"/>
        <v/>
      </c>
      <c r="Z20" s="45" t="str">
        <f t="shared" ca="1" si="10"/>
        <v/>
      </c>
      <c r="AA20" s="45" t="str">
        <f t="shared" ca="1" si="10"/>
        <v/>
      </c>
      <c r="AB20" s="45" t="str">
        <f t="shared" ca="1" si="10"/>
        <v/>
      </c>
      <c r="AC20" s="45" t="str">
        <f t="shared" ca="1" si="10"/>
        <v/>
      </c>
      <c r="AD20" s="45" t="str">
        <f t="shared" ca="1" si="10"/>
        <v/>
      </c>
      <c r="AE20" s="45" t="str">
        <f t="shared" ca="1" si="10"/>
        <v/>
      </c>
      <c r="AF20" s="45" t="str">
        <f t="shared" ca="1" si="10"/>
        <v/>
      </c>
      <c r="AG20" s="45" t="str">
        <f t="shared" ca="1" si="10"/>
        <v/>
      </c>
      <c r="AH20" s="45" t="str">
        <f t="shared" ca="1" si="10"/>
        <v/>
      </c>
      <c r="AI20" s="45">
        <f t="shared" ca="1" si="10"/>
        <v>1</v>
      </c>
      <c r="AJ20" s="45" t="str">
        <f t="shared" ca="1" si="10"/>
        <v/>
      </c>
      <c r="AK20" s="45" t="str">
        <f t="shared" ca="1" si="10"/>
        <v/>
      </c>
      <c r="AL20" s="45" t="str">
        <f t="shared" ca="1" si="10"/>
        <v/>
      </c>
      <c r="AM20" s="45" t="str">
        <f t="shared" ca="1" si="10"/>
        <v/>
      </c>
      <c r="AN20" s="45" t="str">
        <f t="shared" ca="1" si="10"/>
        <v/>
      </c>
      <c r="AO20" s="45" t="str">
        <f t="shared" ca="1" si="10"/>
        <v/>
      </c>
      <c r="AP20" s="45" t="str">
        <f t="shared" ca="1" si="10"/>
        <v/>
      </c>
      <c r="AQ20" s="45" t="str">
        <f t="shared" ca="1" si="10"/>
        <v/>
      </c>
      <c r="AR20" s="45" t="str">
        <f t="shared" ca="1" si="10"/>
        <v/>
      </c>
      <c r="AS20" s="45" t="str">
        <f t="shared" ca="1" si="10"/>
        <v/>
      </c>
      <c r="AT20" s="45" t="str">
        <f t="shared" ca="1" si="10"/>
        <v/>
      </c>
      <c r="AU20" s="45" t="str">
        <f t="shared" ca="1" si="10"/>
        <v/>
      </c>
      <c r="AV20" s="45" t="str">
        <f t="shared" ca="1" si="10"/>
        <v/>
      </c>
      <c r="AW20" s="45" t="str">
        <f t="shared" ca="1" si="10"/>
        <v/>
      </c>
      <c r="AX20" s="45" t="str">
        <f t="shared" ca="1" si="10"/>
        <v/>
      </c>
      <c r="AY20" s="45" t="str">
        <f t="shared" ca="1" si="10"/>
        <v/>
      </c>
      <c r="AZ20" s="45" t="str">
        <f t="shared" ca="1" si="10"/>
        <v/>
      </c>
      <c r="BA20" s="45" t="str">
        <f t="shared" ca="1" si="10"/>
        <v/>
      </c>
      <c r="BB20" s="45" t="str">
        <f t="shared" ca="1" si="10"/>
        <v/>
      </c>
      <c r="BC20" s="45" t="str">
        <f t="shared" ca="1" si="10"/>
        <v/>
      </c>
      <c r="BD20" s="45" t="str">
        <f t="shared" ca="1" si="10"/>
        <v/>
      </c>
      <c r="BE20" s="45" t="str">
        <f t="shared" ca="1" si="10"/>
        <v/>
      </c>
      <c r="BF20" s="45" t="str">
        <f t="shared" ca="1" si="10"/>
        <v/>
      </c>
      <c r="BG20" s="45" t="str">
        <f t="shared" ca="1" si="10"/>
        <v/>
      </c>
      <c r="BH20" s="45" t="str">
        <f t="shared" ca="1" si="10"/>
        <v/>
      </c>
      <c r="BI20" s="45" t="str">
        <f t="shared" ca="1" si="10"/>
        <v/>
      </c>
      <c r="BJ20" s="45" t="str">
        <f t="shared" ca="1" si="10"/>
        <v/>
      </c>
      <c r="BK20" s="45" t="str">
        <f t="shared" ca="1" si="10"/>
        <v/>
      </c>
      <c r="BL20" s="45" t="str">
        <f t="shared" ca="1" si="10"/>
        <v/>
      </c>
      <c r="BM20" s="45"/>
    </row>
    <row r="21" spans="1:65" s="1" customFormat="1" ht="18" customHeight="1" x14ac:dyDescent="0.25">
      <c r="A21" s="102"/>
      <c r="B21" s="65" t="s">
        <v>36</v>
      </c>
      <c r="C21" s="56"/>
      <c r="D21" s="57"/>
      <c r="E21" s="58"/>
      <c r="F21" s="71">
        <f>Plan_Sommer[[#This Row],[Ende]]-Plan_Sommer[[#This Row],[Dauer
in Tage]]</f>
        <v>46507</v>
      </c>
      <c r="G21" s="72">
        <v>14</v>
      </c>
      <c r="H21" s="108">
        <f t="shared" ref="H21:H22" si="11">F22</f>
        <v>46521</v>
      </c>
      <c r="I21" s="45" t="str">
        <f t="shared" ca="1" si="6"/>
        <v/>
      </c>
      <c r="J21" s="45" t="str">
        <f t="shared" ca="1" si="6"/>
        <v/>
      </c>
      <c r="K21" s="45" t="str">
        <f t="shared" ca="1" si="6"/>
        <v/>
      </c>
      <c r="L21" s="45" t="str">
        <f t="shared" ca="1" si="6"/>
        <v/>
      </c>
      <c r="M21" s="45" t="str">
        <f t="shared" ca="1" si="6"/>
        <v/>
      </c>
      <c r="N21" s="45" t="str">
        <f t="shared" ca="1" si="6"/>
        <v/>
      </c>
      <c r="O21" s="45" t="str">
        <f t="shared" ca="1" si="6"/>
        <v/>
      </c>
      <c r="P21" s="45" t="str">
        <f t="shared" ca="1" si="6"/>
        <v/>
      </c>
      <c r="Q21" s="45" t="str">
        <f t="shared" ca="1" si="6"/>
        <v/>
      </c>
      <c r="R21" s="45" t="str">
        <f t="shared" ca="1" si="6"/>
        <v/>
      </c>
      <c r="S21" s="45" t="str">
        <f t="shared" ca="1" si="6"/>
        <v/>
      </c>
      <c r="T21" s="45" t="str">
        <f t="shared" ca="1" si="6"/>
        <v/>
      </c>
      <c r="U21" s="45" t="str">
        <f t="shared" ca="1" si="6"/>
        <v/>
      </c>
      <c r="V21" s="45" t="str">
        <f t="shared" ca="1" si="6"/>
        <v/>
      </c>
      <c r="W21" s="45" t="str">
        <f t="shared" ref="W21:W45" ca="1" si="12">IF(AND($C21="Ziel",$H21=W$7),2,IF(AND($C21="Meilenstein",$H21=W$7),1,""))</f>
        <v/>
      </c>
      <c r="X21" s="45" t="str">
        <f t="shared" ca="1" si="10"/>
        <v/>
      </c>
      <c r="Y21" s="45" t="str">
        <f t="shared" ca="1" si="10"/>
        <v/>
      </c>
      <c r="Z21" s="45" t="str">
        <f t="shared" ca="1" si="10"/>
        <v/>
      </c>
      <c r="AA21" s="45" t="str">
        <f t="shared" ca="1" si="10"/>
        <v/>
      </c>
      <c r="AB21" s="45" t="str">
        <f t="shared" ca="1" si="10"/>
        <v/>
      </c>
      <c r="AC21" s="45" t="str">
        <f t="shared" ca="1" si="10"/>
        <v/>
      </c>
      <c r="AD21" s="45" t="str">
        <f t="shared" ca="1" si="10"/>
        <v/>
      </c>
      <c r="AE21" s="45" t="str">
        <f t="shared" ca="1" si="10"/>
        <v/>
      </c>
      <c r="AF21" s="45" t="str">
        <f t="shared" ca="1" si="10"/>
        <v/>
      </c>
      <c r="AG21" s="45" t="str">
        <f t="shared" ca="1" si="10"/>
        <v/>
      </c>
      <c r="AH21" s="45" t="str">
        <f t="shared" ca="1" si="10"/>
        <v/>
      </c>
      <c r="AI21" s="45" t="str">
        <f t="shared" ca="1" si="10"/>
        <v/>
      </c>
      <c r="AJ21" s="45" t="str">
        <f t="shared" ca="1" si="10"/>
        <v/>
      </c>
      <c r="AK21" s="45" t="str">
        <f t="shared" ca="1" si="10"/>
        <v/>
      </c>
      <c r="AL21" s="45" t="str">
        <f t="shared" ca="1" si="10"/>
        <v/>
      </c>
      <c r="AM21" s="45" t="str">
        <f t="shared" ca="1" si="10"/>
        <v/>
      </c>
      <c r="AN21" s="45" t="str">
        <f t="shared" ca="1" si="10"/>
        <v/>
      </c>
      <c r="AO21" s="45" t="str">
        <f t="shared" ca="1" si="10"/>
        <v/>
      </c>
      <c r="AP21" s="45" t="str">
        <f t="shared" ca="1" si="10"/>
        <v/>
      </c>
      <c r="AQ21" s="45" t="str">
        <f t="shared" ca="1" si="10"/>
        <v/>
      </c>
      <c r="AR21" s="45" t="str">
        <f t="shared" ca="1" si="10"/>
        <v/>
      </c>
      <c r="AS21" s="45" t="str">
        <f t="shared" ca="1" si="10"/>
        <v/>
      </c>
      <c r="AT21" s="45" t="str">
        <f t="shared" ca="1" si="10"/>
        <v/>
      </c>
      <c r="AU21" s="45" t="str">
        <f t="shared" ca="1" si="10"/>
        <v/>
      </c>
      <c r="AV21" s="45" t="str">
        <f t="shared" ca="1" si="10"/>
        <v/>
      </c>
      <c r="AW21" s="45" t="str">
        <f t="shared" ca="1" si="10"/>
        <v/>
      </c>
      <c r="AX21" s="45" t="str">
        <f t="shared" ca="1" si="10"/>
        <v/>
      </c>
      <c r="AY21" s="45" t="str">
        <f t="shared" ca="1" si="10"/>
        <v/>
      </c>
      <c r="AZ21" s="45" t="str">
        <f t="shared" ca="1" si="10"/>
        <v/>
      </c>
      <c r="BA21" s="45" t="str">
        <f t="shared" ca="1" si="10"/>
        <v/>
      </c>
      <c r="BB21" s="45" t="str">
        <f t="shared" ca="1" si="10"/>
        <v/>
      </c>
      <c r="BC21" s="45" t="str">
        <f t="shared" ca="1" si="10"/>
        <v/>
      </c>
      <c r="BD21" s="45" t="str">
        <f t="shared" ca="1" si="10"/>
        <v/>
      </c>
      <c r="BE21" s="45" t="str">
        <f t="shared" ca="1" si="10"/>
        <v/>
      </c>
      <c r="BF21" s="45" t="str">
        <f t="shared" ca="1" si="10"/>
        <v/>
      </c>
      <c r="BG21" s="45" t="str">
        <f t="shared" ca="1" si="10"/>
        <v/>
      </c>
      <c r="BH21" s="45" t="str">
        <f t="shared" ca="1" si="10"/>
        <v/>
      </c>
      <c r="BI21" s="45" t="str">
        <f t="shared" ca="1" si="10"/>
        <v/>
      </c>
      <c r="BJ21" s="45" t="str">
        <f t="shared" ca="1" si="10"/>
        <v/>
      </c>
      <c r="BK21" s="45" t="str">
        <f t="shared" ca="1" si="10"/>
        <v/>
      </c>
      <c r="BL21" s="45" t="str">
        <f t="shared" ca="1" si="10"/>
        <v/>
      </c>
      <c r="BM21" s="45"/>
    </row>
    <row r="22" spans="1:65" s="1" customFormat="1" ht="18" customHeight="1" x14ac:dyDescent="0.25">
      <c r="A22" s="102"/>
      <c r="B22" s="65" t="s">
        <v>37</v>
      </c>
      <c r="C22" s="56"/>
      <c r="D22" s="57"/>
      <c r="E22" s="58"/>
      <c r="F22" s="71">
        <f>Plan_Sommer[[#This Row],[Ende]]-Plan_Sommer[[#This Row],[Dauer
in Tage]]</f>
        <v>46521</v>
      </c>
      <c r="G22" s="72">
        <v>5</v>
      </c>
      <c r="H22" s="73">
        <f t="shared" si="11"/>
        <v>46526</v>
      </c>
      <c r="I22" s="45" t="str">
        <f t="shared" ca="1" si="6"/>
        <v/>
      </c>
      <c r="J22" s="45" t="str">
        <f t="shared" ca="1" si="6"/>
        <v/>
      </c>
      <c r="K22" s="45" t="str">
        <f t="shared" ca="1" si="6"/>
        <v/>
      </c>
      <c r="L22" s="45" t="str">
        <f t="shared" ca="1" si="6"/>
        <v/>
      </c>
      <c r="M22" s="45" t="str">
        <f t="shared" ca="1" si="6"/>
        <v/>
      </c>
      <c r="N22" s="45" t="str">
        <f t="shared" ca="1" si="6"/>
        <v/>
      </c>
      <c r="O22" s="45" t="str">
        <f t="shared" ca="1" si="6"/>
        <v/>
      </c>
      <c r="P22" s="45" t="str">
        <f t="shared" ca="1" si="6"/>
        <v/>
      </c>
      <c r="Q22" s="45" t="str">
        <f t="shared" ca="1" si="6"/>
        <v/>
      </c>
      <c r="R22" s="45" t="str">
        <f t="shared" ca="1" si="6"/>
        <v/>
      </c>
      <c r="S22" s="45" t="str">
        <f t="shared" ca="1" si="6"/>
        <v/>
      </c>
      <c r="T22" s="45" t="str">
        <f t="shared" ca="1" si="6"/>
        <v/>
      </c>
      <c r="U22" s="45" t="str">
        <f t="shared" ca="1" si="6"/>
        <v/>
      </c>
      <c r="V22" s="45" t="str">
        <f t="shared" ca="1" si="6"/>
        <v/>
      </c>
      <c r="W22" s="45" t="str">
        <f t="shared" ca="1" si="12"/>
        <v/>
      </c>
      <c r="X22" s="45" t="str">
        <f t="shared" ca="1" si="10"/>
        <v/>
      </c>
      <c r="Y22" s="45" t="str">
        <f t="shared" ca="1" si="10"/>
        <v/>
      </c>
      <c r="Z22" s="45" t="str">
        <f t="shared" ca="1" si="10"/>
        <v/>
      </c>
      <c r="AA22" s="45" t="str">
        <f t="shared" ca="1" si="10"/>
        <v/>
      </c>
      <c r="AB22" s="45" t="str">
        <f t="shared" ca="1" si="10"/>
        <v/>
      </c>
      <c r="AC22" s="45" t="str">
        <f t="shared" ca="1" si="10"/>
        <v/>
      </c>
      <c r="AD22" s="45" t="str">
        <f t="shared" ca="1" si="10"/>
        <v/>
      </c>
      <c r="AE22" s="45" t="str">
        <f t="shared" ca="1" si="10"/>
        <v/>
      </c>
      <c r="AF22" s="45" t="str">
        <f t="shared" ca="1" si="10"/>
        <v/>
      </c>
      <c r="AG22" s="45" t="str">
        <f t="shared" ca="1" si="10"/>
        <v/>
      </c>
      <c r="AH22" s="45" t="str">
        <f t="shared" ca="1" si="10"/>
        <v/>
      </c>
      <c r="AI22" s="45" t="str">
        <f t="shared" ca="1" si="10"/>
        <v/>
      </c>
      <c r="AJ22" s="45" t="str">
        <f t="shared" ca="1" si="10"/>
        <v/>
      </c>
      <c r="AK22" s="45" t="str">
        <f t="shared" ca="1" si="10"/>
        <v/>
      </c>
      <c r="AL22" s="45" t="str">
        <f t="shared" ca="1" si="10"/>
        <v/>
      </c>
      <c r="AM22" s="45" t="str">
        <f t="shared" ca="1" si="10"/>
        <v/>
      </c>
      <c r="AN22" s="45" t="str">
        <f t="shared" ca="1" si="10"/>
        <v/>
      </c>
      <c r="AO22" s="45" t="str">
        <f t="shared" ca="1" si="10"/>
        <v/>
      </c>
      <c r="AP22" s="45" t="str">
        <f t="shared" ca="1" si="10"/>
        <v/>
      </c>
      <c r="AQ22" s="45" t="str">
        <f t="shared" ca="1" si="10"/>
        <v/>
      </c>
      <c r="AR22" s="45" t="str">
        <f t="shared" ca="1" si="10"/>
        <v/>
      </c>
      <c r="AS22" s="45" t="str">
        <f t="shared" ca="1" si="10"/>
        <v/>
      </c>
      <c r="AT22" s="45" t="str">
        <f t="shared" ca="1" si="10"/>
        <v/>
      </c>
      <c r="AU22" s="45" t="str">
        <f t="shared" ca="1" si="10"/>
        <v/>
      </c>
      <c r="AV22" s="45" t="str">
        <f t="shared" ca="1" si="10"/>
        <v/>
      </c>
      <c r="AW22" s="45" t="str">
        <f t="shared" ca="1" si="10"/>
        <v/>
      </c>
      <c r="AX22" s="45" t="str">
        <f t="shared" ca="1" si="10"/>
        <v/>
      </c>
      <c r="AY22" s="45" t="str">
        <f t="shared" ca="1" si="10"/>
        <v/>
      </c>
      <c r="AZ22" s="45" t="str">
        <f t="shared" ca="1" si="10"/>
        <v/>
      </c>
      <c r="BA22" s="45" t="str">
        <f t="shared" ca="1" si="10"/>
        <v/>
      </c>
      <c r="BB22" s="45" t="str">
        <f t="shared" ca="1" si="10"/>
        <v/>
      </c>
      <c r="BC22" s="45" t="str">
        <f t="shared" ca="1" si="10"/>
        <v/>
      </c>
      <c r="BD22" s="45" t="str">
        <f t="shared" ca="1" si="10"/>
        <v/>
      </c>
      <c r="BE22" s="45" t="str">
        <f t="shared" ca="1" si="10"/>
        <v/>
      </c>
      <c r="BF22" s="45" t="str">
        <f t="shared" ca="1" si="10"/>
        <v/>
      </c>
      <c r="BG22" s="45" t="str">
        <f t="shared" ca="1" si="10"/>
        <v/>
      </c>
      <c r="BH22" s="45" t="str">
        <f t="shared" ca="1" si="10"/>
        <v/>
      </c>
      <c r="BI22" s="45" t="str">
        <f t="shared" ca="1" si="10"/>
        <v/>
      </c>
      <c r="BJ22" s="45" t="str">
        <f t="shared" ca="1" si="10"/>
        <v/>
      </c>
      <c r="BK22" s="45" t="str">
        <f t="shared" ca="1" si="10"/>
        <v/>
      </c>
      <c r="BL22" s="45" t="str">
        <f t="shared" ca="1" si="10"/>
        <v/>
      </c>
      <c r="BM22" s="45"/>
    </row>
    <row r="23" spans="1:65" s="1" customFormat="1" ht="18" customHeight="1" x14ac:dyDescent="0.25">
      <c r="A23" s="102"/>
      <c r="B23" s="65" t="s">
        <v>38</v>
      </c>
      <c r="C23" s="56"/>
      <c r="D23" s="57"/>
      <c r="E23" s="58"/>
      <c r="F23" s="71">
        <f>H23-Plan_Sommer[[#This Row],[Dauer
in Tage]]</f>
        <v>46526</v>
      </c>
      <c r="G23" s="72">
        <v>14</v>
      </c>
      <c r="H23" s="73">
        <f>F24</f>
        <v>46540</v>
      </c>
      <c r="I23" s="45" t="str">
        <f t="shared" ca="1" si="6"/>
        <v/>
      </c>
      <c r="J23" s="45" t="str">
        <f t="shared" ca="1" si="6"/>
        <v/>
      </c>
      <c r="K23" s="45" t="str">
        <f t="shared" ca="1" si="6"/>
        <v/>
      </c>
      <c r="L23" s="45" t="str">
        <f t="shared" ca="1" si="6"/>
        <v/>
      </c>
      <c r="M23" s="45" t="str">
        <f t="shared" ca="1" si="6"/>
        <v/>
      </c>
      <c r="N23" s="45" t="str">
        <f t="shared" ca="1" si="6"/>
        <v/>
      </c>
      <c r="O23" s="45" t="str">
        <f t="shared" ca="1" si="6"/>
        <v/>
      </c>
      <c r="P23" s="45" t="str">
        <f t="shared" ca="1" si="6"/>
        <v/>
      </c>
      <c r="Q23" s="45" t="str">
        <f t="shared" ca="1" si="6"/>
        <v/>
      </c>
      <c r="R23" s="45" t="str">
        <f t="shared" ca="1" si="6"/>
        <v/>
      </c>
      <c r="S23" s="45" t="str">
        <f t="shared" ca="1" si="6"/>
        <v/>
      </c>
      <c r="T23" s="45" t="str">
        <f t="shared" ca="1" si="6"/>
        <v/>
      </c>
      <c r="U23" s="45" t="str">
        <f t="shared" ca="1" si="6"/>
        <v/>
      </c>
      <c r="V23" s="45" t="str">
        <f t="shared" ca="1" si="6"/>
        <v/>
      </c>
      <c r="W23" s="45" t="str">
        <f t="shared" ca="1" si="12"/>
        <v/>
      </c>
      <c r="X23" s="45" t="str">
        <f t="shared" ca="1" si="10"/>
        <v/>
      </c>
      <c r="Y23" s="45" t="str">
        <f t="shared" ca="1" si="10"/>
        <v/>
      </c>
      <c r="Z23" s="45" t="str">
        <f t="shared" ca="1" si="10"/>
        <v/>
      </c>
      <c r="AA23" s="45" t="str">
        <f t="shared" ca="1" si="10"/>
        <v/>
      </c>
      <c r="AB23" s="45" t="str">
        <f t="shared" ca="1" si="10"/>
        <v/>
      </c>
      <c r="AC23" s="45" t="str">
        <f t="shared" ca="1" si="10"/>
        <v/>
      </c>
      <c r="AD23" s="45" t="str">
        <f t="shared" ca="1" si="10"/>
        <v/>
      </c>
      <c r="AE23" s="45" t="str">
        <f t="shared" ca="1" si="10"/>
        <v/>
      </c>
      <c r="AF23" s="45" t="str">
        <f t="shared" ca="1" si="10"/>
        <v/>
      </c>
      <c r="AG23" s="45" t="str">
        <f t="shared" ca="1" si="10"/>
        <v/>
      </c>
      <c r="AH23" s="45" t="str">
        <f t="shared" ca="1" si="10"/>
        <v/>
      </c>
      <c r="AI23" s="45" t="str">
        <f t="shared" ca="1" si="10"/>
        <v/>
      </c>
      <c r="AJ23" s="45" t="str">
        <f t="shared" ca="1" si="10"/>
        <v/>
      </c>
      <c r="AK23" s="45" t="str">
        <f t="shared" ca="1" si="10"/>
        <v/>
      </c>
      <c r="AL23" s="45" t="str">
        <f t="shared" ca="1" si="10"/>
        <v/>
      </c>
      <c r="AM23" s="45" t="str">
        <f t="shared" ca="1" si="10"/>
        <v/>
      </c>
      <c r="AN23" s="45" t="str">
        <f t="shared" ca="1" si="10"/>
        <v/>
      </c>
      <c r="AO23" s="45" t="str">
        <f t="shared" ca="1" si="10"/>
        <v/>
      </c>
      <c r="AP23" s="45" t="str">
        <f t="shared" ca="1" si="10"/>
        <v/>
      </c>
      <c r="AQ23" s="45" t="str">
        <f t="shared" ca="1" si="10"/>
        <v/>
      </c>
      <c r="AR23" s="45" t="str">
        <f t="shared" ca="1" si="10"/>
        <v/>
      </c>
      <c r="AS23" s="45" t="str">
        <f t="shared" ca="1" si="10"/>
        <v/>
      </c>
      <c r="AT23" s="45" t="str">
        <f t="shared" ca="1" si="10"/>
        <v/>
      </c>
      <c r="AU23" s="45" t="str">
        <f t="shared" ca="1" si="10"/>
        <v/>
      </c>
      <c r="AV23" s="45" t="str">
        <f t="shared" ca="1" si="10"/>
        <v/>
      </c>
      <c r="AW23" s="45" t="str">
        <f t="shared" ca="1" si="10"/>
        <v/>
      </c>
      <c r="AX23" s="45" t="str">
        <f t="shared" ca="1" si="10"/>
        <v/>
      </c>
      <c r="AY23" s="45" t="str">
        <f t="shared" ca="1" si="10"/>
        <v/>
      </c>
      <c r="AZ23" s="45" t="str">
        <f t="shared" ca="1" si="10"/>
        <v/>
      </c>
      <c r="BA23" s="45" t="str">
        <f t="shared" ca="1" si="10"/>
        <v/>
      </c>
      <c r="BB23" s="45" t="str">
        <f t="shared" ca="1" si="10"/>
        <v/>
      </c>
      <c r="BC23" s="45" t="str">
        <f t="shared" ca="1" si="10"/>
        <v/>
      </c>
      <c r="BD23" s="45" t="str">
        <f t="shared" ca="1" si="10"/>
        <v/>
      </c>
      <c r="BE23" s="45" t="str">
        <f t="shared" ca="1" si="10"/>
        <v/>
      </c>
      <c r="BF23" s="45" t="str">
        <f t="shared" ca="1" si="10"/>
        <v/>
      </c>
      <c r="BG23" s="45" t="str">
        <f t="shared" ca="1" si="10"/>
        <v/>
      </c>
      <c r="BH23" s="45" t="str">
        <f t="shared" ca="1" si="10"/>
        <v/>
      </c>
      <c r="BI23" s="45" t="str">
        <f t="shared" ca="1" si="10"/>
        <v/>
      </c>
      <c r="BJ23" s="45" t="str">
        <f t="shared" ca="1" si="10"/>
        <v/>
      </c>
      <c r="BK23" s="45" t="str">
        <f t="shared" ca="1" si="10"/>
        <v/>
      </c>
      <c r="BL23" s="45" t="str">
        <f t="shared" ca="1" si="10"/>
        <v/>
      </c>
      <c r="BM23" s="45"/>
    </row>
    <row r="24" spans="1:65" s="1" customFormat="1" ht="18" customHeight="1" x14ac:dyDescent="0.25">
      <c r="A24" s="102"/>
      <c r="B24" s="66" t="s">
        <v>39</v>
      </c>
      <c r="C24" s="91" t="s">
        <v>9</v>
      </c>
      <c r="D24" s="57"/>
      <c r="E24" s="58"/>
      <c r="F24" s="71">
        <f t="shared" ref="F24" si="13">H27-G26</f>
        <v>46540</v>
      </c>
      <c r="G24" s="72"/>
      <c r="H24" s="74">
        <f>F26</f>
        <v>46540</v>
      </c>
      <c r="I24" s="45" t="str">
        <f t="shared" ca="1" si="6"/>
        <v/>
      </c>
      <c r="J24" s="45" t="str">
        <f t="shared" ca="1" si="6"/>
        <v/>
      </c>
      <c r="K24" s="45" t="str">
        <f t="shared" ca="1" si="6"/>
        <v/>
      </c>
      <c r="L24" s="45" t="str">
        <f t="shared" ca="1" si="6"/>
        <v/>
      </c>
      <c r="M24" s="45" t="str">
        <f t="shared" ca="1" si="6"/>
        <v/>
      </c>
      <c r="N24" s="45" t="str">
        <f t="shared" ca="1" si="6"/>
        <v/>
      </c>
      <c r="O24" s="45" t="str">
        <f t="shared" ca="1" si="6"/>
        <v/>
      </c>
      <c r="P24" s="45" t="str">
        <f t="shared" ca="1" si="6"/>
        <v/>
      </c>
      <c r="Q24" s="45" t="str">
        <f t="shared" ca="1" si="6"/>
        <v/>
      </c>
      <c r="R24" s="45" t="str">
        <f t="shared" ca="1" si="6"/>
        <v/>
      </c>
      <c r="S24" s="45" t="str">
        <f t="shared" ca="1" si="6"/>
        <v/>
      </c>
      <c r="T24" s="45" t="str">
        <f t="shared" ca="1" si="6"/>
        <v/>
      </c>
      <c r="U24" s="45" t="str">
        <f t="shared" ca="1" si="6"/>
        <v/>
      </c>
      <c r="V24" s="45" t="str">
        <f t="shared" ca="1" si="6"/>
        <v/>
      </c>
      <c r="W24" s="45" t="str">
        <f t="shared" ca="1" si="12"/>
        <v/>
      </c>
      <c r="X24" s="45" t="str">
        <f t="shared" ca="1" si="10"/>
        <v/>
      </c>
      <c r="Y24" s="45" t="str">
        <f t="shared" ca="1" si="10"/>
        <v/>
      </c>
      <c r="Z24" s="45" t="str">
        <f t="shared" ca="1" si="10"/>
        <v/>
      </c>
      <c r="AA24" s="45" t="str">
        <f t="shared" ca="1" si="10"/>
        <v/>
      </c>
      <c r="AB24" s="45" t="str">
        <f t="shared" ca="1" si="10"/>
        <v/>
      </c>
      <c r="AC24" s="45" t="str">
        <f t="shared" ca="1" si="10"/>
        <v/>
      </c>
      <c r="AD24" s="45" t="str">
        <f t="shared" ca="1" si="10"/>
        <v/>
      </c>
      <c r="AE24" s="45" t="str">
        <f t="shared" ref="X24:BL31" ca="1" si="14">IF(AND($C24="Ziel",$H24=AE$7),2,IF(AND($C24="Meilenstein",$H24=AE$7),1,""))</f>
        <v/>
      </c>
      <c r="AF24" s="45" t="str">
        <f t="shared" ca="1" si="14"/>
        <v/>
      </c>
      <c r="AG24" s="45" t="str">
        <f t="shared" ca="1" si="14"/>
        <v/>
      </c>
      <c r="AH24" s="45" t="str">
        <f t="shared" ca="1" si="14"/>
        <v/>
      </c>
      <c r="AI24" s="45" t="str">
        <f t="shared" ca="1" si="14"/>
        <v/>
      </c>
      <c r="AJ24" s="45" t="str">
        <f t="shared" ca="1" si="14"/>
        <v/>
      </c>
      <c r="AK24" s="45" t="str">
        <f t="shared" ca="1" si="14"/>
        <v/>
      </c>
      <c r="AL24" s="45" t="str">
        <f t="shared" ca="1" si="14"/>
        <v/>
      </c>
      <c r="AM24" s="45" t="str">
        <f t="shared" ca="1" si="14"/>
        <v/>
      </c>
      <c r="AN24" s="45" t="str">
        <f t="shared" ca="1" si="14"/>
        <v/>
      </c>
      <c r="AO24" s="45" t="str">
        <f t="shared" ca="1" si="14"/>
        <v/>
      </c>
      <c r="AP24" s="45" t="str">
        <f t="shared" ca="1" si="14"/>
        <v/>
      </c>
      <c r="AQ24" s="45" t="str">
        <f t="shared" ca="1" si="14"/>
        <v/>
      </c>
      <c r="AR24" s="45" t="str">
        <f t="shared" ca="1" si="14"/>
        <v/>
      </c>
      <c r="AS24" s="45" t="str">
        <f t="shared" ca="1" si="14"/>
        <v/>
      </c>
      <c r="AT24" s="45" t="str">
        <f t="shared" ca="1" si="14"/>
        <v/>
      </c>
      <c r="AU24" s="45" t="str">
        <f t="shared" ca="1" si="14"/>
        <v/>
      </c>
      <c r="AV24" s="45" t="str">
        <f t="shared" ca="1" si="14"/>
        <v/>
      </c>
      <c r="AW24" s="45" t="str">
        <f t="shared" ca="1" si="14"/>
        <v/>
      </c>
      <c r="AX24" s="45" t="str">
        <f t="shared" ca="1" si="14"/>
        <v/>
      </c>
      <c r="AY24" s="45" t="str">
        <f t="shared" ca="1" si="14"/>
        <v/>
      </c>
      <c r="AZ24" s="45" t="str">
        <f t="shared" ca="1" si="14"/>
        <v/>
      </c>
      <c r="BA24" s="45" t="str">
        <f t="shared" ca="1" si="14"/>
        <v/>
      </c>
      <c r="BB24" s="45" t="str">
        <f t="shared" ca="1" si="14"/>
        <v/>
      </c>
      <c r="BC24" s="45" t="str">
        <f t="shared" ca="1" si="14"/>
        <v/>
      </c>
      <c r="BD24" s="45" t="str">
        <f t="shared" ca="1" si="14"/>
        <v/>
      </c>
      <c r="BE24" s="45" t="str">
        <f t="shared" ca="1" si="14"/>
        <v/>
      </c>
      <c r="BF24" s="45" t="str">
        <f t="shared" ca="1" si="14"/>
        <v/>
      </c>
      <c r="BG24" s="45" t="str">
        <f t="shared" ca="1" si="14"/>
        <v/>
      </c>
      <c r="BH24" s="45" t="str">
        <f t="shared" ca="1" si="14"/>
        <v/>
      </c>
      <c r="BI24" s="45" t="str">
        <f t="shared" ca="1" si="14"/>
        <v/>
      </c>
      <c r="BJ24" s="45" t="str">
        <f t="shared" ca="1" si="14"/>
        <v/>
      </c>
      <c r="BK24" s="45" t="str">
        <f t="shared" ca="1" si="14"/>
        <v/>
      </c>
      <c r="BL24" s="45" t="str">
        <f t="shared" ca="1" si="14"/>
        <v/>
      </c>
      <c r="BM24" s="45"/>
    </row>
    <row r="25" spans="1:65" s="1" customFormat="1" ht="18" customHeight="1" x14ac:dyDescent="0.25">
      <c r="A25" s="102"/>
      <c r="B25" s="65" t="s">
        <v>40</v>
      </c>
      <c r="C25" s="95"/>
      <c r="D25" s="57"/>
      <c r="E25" s="58"/>
      <c r="F25" s="71">
        <f>H27-Plan_Sommer[[#This Row],[Dauer
in Tage]]</f>
        <v>46516</v>
      </c>
      <c r="G25" s="72">
        <v>41</v>
      </c>
      <c r="H25" s="73">
        <f>$F25+$G25</f>
        <v>46557</v>
      </c>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K25" s="45"/>
      <c r="BL25" s="45"/>
      <c r="BM25" s="45"/>
    </row>
    <row r="26" spans="1:65" s="1" customFormat="1" ht="18" customHeight="1" x14ac:dyDescent="0.25">
      <c r="A26" s="102"/>
      <c r="B26" s="65" t="s">
        <v>41</v>
      </c>
      <c r="C26" s="56"/>
      <c r="D26" s="57"/>
      <c r="E26" s="58"/>
      <c r="F26" s="71">
        <f>H27-Plan_Sommer[[#This Row],[Dauer
in Tage]]</f>
        <v>46540</v>
      </c>
      <c r="G26" s="72">
        <v>17</v>
      </c>
      <c r="H26" s="73"/>
      <c r="I26" s="45" t="str">
        <f t="shared" ca="1" si="6"/>
        <v/>
      </c>
      <c r="J26" s="45" t="str">
        <f t="shared" ca="1" si="6"/>
        <v/>
      </c>
      <c r="K26" s="45" t="str">
        <f t="shared" ca="1" si="6"/>
        <v/>
      </c>
      <c r="L26" s="45" t="str">
        <f t="shared" ca="1" si="6"/>
        <v/>
      </c>
      <c r="M26" s="45" t="str">
        <f t="shared" ca="1" si="6"/>
        <v/>
      </c>
      <c r="N26" s="45" t="str">
        <f t="shared" ca="1" si="6"/>
        <v/>
      </c>
      <c r="O26" s="45" t="str">
        <f t="shared" ca="1" si="6"/>
        <v/>
      </c>
      <c r="P26" s="45" t="str">
        <f t="shared" ca="1" si="6"/>
        <v/>
      </c>
      <c r="Q26" s="45" t="str">
        <f t="shared" ca="1" si="6"/>
        <v/>
      </c>
      <c r="R26" s="45" t="str">
        <f t="shared" ca="1" si="6"/>
        <v/>
      </c>
      <c r="S26" s="45" t="str">
        <f t="shared" ca="1" si="6"/>
        <v/>
      </c>
      <c r="T26" s="45" t="str">
        <f t="shared" ca="1" si="6"/>
        <v/>
      </c>
      <c r="U26" s="45" t="str">
        <f t="shared" ca="1" si="6"/>
        <v/>
      </c>
      <c r="V26" s="45" t="str">
        <f t="shared" ca="1" si="6"/>
        <v/>
      </c>
      <c r="W26" s="45" t="str">
        <f t="shared" ca="1" si="12"/>
        <v/>
      </c>
      <c r="X26" s="45" t="str">
        <f t="shared" ca="1" si="14"/>
        <v/>
      </c>
      <c r="Y26" s="45" t="str">
        <f t="shared" ca="1" si="14"/>
        <v/>
      </c>
      <c r="Z26" s="45" t="str">
        <f t="shared" ca="1" si="14"/>
        <v/>
      </c>
      <c r="AA26" s="45" t="str">
        <f t="shared" ca="1" si="14"/>
        <v/>
      </c>
      <c r="AB26" s="45" t="str">
        <f t="shared" ca="1" si="14"/>
        <v/>
      </c>
      <c r="AC26" s="45" t="str">
        <f t="shared" ca="1" si="14"/>
        <v/>
      </c>
      <c r="AD26" s="45" t="str">
        <f t="shared" ca="1" si="14"/>
        <v/>
      </c>
      <c r="AE26" s="45" t="str">
        <f t="shared" ca="1" si="14"/>
        <v/>
      </c>
      <c r="AF26" s="45" t="str">
        <f t="shared" ca="1" si="14"/>
        <v/>
      </c>
      <c r="AG26" s="45" t="str">
        <f t="shared" ca="1" si="14"/>
        <v/>
      </c>
      <c r="AH26" s="45" t="str">
        <f t="shared" ca="1" si="14"/>
        <v/>
      </c>
      <c r="AI26" s="45" t="str">
        <f t="shared" ca="1" si="14"/>
        <v/>
      </c>
      <c r="AJ26" s="45" t="str">
        <f t="shared" ca="1" si="14"/>
        <v/>
      </c>
      <c r="AK26" s="45" t="str">
        <f t="shared" ca="1" si="14"/>
        <v/>
      </c>
      <c r="AL26" s="45" t="str">
        <f t="shared" ca="1" si="14"/>
        <v/>
      </c>
      <c r="AM26" s="45" t="str">
        <f t="shared" ca="1" si="14"/>
        <v/>
      </c>
      <c r="AN26" s="45" t="str">
        <f t="shared" ca="1" si="14"/>
        <v/>
      </c>
      <c r="AO26" s="45" t="str">
        <f t="shared" ca="1" si="14"/>
        <v/>
      </c>
      <c r="AP26" s="45" t="str">
        <f t="shared" ca="1" si="14"/>
        <v/>
      </c>
      <c r="AQ26" s="45" t="str">
        <f t="shared" ca="1" si="14"/>
        <v/>
      </c>
      <c r="AR26" s="45" t="str">
        <f t="shared" ca="1" si="14"/>
        <v/>
      </c>
      <c r="AS26" s="45" t="str">
        <f t="shared" ca="1" si="14"/>
        <v/>
      </c>
      <c r="AT26" s="45" t="str">
        <f t="shared" ca="1" si="14"/>
        <v/>
      </c>
      <c r="AU26" s="45" t="str">
        <f t="shared" ca="1" si="14"/>
        <v/>
      </c>
      <c r="AV26" s="45" t="str">
        <f t="shared" ca="1" si="14"/>
        <v/>
      </c>
      <c r="AW26" s="45" t="str">
        <f t="shared" ca="1" si="14"/>
        <v/>
      </c>
      <c r="AX26" s="45" t="str">
        <f t="shared" ca="1" si="14"/>
        <v/>
      </c>
      <c r="AY26" s="45" t="str">
        <f t="shared" ca="1" si="14"/>
        <v/>
      </c>
      <c r="AZ26" s="45" t="str">
        <f t="shared" ca="1" si="14"/>
        <v/>
      </c>
      <c r="BA26" s="45" t="str">
        <f t="shared" ca="1" si="14"/>
        <v/>
      </c>
      <c r="BB26" s="45" t="str">
        <f t="shared" ca="1" si="14"/>
        <v/>
      </c>
      <c r="BC26" s="45" t="str">
        <f t="shared" ca="1" si="14"/>
        <v/>
      </c>
      <c r="BD26" s="45" t="str">
        <f t="shared" ca="1" si="14"/>
        <v/>
      </c>
      <c r="BE26" s="45" t="str">
        <f t="shared" ca="1" si="14"/>
        <v/>
      </c>
      <c r="BF26" s="45" t="str">
        <f t="shared" ca="1" si="14"/>
        <v/>
      </c>
      <c r="BG26" s="45" t="str">
        <f t="shared" ca="1" si="14"/>
        <v/>
      </c>
      <c r="BH26" s="45" t="str">
        <f t="shared" ca="1" si="14"/>
        <v/>
      </c>
      <c r="BI26" s="45" t="str">
        <f t="shared" ca="1" si="14"/>
        <v/>
      </c>
      <c r="BJ26" s="45" t="str">
        <f t="shared" ca="1" si="14"/>
        <v/>
      </c>
      <c r="BK26" s="45" t="str">
        <f t="shared" ca="1" si="14"/>
        <v/>
      </c>
      <c r="BL26" s="45" t="str">
        <f t="shared" ca="1" si="14"/>
        <v/>
      </c>
      <c r="BM26" s="70"/>
    </row>
    <row r="27" spans="1:65" s="1" customFormat="1" ht="18" customHeight="1" x14ac:dyDescent="0.25">
      <c r="A27" s="102"/>
      <c r="B27" s="94" t="s">
        <v>42</v>
      </c>
      <c r="C27" s="90" t="s">
        <v>10</v>
      </c>
      <c r="D27" s="79"/>
      <c r="E27" s="80"/>
      <c r="F27" s="81"/>
      <c r="G27" s="85"/>
      <c r="H27" s="88">
        <f>C4</f>
        <v>46557</v>
      </c>
      <c r="I27" s="86" t="str">
        <f t="shared" ca="1" si="6"/>
        <v/>
      </c>
      <c r="J27" s="84" t="str">
        <f t="shared" ca="1" si="6"/>
        <v/>
      </c>
      <c r="K27" s="84" t="str">
        <f t="shared" ca="1" si="6"/>
        <v/>
      </c>
      <c r="L27" s="84" t="str">
        <f t="shared" ca="1" si="6"/>
        <v/>
      </c>
      <c r="M27" s="84" t="str">
        <f t="shared" ca="1" si="6"/>
        <v/>
      </c>
      <c r="N27" s="84" t="str">
        <f t="shared" ca="1" si="6"/>
        <v/>
      </c>
      <c r="O27" s="84" t="str">
        <f t="shared" ca="1" si="6"/>
        <v/>
      </c>
      <c r="P27" s="84" t="str">
        <f t="shared" ca="1" si="6"/>
        <v/>
      </c>
      <c r="Q27" s="84" t="str">
        <f t="shared" ca="1" si="6"/>
        <v/>
      </c>
      <c r="R27" s="84" t="str">
        <f t="shared" ca="1" si="6"/>
        <v/>
      </c>
      <c r="S27" s="84" t="str">
        <f t="shared" ca="1" si="6"/>
        <v/>
      </c>
      <c r="T27" s="84" t="str">
        <f t="shared" ca="1" si="6"/>
        <v/>
      </c>
      <c r="U27" s="84" t="str">
        <f t="shared" ca="1" si="6"/>
        <v/>
      </c>
      <c r="V27" s="84" t="str">
        <f t="shared" ca="1" si="6"/>
        <v/>
      </c>
      <c r="W27" s="84" t="str">
        <f t="shared" ca="1" si="12"/>
        <v/>
      </c>
      <c r="X27" s="84" t="str">
        <f t="shared" ca="1" si="14"/>
        <v/>
      </c>
      <c r="Y27" s="84" t="str">
        <f t="shared" ca="1" si="14"/>
        <v/>
      </c>
      <c r="Z27" s="84" t="str">
        <f t="shared" ca="1" si="14"/>
        <v/>
      </c>
      <c r="AA27" s="84" t="str">
        <f t="shared" ca="1" si="14"/>
        <v/>
      </c>
      <c r="AB27" s="84" t="str">
        <f t="shared" ca="1" si="14"/>
        <v/>
      </c>
      <c r="AC27" s="84" t="str">
        <f t="shared" ca="1" si="14"/>
        <v/>
      </c>
      <c r="AD27" s="84" t="str">
        <f t="shared" ca="1" si="14"/>
        <v/>
      </c>
      <c r="AE27" s="84" t="str">
        <f t="shared" ca="1" si="14"/>
        <v/>
      </c>
      <c r="AF27" s="84" t="str">
        <f t="shared" ca="1" si="14"/>
        <v/>
      </c>
      <c r="AG27" s="84" t="str">
        <f t="shared" ca="1" si="14"/>
        <v/>
      </c>
      <c r="AH27" s="84" t="str">
        <f t="shared" ca="1" si="14"/>
        <v/>
      </c>
      <c r="AI27" s="84" t="str">
        <f t="shared" ca="1" si="14"/>
        <v/>
      </c>
      <c r="AJ27" s="84" t="str">
        <f t="shared" ca="1" si="14"/>
        <v/>
      </c>
      <c r="AK27" s="84" t="str">
        <f t="shared" ca="1" si="14"/>
        <v/>
      </c>
      <c r="AL27" s="84" t="str">
        <f t="shared" ca="1" si="14"/>
        <v/>
      </c>
      <c r="AM27" s="84" t="str">
        <f t="shared" ca="1" si="14"/>
        <v/>
      </c>
      <c r="AN27" s="84" t="str">
        <f t="shared" ca="1" si="14"/>
        <v/>
      </c>
      <c r="AO27" s="84" t="str">
        <f t="shared" ca="1" si="14"/>
        <v/>
      </c>
      <c r="AP27" s="84" t="str">
        <f t="shared" ca="1" si="14"/>
        <v/>
      </c>
      <c r="AQ27" s="84" t="str">
        <f t="shared" ca="1" si="14"/>
        <v/>
      </c>
      <c r="AR27" s="84" t="str">
        <f t="shared" ca="1" si="14"/>
        <v/>
      </c>
      <c r="AS27" s="84" t="str">
        <f t="shared" ca="1" si="14"/>
        <v/>
      </c>
      <c r="AT27" s="84" t="str">
        <f t="shared" ca="1" si="14"/>
        <v/>
      </c>
      <c r="AU27" s="84" t="str">
        <f t="shared" ca="1" si="14"/>
        <v/>
      </c>
      <c r="AV27" s="84" t="str">
        <f t="shared" ca="1" si="14"/>
        <v/>
      </c>
      <c r="AW27" s="84" t="str">
        <f t="shared" ca="1" si="14"/>
        <v/>
      </c>
      <c r="AX27" s="84" t="str">
        <f t="shared" ca="1" si="14"/>
        <v/>
      </c>
      <c r="AY27" s="84" t="str">
        <f t="shared" ca="1" si="14"/>
        <v/>
      </c>
      <c r="AZ27" s="84" t="str">
        <f t="shared" ca="1" si="14"/>
        <v/>
      </c>
      <c r="BA27" s="84" t="str">
        <f t="shared" ca="1" si="14"/>
        <v/>
      </c>
      <c r="BB27" s="84" t="str">
        <f t="shared" ca="1" si="14"/>
        <v/>
      </c>
      <c r="BC27" s="84" t="str">
        <f t="shared" ca="1" si="14"/>
        <v/>
      </c>
      <c r="BD27" s="84" t="str">
        <f t="shared" ca="1" si="14"/>
        <v/>
      </c>
      <c r="BE27" s="84" t="str">
        <f t="shared" ca="1" si="14"/>
        <v/>
      </c>
      <c r="BF27" s="84" t="str">
        <f t="shared" ca="1" si="14"/>
        <v/>
      </c>
      <c r="BG27" s="84" t="str">
        <f t="shared" ca="1" si="14"/>
        <v/>
      </c>
      <c r="BH27" s="84" t="str">
        <f t="shared" ca="1" si="14"/>
        <v/>
      </c>
      <c r="BI27" s="84" t="str">
        <f t="shared" ca="1" si="14"/>
        <v/>
      </c>
      <c r="BJ27" s="84" t="str">
        <f t="shared" ca="1" si="14"/>
        <v/>
      </c>
      <c r="BK27" s="84" t="str">
        <f t="shared" ca="1" si="14"/>
        <v/>
      </c>
      <c r="BL27" s="84" t="str">
        <f t="shared" ca="1" si="14"/>
        <v/>
      </c>
      <c r="BM27" s="84"/>
    </row>
    <row r="28" spans="1:65" s="1" customFormat="1" ht="18" customHeight="1" x14ac:dyDescent="0.25">
      <c r="A28" s="96" t="s">
        <v>43</v>
      </c>
      <c r="B28" s="66" t="s">
        <v>44</v>
      </c>
      <c r="C28" s="56"/>
      <c r="D28" s="64"/>
      <c r="E28" s="58"/>
      <c r="F28" s="71"/>
      <c r="G28" s="72"/>
      <c r="H28" s="77"/>
      <c r="I28" s="69" t="str">
        <f t="shared" ca="1" si="6"/>
        <v/>
      </c>
      <c r="J28" s="69" t="str">
        <f t="shared" ca="1" si="6"/>
        <v/>
      </c>
      <c r="K28" s="69" t="str">
        <f t="shared" ca="1" si="6"/>
        <v/>
      </c>
      <c r="L28" s="69" t="str">
        <f t="shared" ca="1" si="6"/>
        <v/>
      </c>
      <c r="M28" s="69" t="str">
        <f t="shared" ca="1" si="6"/>
        <v/>
      </c>
      <c r="N28" s="69" t="str">
        <f t="shared" ca="1" si="6"/>
        <v/>
      </c>
      <c r="O28" s="69" t="str">
        <f t="shared" ca="1" si="6"/>
        <v/>
      </c>
      <c r="P28" s="69" t="str">
        <f t="shared" ca="1" si="6"/>
        <v/>
      </c>
      <c r="Q28" s="69" t="str">
        <f t="shared" ca="1" si="6"/>
        <v/>
      </c>
      <c r="R28" s="69" t="str">
        <f t="shared" ca="1" si="6"/>
        <v/>
      </c>
      <c r="S28" s="69" t="str">
        <f t="shared" ca="1" si="6"/>
        <v/>
      </c>
      <c r="T28" s="69" t="str">
        <f t="shared" ca="1" si="6"/>
        <v/>
      </c>
      <c r="U28" s="69" t="str">
        <f t="shared" ca="1" si="6"/>
        <v/>
      </c>
      <c r="V28" s="69" t="str">
        <f t="shared" ca="1" si="6"/>
        <v/>
      </c>
      <c r="W28" s="69" t="str">
        <f t="shared" ca="1" si="12"/>
        <v/>
      </c>
      <c r="X28" s="69" t="str">
        <f t="shared" ca="1" si="14"/>
        <v/>
      </c>
      <c r="Y28" s="69" t="str">
        <f t="shared" ca="1" si="14"/>
        <v/>
      </c>
      <c r="Z28" s="69" t="str">
        <f t="shared" ca="1" si="14"/>
        <v/>
      </c>
      <c r="AA28" s="69" t="str">
        <f t="shared" ca="1" si="14"/>
        <v/>
      </c>
      <c r="AB28" s="69" t="str">
        <f t="shared" ca="1" si="14"/>
        <v/>
      </c>
      <c r="AC28" s="69" t="str">
        <f t="shared" ca="1" si="14"/>
        <v/>
      </c>
      <c r="AD28" s="69" t="str">
        <f t="shared" ca="1" si="14"/>
        <v/>
      </c>
      <c r="AE28" s="69" t="str">
        <f t="shared" ca="1" si="14"/>
        <v/>
      </c>
      <c r="AF28" s="69" t="str">
        <f t="shared" ca="1" si="14"/>
        <v/>
      </c>
      <c r="AG28" s="69" t="str">
        <f t="shared" ca="1" si="14"/>
        <v/>
      </c>
      <c r="AH28" s="69" t="str">
        <f t="shared" ca="1" si="14"/>
        <v/>
      </c>
      <c r="AI28" s="69" t="str">
        <f t="shared" ca="1" si="14"/>
        <v/>
      </c>
      <c r="AJ28" s="69" t="str">
        <f t="shared" ca="1" si="14"/>
        <v/>
      </c>
      <c r="AK28" s="69" t="str">
        <f t="shared" ca="1" si="14"/>
        <v/>
      </c>
      <c r="AL28" s="69" t="str">
        <f t="shared" ca="1" si="14"/>
        <v/>
      </c>
      <c r="AM28" s="69" t="str">
        <f t="shared" ca="1" si="14"/>
        <v/>
      </c>
      <c r="AN28" s="69" t="str">
        <f t="shared" ca="1" si="14"/>
        <v/>
      </c>
      <c r="AO28" s="69" t="str">
        <f t="shared" ca="1" si="14"/>
        <v/>
      </c>
      <c r="AP28" s="69" t="str">
        <f t="shared" ca="1" si="14"/>
        <v/>
      </c>
      <c r="AQ28" s="69" t="str">
        <f t="shared" ca="1" si="14"/>
        <v/>
      </c>
      <c r="AR28" s="69" t="str">
        <f t="shared" ca="1" si="14"/>
        <v/>
      </c>
      <c r="AS28" s="69" t="str">
        <f t="shared" ca="1" si="14"/>
        <v/>
      </c>
      <c r="AT28" s="69" t="str">
        <f t="shared" ca="1" si="14"/>
        <v/>
      </c>
      <c r="AU28" s="69" t="str">
        <f t="shared" ca="1" si="14"/>
        <v/>
      </c>
      <c r="AV28" s="69" t="str">
        <f t="shared" ca="1" si="14"/>
        <v/>
      </c>
      <c r="AW28" s="69" t="str">
        <f t="shared" ca="1" si="14"/>
        <v/>
      </c>
      <c r="AX28" s="69" t="str">
        <f t="shared" ca="1" si="14"/>
        <v/>
      </c>
      <c r="AY28" s="69" t="str">
        <f t="shared" ca="1" si="14"/>
        <v/>
      </c>
      <c r="AZ28" s="69" t="str">
        <f t="shared" ca="1" si="14"/>
        <v/>
      </c>
      <c r="BA28" s="69" t="str">
        <f t="shared" ca="1" si="14"/>
        <v/>
      </c>
      <c r="BB28" s="69" t="str">
        <f t="shared" ca="1" si="14"/>
        <v/>
      </c>
      <c r="BC28" s="69" t="str">
        <f t="shared" ca="1" si="14"/>
        <v/>
      </c>
      <c r="BD28" s="69" t="str">
        <f t="shared" ca="1" si="14"/>
        <v/>
      </c>
      <c r="BE28" s="69" t="str">
        <f t="shared" ca="1" si="14"/>
        <v/>
      </c>
      <c r="BF28" s="69" t="str">
        <f t="shared" ca="1" si="14"/>
        <v/>
      </c>
      <c r="BG28" s="69" t="str">
        <f t="shared" ca="1" si="14"/>
        <v/>
      </c>
      <c r="BH28" s="69" t="str">
        <f t="shared" ca="1" si="14"/>
        <v/>
      </c>
      <c r="BI28" s="69" t="str">
        <f t="shared" ca="1" si="14"/>
        <v/>
      </c>
      <c r="BJ28" s="69" t="str">
        <f t="shared" ca="1" si="14"/>
        <v/>
      </c>
      <c r="BK28" s="69" t="str">
        <f t="shared" ca="1" si="14"/>
        <v/>
      </c>
      <c r="BL28" s="69" t="str">
        <f t="shared" ca="1" si="14"/>
        <v/>
      </c>
      <c r="BM28" s="69"/>
    </row>
    <row r="29" spans="1:65" s="1" customFormat="1" ht="18" customHeight="1" x14ac:dyDescent="0.25">
      <c r="A29" s="96"/>
      <c r="B29" s="65" t="s">
        <v>33</v>
      </c>
      <c r="C29" s="56" t="s">
        <v>6</v>
      </c>
      <c r="D29" s="57" t="s">
        <v>45</v>
      </c>
      <c r="E29" s="58"/>
      <c r="F29" s="71">
        <f>Plan_Sommer[[#This Row],[Ende]]-Plan_Sommer[[#This Row],[Dauer
in Tage]]</f>
        <v>-3</v>
      </c>
      <c r="G29" s="72">
        <v>3</v>
      </c>
      <c r="H29" s="73">
        <f>H30</f>
        <v>0</v>
      </c>
      <c r="I29" s="45" t="str">
        <f t="shared" ref="I29:X44" ca="1" si="15">IF(AND($C29="Ziel",$H29=I$7),2,IF(AND($C29="Meilenstein",$H29=I$7),1,""))</f>
        <v/>
      </c>
      <c r="J29" s="45" t="str">
        <f t="shared" ca="1" si="15"/>
        <v/>
      </c>
      <c r="K29" s="45" t="str">
        <f t="shared" ca="1" si="15"/>
        <v/>
      </c>
      <c r="L29" s="45" t="str">
        <f t="shared" ca="1" si="15"/>
        <v/>
      </c>
      <c r="M29" s="45" t="str">
        <f t="shared" ca="1" si="15"/>
        <v/>
      </c>
      <c r="N29" s="45" t="str">
        <f t="shared" ca="1" si="15"/>
        <v/>
      </c>
      <c r="O29" s="45" t="str">
        <f t="shared" ca="1" si="15"/>
        <v/>
      </c>
      <c r="P29" s="45" t="str">
        <f t="shared" ca="1" si="15"/>
        <v/>
      </c>
      <c r="Q29" s="45" t="str">
        <f t="shared" ca="1" si="15"/>
        <v/>
      </c>
      <c r="R29" s="45" t="str">
        <f t="shared" ca="1" si="15"/>
        <v/>
      </c>
      <c r="S29" s="45" t="str">
        <f t="shared" ca="1" si="15"/>
        <v/>
      </c>
      <c r="T29" s="45" t="str">
        <f t="shared" ca="1" si="15"/>
        <v/>
      </c>
      <c r="U29" s="45" t="str">
        <f t="shared" ca="1" si="15"/>
        <v/>
      </c>
      <c r="V29" s="45" t="str">
        <f t="shared" ca="1" si="15"/>
        <v/>
      </c>
      <c r="W29" s="45" t="str">
        <f t="shared" ca="1" si="12"/>
        <v/>
      </c>
      <c r="X29" s="45" t="str">
        <f t="shared" ca="1" si="15"/>
        <v/>
      </c>
      <c r="Y29" s="45" t="str">
        <f t="shared" ca="1" si="14"/>
        <v/>
      </c>
      <c r="Z29" s="45" t="str">
        <f t="shared" ca="1" si="14"/>
        <v/>
      </c>
      <c r="AA29" s="45" t="str">
        <f t="shared" ca="1" si="14"/>
        <v/>
      </c>
      <c r="AB29" s="45" t="str">
        <f t="shared" ca="1" si="14"/>
        <v/>
      </c>
      <c r="AC29" s="45" t="str">
        <f t="shared" ca="1" si="14"/>
        <v/>
      </c>
      <c r="AD29" s="45" t="str">
        <f t="shared" ca="1" si="14"/>
        <v/>
      </c>
      <c r="AE29" s="45" t="str">
        <f t="shared" ca="1" si="14"/>
        <v/>
      </c>
      <c r="AF29" s="45" t="str">
        <f t="shared" ca="1" si="14"/>
        <v/>
      </c>
      <c r="AG29" s="45" t="str">
        <f t="shared" ca="1" si="14"/>
        <v/>
      </c>
      <c r="AH29" s="45" t="str">
        <f t="shared" ca="1" si="14"/>
        <v/>
      </c>
      <c r="AI29" s="45" t="str">
        <f t="shared" ca="1" si="14"/>
        <v/>
      </c>
      <c r="AJ29" s="45" t="str">
        <f t="shared" ca="1" si="14"/>
        <v/>
      </c>
      <c r="AK29" s="45" t="str">
        <f t="shared" ca="1" si="14"/>
        <v/>
      </c>
      <c r="AL29" s="45" t="str">
        <f t="shared" ca="1" si="14"/>
        <v/>
      </c>
      <c r="AM29" s="45" t="str">
        <f t="shared" ca="1" si="14"/>
        <v/>
      </c>
      <c r="AN29" s="45" t="str">
        <f t="shared" ca="1" si="14"/>
        <v/>
      </c>
      <c r="AO29" s="45" t="str">
        <f t="shared" ca="1" si="14"/>
        <v/>
      </c>
      <c r="AP29" s="45" t="str">
        <f t="shared" ca="1" si="14"/>
        <v/>
      </c>
      <c r="AQ29" s="45" t="str">
        <f t="shared" ca="1" si="14"/>
        <v/>
      </c>
      <c r="AR29" s="45" t="str">
        <f t="shared" ca="1" si="14"/>
        <v/>
      </c>
      <c r="AS29" s="45" t="str">
        <f t="shared" ca="1" si="14"/>
        <v/>
      </c>
      <c r="AT29" s="45" t="str">
        <f t="shared" ca="1" si="14"/>
        <v/>
      </c>
      <c r="AU29" s="45" t="str">
        <f t="shared" ca="1" si="14"/>
        <v/>
      </c>
      <c r="AV29" s="45" t="str">
        <f t="shared" ca="1" si="14"/>
        <v/>
      </c>
      <c r="AW29" s="45" t="str">
        <f t="shared" ca="1" si="14"/>
        <v/>
      </c>
      <c r="AX29" s="45" t="str">
        <f t="shared" ca="1" si="14"/>
        <v/>
      </c>
      <c r="AY29" s="45" t="str">
        <f t="shared" ca="1" si="14"/>
        <v/>
      </c>
      <c r="AZ29" s="45" t="str">
        <f t="shared" ca="1" si="14"/>
        <v/>
      </c>
      <c r="BA29" s="45" t="str">
        <f t="shared" ca="1" si="14"/>
        <v/>
      </c>
      <c r="BB29" s="45" t="str">
        <f t="shared" ca="1" si="14"/>
        <v/>
      </c>
      <c r="BC29" s="45" t="str">
        <f t="shared" ca="1" si="14"/>
        <v/>
      </c>
      <c r="BD29" s="45" t="str">
        <f t="shared" ca="1" si="14"/>
        <v/>
      </c>
      <c r="BE29" s="45" t="str">
        <f t="shared" ca="1" si="14"/>
        <v/>
      </c>
      <c r="BF29" s="45" t="str">
        <f t="shared" ca="1" si="14"/>
        <v/>
      </c>
      <c r="BG29" s="45" t="str">
        <f t="shared" ca="1" si="14"/>
        <v/>
      </c>
      <c r="BH29" s="45" t="str">
        <f t="shared" ca="1" si="14"/>
        <v/>
      </c>
      <c r="BI29" s="45" t="str">
        <f t="shared" ca="1" si="14"/>
        <v/>
      </c>
      <c r="BJ29" s="45" t="str">
        <f t="shared" ca="1" si="14"/>
        <v/>
      </c>
      <c r="BK29" s="45" t="str">
        <f t="shared" ca="1" si="14"/>
        <v/>
      </c>
      <c r="BL29" s="45" t="str">
        <f t="shared" ca="1" si="14"/>
        <v/>
      </c>
      <c r="BM29" s="45"/>
    </row>
    <row r="30" spans="1:65" s="1" customFormat="1" ht="18" customHeight="1" x14ac:dyDescent="0.25">
      <c r="A30" s="96"/>
      <c r="B30" s="65" t="s">
        <v>46</v>
      </c>
      <c r="C30" s="56" t="s">
        <v>6</v>
      </c>
      <c r="D30" s="57"/>
      <c r="E30" s="58"/>
      <c r="F30" s="71">
        <f>Plan_Sommer[[#This Row],[Ende]]-Plan_Sommer[[#This Row],[Dauer
in Tage]]</f>
        <v>-3</v>
      </c>
      <c r="G30" s="72">
        <v>3</v>
      </c>
      <c r="H30" s="73">
        <f>H31</f>
        <v>0</v>
      </c>
      <c r="I30" s="45" t="str">
        <f t="shared" ca="1" si="15"/>
        <v/>
      </c>
      <c r="J30" s="45" t="str">
        <f t="shared" ca="1" si="15"/>
        <v/>
      </c>
      <c r="K30" s="45" t="str">
        <f t="shared" ca="1" si="15"/>
        <v/>
      </c>
      <c r="L30" s="45" t="str">
        <f t="shared" ca="1" si="15"/>
        <v/>
      </c>
      <c r="M30" s="45" t="str">
        <f t="shared" ca="1" si="15"/>
        <v/>
      </c>
      <c r="N30" s="45" t="str">
        <f t="shared" ca="1" si="15"/>
        <v/>
      </c>
      <c r="O30" s="45" t="str">
        <f t="shared" ca="1" si="15"/>
        <v/>
      </c>
      <c r="P30" s="45" t="str">
        <f t="shared" ca="1" si="15"/>
        <v/>
      </c>
      <c r="Q30" s="45" t="str">
        <f t="shared" ca="1" si="15"/>
        <v/>
      </c>
      <c r="R30" s="45" t="str">
        <f t="shared" ca="1" si="15"/>
        <v/>
      </c>
      <c r="S30" s="45" t="str">
        <f t="shared" ca="1" si="15"/>
        <v/>
      </c>
      <c r="T30" s="45" t="str">
        <f t="shared" ca="1" si="15"/>
        <v/>
      </c>
      <c r="U30" s="45" t="str">
        <f t="shared" ca="1" si="15"/>
        <v/>
      </c>
      <c r="V30" s="45" t="str">
        <f t="shared" ca="1" si="15"/>
        <v/>
      </c>
      <c r="W30" s="45" t="str">
        <f t="shared" ca="1" si="12"/>
        <v/>
      </c>
      <c r="X30" s="45" t="str">
        <f t="shared" ca="1" si="14"/>
        <v/>
      </c>
      <c r="Y30" s="45" t="str">
        <f t="shared" ca="1" si="14"/>
        <v/>
      </c>
      <c r="Z30" s="45" t="str">
        <f t="shared" ca="1" si="14"/>
        <v/>
      </c>
      <c r="AA30" s="45" t="str">
        <f t="shared" ca="1" si="14"/>
        <v/>
      </c>
      <c r="AB30" s="45" t="str">
        <f t="shared" ca="1" si="14"/>
        <v/>
      </c>
      <c r="AC30" s="45" t="str">
        <f t="shared" ca="1" si="14"/>
        <v/>
      </c>
      <c r="AD30" s="45" t="str">
        <f t="shared" ca="1" si="14"/>
        <v/>
      </c>
      <c r="AE30" s="45" t="str">
        <f t="shared" ca="1" si="14"/>
        <v/>
      </c>
      <c r="AF30" s="45" t="str">
        <f t="shared" ca="1" si="14"/>
        <v/>
      </c>
      <c r="AG30" s="45" t="str">
        <f t="shared" ca="1" si="14"/>
        <v/>
      </c>
      <c r="AH30" s="45" t="str">
        <f t="shared" ca="1" si="14"/>
        <v/>
      </c>
      <c r="AI30" s="45" t="str">
        <f t="shared" ca="1" si="14"/>
        <v/>
      </c>
      <c r="AJ30" s="45" t="str">
        <f t="shared" ca="1" si="14"/>
        <v/>
      </c>
      <c r="AK30" s="45" t="str">
        <f t="shared" ca="1" si="14"/>
        <v/>
      </c>
      <c r="AL30" s="45" t="str">
        <f t="shared" ca="1" si="14"/>
        <v/>
      </c>
      <c r="AM30" s="45" t="str">
        <f t="shared" ca="1" si="14"/>
        <v/>
      </c>
      <c r="AN30" s="45" t="str">
        <f t="shared" ca="1" si="14"/>
        <v/>
      </c>
      <c r="AO30" s="45" t="str">
        <f t="shared" ca="1" si="14"/>
        <v/>
      </c>
      <c r="AP30" s="45" t="str">
        <f t="shared" ca="1" si="14"/>
        <v/>
      </c>
      <c r="AQ30" s="45" t="str">
        <f t="shared" ca="1" si="14"/>
        <v/>
      </c>
      <c r="AR30" s="45" t="str">
        <f t="shared" ca="1" si="14"/>
        <v/>
      </c>
      <c r="AS30" s="45" t="str">
        <f t="shared" ca="1" si="14"/>
        <v/>
      </c>
      <c r="AT30" s="45" t="str">
        <f t="shared" ca="1" si="14"/>
        <v/>
      </c>
      <c r="AU30" s="45" t="str">
        <f t="shared" ca="1" si="14"/>
        <v/>
      </c>
      <c r="AV30" s="45" t="str">
        <f t="shared" ca="1" si="14"/>
        <v/>
      </c>
      <c r="AW30" s="45" t="str">
        <f t="shared" ca="1" si="14"/>
        <v/>
      </c>
      <c r="AX30" s="45" t="str">
        <f t="shared" ca="1" si="14"/>
        <v/>
      </c>
      <c r="AY30" s="45" t="str">
        <f t="shared" ca="1" si="14"/>
        <v/>
      </c>
      <c r="AZ30" s="45" t="str">
        <f t="shared" ca="1" si="14"/>
        <v/>
      </c>
      <c r="BA30" s="45" t="str">
        <f t="shared" ca="1" si="14"/>
        <v/>
      </c>
      <c r="BB30" s="45" t="str">
        <f t="shared" ca="1" si="14"/>
        <v/>
      </c>
      <c r="BC30" s="45" t="str">
        <f t="shared" ca="1" si="14"/>
        <v/>
      </c>
      <c r="BD30" s="45" t="str">
        <f t="shared" ca="1" si="14"/>
        <v/>
      </c>
      <c r="BE30" s="45" t="str">
        <f t="shared" ca="1" si="14"/>
        <v/>
      </c>
      <c r="BF30" s="45" t="str">
        <f t="shared" ca="1" si="14"/>
        <v/>
      </c>
      <c r="BG30" s="45" t="str">
        <f t="shared" ca="1" si="14"/>
        <v/>
      </c>
      <c r="BH30" s="45" t="str">
        <f t="shared" ca="1" si="14"/>
        <v/>
      </c>
      <c r="BI30" s="45" t="str">
        <f t="shared" ca="1" si="14"/>
        <v/>
      </c>
      <c r="BJ30" s="45" t="str">
        <f t="shared" ca="1" si="14"/>
        <v/>
      </c>
      <c r="BK30" s="45" t="str">
        <f t="shared" ca="1" si="14"/>
        <v/>
      </c>
      <c r="BL30" s="45" t="str">
        <f t="shared" ca="1" si="14"/>
        <v/>
      </c>
      <c r="BM30" s="45"/>
    </row>
    <row r="31" spans="1:65" s="1" customFormat="1" ht="18" customHeight="1" x14ac:dyDescent="0.25">
      <c r="A31" s="96"/>
      <c r="B31" s="92" t="s">
        <v>47</v>
      </c>
      <c r="C31" s="91" t="s">
        <v>9</v>
      </c>
      <c r="D31" s="57">
        <v>1</v>
      </c>
      <c r="E31" s="58"/>
      <c r="F31" s="71"/>
      <c r="G31" s="75"/>
      <c r="H31" s="76"/>
      <c r="I31" s="45" t="str">
        <f t="shared" ca="1" si="15"/>
        <v/>
      </c>
      <c r="J31" s="45" t="str">
        <f t="shared" ca="1" si="15"/>
        <v/>
      </c>
      <c r="K31" s="45" t="str">
        <f t="shared" ca="1" si="15"/>
        <v/>
      </c>
      <c r="L31" s="45" t="str">
        <f t="shared" ca="1" si="15"/>
        <v/>
      </c>
      <c r="M31" s="45" t="str">
        <f t="shared" ca="1" si="15"/>
        <v/>
      </c>
      <c r="N31" s="45" t="str">
        <f t="shared" ca="1" si="15"/>
        <v/>
      </c>
      <c r="O31" s="45" t="str">
        <f t="shared" ca="1" si="15"/>
        <v/>
      </c>
      <c r="P31" s="45" t="str">
        <f t="shared" ca="1" si="15"/>
        <v/>
      </c>
      <c r="Q31" s="45" t="str">
        <f t="shared" ca="1" si="15"/>
        <v/>
      </c>
      <c r="R31" s="45" t="str">
        <f t="shared" ca="1" si="15"/>
        <v/>
      </c>
      <c r="S31" s="45" t="str">
        <f t="shared" ca="1" si="15"/>
        <v/>
      </c>
      <c r="T31" s="45" t="str">
        <f t="shared" ca="1" si="15"/>
        <v/>
      </c>
      <c r="U31" s="45" t="str">
        <f t="shared" ca="1" si="15"/>
        <v/>
      </c>
      <c r="V31" s="45" t="str">
        <f t="shared" ca="1" si="15"/>
        <v/>
      </c>
      <c r="W31" s="45" t="str">
        <f t="shared" ca="1" si="12"/>
        <v/>
      </c>
      <c r="X31" s="45" t="str">
        <f t="shared" ca="1" si="14"/>
        <v/>
      </c>
      <c r="Y31" s="45" t="str">
        <f t="shared" ca="1" si="14"/>
        <v/>
      </c>
      <c r="Z31" s="45" t="str">
        <f t="shared" ca="1" si="14"/>
        <v/>
      </c>
      <c r="AA31" s="45" t="str">
        <f t="shared" ca="1" si="14"/>
        <v/>
      </c>
      <c r="AB31" s="45" t="str">
        <f t="shared" ca="1" si="14"/>
        <v/>
      </c>
      <c r="AC31" s="45" t="str">
        <f t="shared" ca="1" si="14"/>
        <v/>
      </c>
      <c r="AD31" s="45" t="str">
        <f t="shared" ca="1" si="14"/>
        <v/>
      </c>
      <c r="AE31" s="45" t="str">
        <f t="shared" ca="1" si="14"/>
        <v/>
      </c>
      <c r="AF31" s="45" t="str">
        <f t="shared" ca="1" si="14"/>
        <v/>
      </c>
      <c r="AG31" s="45" t="str">
        <f t="shared" ca="1" si="14"/>
        <v/>
      </c>
      <c r="AH31" s="45" t="str">
        <f t="shared" ca="1" si="14"/>
        <v/>
      </c>
      <c r="AI31" s="45" t="str">
        <f t="shared" ref="X31:BL37" ca="1" si="16">IF(AND($C31="Ziel",$H31=AI$7),2,IF(AND($C31="Meilenstein",$H31=AI$7),1,""))</f>
        <v/>
      </c>
      <c r="AJ31" s="45" t="str">
        <f t="shared" ca="1" si="16"/>
        <v/>
      </c>
      <c r="AK31" s="45" t="str">
        <f t="shared" ca="1" si="16"/>
        <v/>
      </c>
      <c r="AL31" s="45" t="str">
        <f t="shared" ca="1" si="16"/>
        <v/>
      </c>
      <c r="AM31" s="45" t="str">
        <f t="shared" ca="1" si="16"/>
        <v/>
      </c>
      <c r="AN31" s="45" t="str">
        <f t="shared" ca="1" si="16"/>
        <v/>
      </c>
      <c r="AO31" s="45" t="str">
        <f t="shared" ca="1" si="16"/>
        <v/>
      </c>
      <c r="AP31" s="45" t="str">
        <f t="shared" ca="1" si="16"/>
        <v/>
      </c>
      <c r="AQ31" s="45" t="str">
        <f t="shared" ca="1" si="16"/>
        <v/>
      </c>
      <c r="AR31" s="45" t="str">
        <f t="shared" ca="1" si="16"/>
        <v/>
      </c>
      <c r="AS31" s="45" t="str">
        <f t="shared" ca="1" si="16"/>
        <v/>
      </c>
      <c r="AT31" s="45" t="str">
        <f t="shared" ca="1" si="16"/>
        <v/>
      </c>
      <c r="AU31" s="45" t="str">
        <f t="shared" ca="1" si="16"/>
        <v/>
      </c>
      <c r="AV31" s="45" t="str">
        <f t="shared" ca="1" si="16"/>
        <v/>
      </c>
      <c r="AW31" s="45" t="str">
        <f t="shared" ca="1" si="16"/>
        <v/>
      </c>
      <c r="AX31" s="45" t="str">
        <f t="shared" ca="1" si="16"/>
        <v/>
      </c>
      <c r="AY31" s="45" t="str">
        <f t="shared" ca="1" si="16"/>
        <v/>
      </c>
      <c r="AZ31" s="45" t="str">
        <f t="shared" ca="1" si="16"/>
        <v/>
      </c>
      <c r="BA31" s="45" t="str">
        <f t="shared" ca="1" si="16"/>
        <v/>
      </c>
      <c r="BB31" s="45" t="str">
        <f t="shared" ca="1" si="16"/>
        <v/>
      </c>
      <c r="BC31" s="45" t="str">
        <f t="shared" ca="1" si="16"/>
        <v/>
      </c>
      <c r="BD31" s="45" t="str">
        <f t="shared" ca="1" si="16"/>
        <v/>
      </c>
      <c r="BE31" s="45" t="str">
        <f t="shared" ca="1" si="16"/>
        <v/>
      </c>
      <c r="BF31" s="45" t="str">
        <f t="shared" ca="1" si="16"/>
        <v/>
      </c>
      <c r="BG31" s="45" t="str">
        <f t="shared" ca="1" si="16"/>
        <v/>
      </c>
      <c r="BH31" s="45" t="str">
        <f t="shared" ca="1" si="16"/>
        <v/>
      </c>
      <c r="BI31" s="45" t="str">
        <f t="shared" ca="1" si="16"/>
        <v/>
      </c>
      <c r="BJ31" s="45" t="str">
        <f t="shared" ca="1" si="16"/>
        <v/>
      </c>
      <c r="BK31" s="45" t="str">
        <f t="shared" ca="1" si="16"/>
        <v/>
      </c>
      <c r="BL31" s="45" t="str">
        <f t="shared" ca="1" si="16"/>
        <v/>
      </c>
      <c r="BM31" s="45"/>
    </row>
    <row r="32" spans="1:65" s="1" customFormat="1" ht="18" customHeight="1" x14ac:dyDescent="0.25">
      <c r="A32" s="96"/>
      <c r="B32" s="92" t="s">
        <v>47</v>
      </c>
      <c r="C32" s="91" t="s">
        <v>9</v>
      </c>
      <c r="D32" s="57">
        <v>2</v>
      </c>
      <c r="E32" s="58"/>
      <c r="F32" s="71"/>
      <c r="G32" s="75"/>
      <c r="H32" s="76"/>
      <c r="I32" s="45" t="str">
        <f t="shared" ca="1" si="15"/>
        <v/>
      </c>
      <c r="J32" s="45" t="str">
        <f t="shared" ca="1" si="15"/>
        <v/>
      </c>
      <c r="K32" s="45" t="str">
        <f t="shared" ca="1" si="15"/>
        <v/>
      </c>
      <c r="L32" s="45" t="str">
        <f t="shared" ca="1" si="15"/>
        <v/>
      </c>
      <c r="M32" s="45" t="str">
        <f t="shared" ca="1" si="15"/>
        <v/>
      </c>
      <c r="N32" s="45" t="str">
        <f t="shared" ca="1" si="15"/>
        <v/>
      </c>
      <c r="O32" s="45" t="str">
        <f t="shared" ca="1" si="15"/>
        <v/>
      </c>
      <c r="P32" s="45" t="str">
        <f t="shared" ca="1" si="15"/>
        <v/>
      </c>
      <c r="Q32" s="45" t="str">
        <f t="shared" ca="1" si="15"/>
        <v/>
      </c>
      <c r="R32" s="45" t="str">
        <f t="shared" ca="1" si="15"/>
        <v/>
      </c>
      <c r="S32" s="45" t="str">
        <f t="shared" ca="1" si="15"/>
        <v/>
      </c>
      <c r="T32" s="45" t="str">
        <f t="shared" ca="1" si="15"/>
        <v/>
      </c>
      <c r="U32" s="45" t="str">
        <f t="shared" ca="1" si="15"/>
        <v/>
      </c>
      <c r="V32" s="45" t="str">
        <f t="shared" ca="1" si="15"/>
        <v/>
      </c>
      <c r="W32" s="45" t="str">
        <f t="shared" ca="1" si="12"/>
        <v/>
      </c>
      <c r="X32" s="45" t="str">
        <f t="shared" ca="1" si="16"/>
        <v/>
      </c>
      <c r="Y32" s="45" t="str">
        <f t="shared" ca="1" si="16"/>
        <v/>
      </c>
      <c r="Z32" s="45" t="str">
        <f t="shared" ca="1" si="16"/>
        <v/>
      </c>
      <c r="AA32" s="45" t="str">
        <f t="shared" ca="1" si="16"/>
        <v/>
      </c>
      <c r="AB32" s="45" t="str">
        <f t="shared" ca="1" si="16"/>
        <v/>
      </c>
      <c r="AC32" s="45" t="str">
        <f t="shared" ca="1" si="16"/>
        <v/>
      </c>
      <c r="AD32" s="45" t="str">
        <f t="shared" ca="1" si="16"/>
        <v/>
      </c>
      <c r="AE32" s="45" t="str">
        <f t="shared" ca="1" si="16"/>
        <v/>
      </c>
      <c r="AF32" s="45" t="str">
        <f t="shared" ca="1" si="16"/>
        <v/>
      </c>
      <c r="AG32" s="45" t="str">
        <f t="shared" ca="1" si="16"/>
        <v/>
      </c>
      <c r="AH32" s="45" t="str">
        <f t="shared" ca="1" si="16"/>
        <v/>
      </c>
      <c r="AI32" s="45" t="str">
        <f t="shared" ca="1" si="16"/>
        <v/>
      </c>
      <c r="AJ32" s="45" t="str">
        <f t="shared" ca="1" si="16"/>
        <v/>
      </c>
      <c r="AK32" s="45" t="str">
        <f t="shared" ca="1" si="16"/>
        <v/>
      </c>
      <c r="AL32" s="45" t="str">
        <f t="shared" ca="1" si="16"/>
        <v/>
      </c>
      <c r="AM32" s="45" t="str">
        <f t="shared" ca="1" si="16"/>
        <v/>
      </c>
      <c r="AN32" s="45" t="str">
        <f t="shared" ca="1" si="16"/>
        <v/>
      </c>
      <c r="AO32" s="45" t="str">
        <f t="shared" ca="1" si="16"/>
        <v/>
      </c>
      <c r="AP32" s="45" t="str">
        <f t="shared" ca="1" si="16"/>
        <v/>
      </c>
      <c r="AQ32" s="45" t="str">
        <f t="shared" ca="1" si="16"/>
        <v/>
      </c>
      <c r="AR32" s="45" t="str">
        <f t="shared" ca="1" si="16"/>
        <v/>
      </c>
      <c r="AS32" s="45" t="str">
        <f t="shared" ca="1" si="16"/>
        <v/>
      </c>
      <c r="AT32" s="45" t="str">
        <f t="shared" ca="1" si="16"/>
        <v/>
      </c>
      <c r="AU32" s="45" t="str">
        <f t="shared" ca="1" si="16"/>
        <v/>
      </c>
      <c r="AV32" s="45" t="str">
        <f t="shared" ca="1" si="16"/>
        <v/>
      </c>
      <c r="AW32" s="45" t="str">
        <f t="shared" ca="1" si="16"/>
        <v/>
      </c>
      <c r="AX32" s="45" t="str">
        <f t="shared" ca="1" si="16"/>
        <v/>
      </c>
      <c r="AY32" s="45" t="str">
        <f t="shared" ca="1" si="16"/>
        <v/>
      </c>
      <c r="AZ32" s="45" t="str">
        <f t="shared" ca="1" si="16"/>
        <v/>
      </c>
      <c r="BA32" s="45" t="str">
        <f t="shared" ca="1" si="16"/>
        <v/>
      </c>
      <c r="BB32" s="45" t="str">
        <f t="shared" ca="1" si="16"/>
        <v/>
      </c>
      <c r="BC32" s="45" t="str">
        <f t="shared" ca="1" si="16"/>
        <v/>
      </c>
      <c r="BD32" s="45" t="str">
        <f t="shared" ca="1" si="16"/>
        <v/>
      </c>
      <c r="BE32" s="45" t="str">
        <f t="shared" ca="1" si="16"/>
        <v/>
      </c>
      <c r="BF32" s="45" t="str">
        <f t="shared" ca="1" si="16"/>
        <v/>
      </c>
      <c r="BG32" s="45" t="str">
        <f t="shared" ca="1" si="16"/>
        <v/>
      </c>
      <c r="BH32" s="45" t="str">
        <f t="shared" ca="1" si="16"/>
        <v/>
      </c>
      <c r="BI32" s="45" t="str">
        <f t="shared" ca="1" si="16"/>
        <v/>
      </c>
      <c r="BJ32" s="45" t="str">
        <f t="shared" ca="1" si="16"/>
        <v/>
      </c>
      <c r="BK32" s="45" t="str">
        <f t="shared" ca="1" si="16"/>
        <v/>
      </c>
      <c r="BL32" s="45" t="str">
        <f t="shared" ca="1" si="16"/>
        <v/>
      </c>
      <c r="BM32" s="45"/>
    </row>
    <row r="33" spans="1:65" s="1" customFormat="1" ht="18" customHeight="1" x14ac:dyDescent="0.25">
      <c r="A33" s="96"/>
      <c r="B33" s="92" t="s">
        <v>47</v>
      </c>
      <c r="C33" s="91" t="s">
        <v>9</v>
      </c>
      <c r="D33" s="57">
        <v>3</v>
      </c>
      <c r="E33" s="58"/>
      <c r="F33" s="71"/>
      <c r="G33" s="75"/>
      <c r="H33" s="76"/>
      <c r="I33" s="45" t="str">
        <f t="shared" ca="1" si="15"/>
        <v/>
      </c>
      <c r="J33" s="45" t="str">
        <f t="shared" ca="1" si="15"/>
        <v/>
      </c>
      <c r="K33" s="45" t="str">
        <f t="shared" ca="1" si="15"/>
        <v/>
      </c>
      <c r="L33" s="45" t="str">
        <f t="shared" ca="1" si="15"/>
        <v/>
      </c>
      <c r="M33" s="45" t="str">
        <f t="shared" ca="1" si="15"/>
        <v/>
      </c>
      <c r="N33" s="45" t="str">
        <f t="shared" ca="1" si="15"/>
        <v/>
      </c>
      <c r="O33" s="45" t="str">
        <f t="shared" ca="1" si="15"/>
        <v/>
      </c>
      <c r="P33" s="45" t="str">
        <f t="shared" ca="1" si="15"/>
        <v/>
      </c>
      <c r="Q33" s="45" t="str">
        <f t="shared" ca="1" si="15"/>
        <v/>
      </c>
      <c r="R33" s="45" t="str">
        <f t="shared" ca="1" si="15"/>
        <v/>
      </c>
      <c r="S33" s="45" t="str">
        <f t="shared" ca="1" si="15"/>
        <v/>
      </c>
      <c r="T33" s="45" t="str">
        <f t="shared" ca="1" si="15"/>
        <v/>
      </c>
      <c r="U33" s="45" t="str">
        <f t="shared" ca="1" si="15"/>
        <v/>
      </c>
      <c r="V33" s="45" t="str">
        <f t="shared" ca="1" si="15"/>
        <v/>
      </c>
      <c r="W33" s="45" t="str">
        <f t="shared" ca="1" si="12"/>
        <v/>
      </c>
      <c r="X33" s="45" t="str">
        <f t="shared" ca="1" si="16"/>
        <v/>
      </c>
      <c r="Y33" s="45" t="str">
        <f t="shared" ca="1" si="16"/>
        <v/>
      </c>
      <c r="Z33" s="45" t="str">
        <f t="shared" ca="1" si="16"/>
        <v/>
      </c>
      <c r="AA33" s="45" t="str">
        <f t="shared" ca="1" si="16"/>
        <v/>
      </c>
      <c r="AB33" s="45" t="str">
        <f t="shared" ca="1" si="16"/>
        <v/>
      </c>
      <c r="AC33" s="45" t="str">
        <f t="shared" ca="1" si="16"/>
        <v/>
      </c>
      <c r="AD33" s="45" t="str">
        <f t="shared" ca="1" si="16"/>
        <v/>
      </c>
      <c r="AE33" s="45" t="str">
        <f t="shared" ca="1" si="16"/>
        <v/>
      </c>
      <c r="AF33" s="45" t="str">
        <f t="shared" ca="1" si="16"/>
        <v/>
      </c>
      <c r="AG33" s="45" t="str">
        <f t="shared" ca="1" si="16"/>
        <v/>
      </c>
      <c r="AH33" s="45" t="str">
        <f t="shared" ca="1" si="16"/>
        <v/>
      </c>
      <c r="AI33" s="45" t="str">
        <f t="shared" ca="1" si="16"/>
        <v/>
      </c>
      <c r="AJ33" s="45" t="str">
        <f t="shared" ca="1" si="16"/>
        <v/>
      </c>
      <c r="AK33" s="45" t="str">
        <f t="shared" ca="1" si="16"/>
        <v/>
      </c>
      <c r="AL33" s="45" t="str">
        <f t="shared" ca="1" si="16"/>
        <v/>
      </c>
      <c r="AM33" s="45" t="str">
        <f t="shared" ca="1" si="16"/>
        <v/>
      </c>
      <c r="AN33" s="45" t="str">
        <f t="shared" ca="1" si="16"/>
        <v/>
      </c>
      <c r="AO33" s="45" t="str">
        <f t="shared" ca="1" si="16"/>
        <v/>
      </c>
      <c r="AP33" s="45" t="str">
        <f t="shared" ca="1" si="16"/>
        <v/>
      </c>
      <c r="AQ33" s="45" t="str">
        <f t="shared" ca="1" si="16"/>
        <v/>
      </c>
      <c r="AR33" s="45" t="str">
        <f t="shared" ca="1" si="16"/>
        <v/>
      </c>
      <c r="AS33" s="45" t="str">
        <f t="shared" ca="1" si="16"/>
        <v/>
      </c>
      <c r="AT33" s="45" t="str">
        <f t="shared" ca="1" si="16"/>
        <v/>
      </c>
      <c r="AU33" s="45" t="str">
        <f t="shared" ca="1" si="16"/>
        <v/>
      </c>
      <c r="AV33" s="45" t="str">
        <f t="shared" ca="1" si="16"/>
        <v/>
      </c>
      <c r="AW33" s="45" t="str">
        <f t="shared" ca="1" si="16"/>
        <v/>
      </c>
      <c r="AX33" s="45" t="str">
        <f t="shared" ca="1" si="16"/>
        <v/>
      </c>
      <c r="AY33" s="45" t="str">
        <f t="shared" ca="1" si="16"/>
        <v/>
      </c>
      <c r="AZ33" s="45" t="str">
        <f t="shared" ca="1" si="16"/>
        <v/>
      </c>
      <c r="BA33" s="45" t="str">
        <f t="shared" ca="1" si="16"/>
        <v/>
      </c>
      <c r="BB33" s="45" t="str">
        <f t="shared" ca="1" si="16"/>
        <v/>
      </c>
      <c r="BC33" s="45" t="str">
        <f t="shared" ca="1" si="16"/>
        <v/>
      </c>
      <c r="BD33" s="45" t="str">
        <f t="shared" ca="1" si="16"/>
        <v/>
      </c>
      <c r="BE33" s="45" t="str">
        <f t="shared" ca="1" si="16"/>
        <v/>
      </c>
      <c r="BF33" s="45" t="str">
        <f t="shared" ca="1" si="16"/>
        <v/>
      </c>
      <c r="BG33" s="45" t="str">
        <f t="shared" ca="1" si="16"/>
        <v/>
      </c>
      <c r="BH33" s="45" t="str">
        <f t="shared" ca="1" si="16"/>
        <v/>
      </c>
      <c r="BI33" s="45" t="str">
        <f t="shared" ca="1" si="16"/>
        <v/>
      </c>
      <c r="BJ33" s="45" t="str">
        <f t="shared" ca="1" si="16"/>
        <v/>
      </c>
      <c r="BK33" s="45" t="str">
        <f t="shared" ca="1" si="16"/>
        <v/>
      </c>
      <c r="BL33" s="45" t="str">
        <f t="shared" ca="1" si="16"/>
        <v/>
      </c>
      <c r="BM33" s="45"/>
    </row>
    <row r="34" spans="1:65" s="1" customFormat="1" ht="18" customHeight="1" x14ac:dyDescent="0.25">
      <c r="A34" s="96"/>
      <c r="B34" s="93" t="s">
        <v>47</v>
      </c>
      <c r="C34" s="90" t="s">
        <v>9</v>
      </c>
      <c r="D34" s="79">
        <v>4</v>
      </c>
      <c r="E34" s="80"/>
      <c r="F34" s="81"/>
      <c r="G34" s="85"/>
      <c r="H34" s="87"/>
      <c r="I34" s="84" t="str">
        <f t="shared" ca="1" si="15"/>
        <v/>
      </c>
      <c r="J34" s="84" t="str">
        <f t="shared" ca="1" si="15"/>
        <v/>
      </c>
      <c r="K34" s="84" t="str">
        <f t="shared" ca="1" si="15"/>
        <v/>
      </c>
      <c r="L34" s="84" t="str">
        <f t="shared" ca="1" si="15"/>
        <v/>
      </c>
      <c r="M34" s="84" t="str">
        <f t="shared" ca="1" si="15"/>
        <v/>
      </c>
      <c r="N34" s="84" t="str">
        <f t="shared" ca="1" si="15"/>
        <v/>
      </c>
      <c r="O34" s="84" t="str">
        <f t="shared" ca="1" si="15"/>
        <v/>
      </c>
      <c r="P34" s="84" t="str">
        <f t="shared" ca="1" si="15"/>
        <v/>
      </c>
      <c r="Q34" s="84" t="str">
        <f t="shared" ca="1" si="15"/>
        <v/>
      </c>
      <c r="R34" s="84" t="str">
        <f t="shared" ca="1" si="15"/>
        <v/>
      </c>
      <c r="S34" s="84" t="str">
        <f t="shared" ca="1" si="15"/>
        <v/>
      </c>
      <c r="T34" s="84" t="str">
        <f t="shared" ca="1" si="15"/>
        <v/>
      </c>
      <c r="U34" s="84" t="str">
        <f t="shared" ca="1" si="15"/>
        <v/>
      </c>
      <c r="V34" s="84" t="str">
        <f t="shared" ca="1" si="15"/>
        <v/>
      </c>
      <c r="W34" s="84" t="str">
        <f t="shared" ca="1" si="12"/>
        <v/>
      </c>
      <c r="X34" s="84" t="str">
        <f t="shared" ca="1" si="16"/>
        <v/>
      </c>
      <c r="Y34" s="84" t="str">
        <f t="shared" ca="1" si="16"/>
        <v/>
      </c>
      <c r="Z34" s="84" t="str">
        <f t="shared" ca="1" si="16"/>
        <v/>
      </c>
      <c r="AA34" s="84" t="str">
        <f t="shared" ca="1" si="16"/>
        <v/>
      </c>
      <c r="AB34" s="84" t="str">
        <f t="shared" ca="1" si="16"/>
        <v/>
      </c>
      <c r="AC34" s="84" t="str">
        <f t="shared" ca="1" si="16"/>
        <v/>
      </c>
      <c r="AD34" s="84" t="str">
        <f t="shared" ca="1" si="16"/>
        <v/>
      </c>
      <c r="AE34" s="84" t="str">
        <f t="shared" ca="1" si="16"/>
        <v/>
      </c>
      <c r="AF34" s="84" t="str">
        <f t="shared" ca="1" si="16"/>
        <v/>
      </c>
      <c r="AG34" s="84" t="str">
        <f t="shared" ca="1" si="16"/>
        <v/>
      </c>
      <c r="AH34" s="84" t="str">
        <f t="shared" ca="1" si="16"/>
        <v/>
      </c>
      <c r="AI34" s="84" t="str">
        <f t="shared" ca="1" si="16"/>
        <v/>
      </c>
      <c r="AJ34" s="84" t="str">
        <f t="shared" ca="1" si="16"/>
        <v/>
      </c>
      <c r="AK34" s="84" t="str">
        <f t="shared" ca="1" si="16"/>
        <v/>
      </c>
      <c r="AL34" s="84" t="str">
        <f t="shared" ca="1" si="16"/>
        <v/>
      </c>
      <c r="AM34" s="84" t="str">
        <f t="shared" ca="1" si="16"/>
        <v/>
      </c>
      <c r="AN34" s="84" t="str">
        <f t="shared" ca="1" si="16"/>
        <v/>
      </c>
      <c r="AO34" s="84" t="str">
        <f t="shared" ca="1" si="16"/>
        <v/>
      </c>
      <c r="AP34" s="84" t="str">
        <f t="shared" ca="1" si="16"/>
        <v/>
      </c>
      <c r="AQ34" s="84" t="str">
        <f t="shared" ca="1" si="16"/>
        <v/>
      </c>
      <c r="AR34" s="84" t="str">
        <f t="shared" ca="1" si="16"/>
        <v/>
      </c>
      <c r="AS34" s="84" t="str">
        <f t="shared" ca="1" si="16"/>
        <v/>
      </c>
      <c r="AT34" s="84" t="str">
        <f t="shared" ca="1" si="16"/>
        <v/>
      </c>
      <c r="AU34" s="84" t="str">
        <f t="shared" ca="1" si="16"/>
        <v/>
      </c>
      <c r="AV34" s="84" t="str">
        <f t="shared" ca="1" si="16"/>
        <v/>
      </c>
      <c r="AW34" s="84" t="str">
        <f t="shared" ca="1" si="16"/>
        <v/>
      </c>
      <c r="AX34" s="84" t="str">
        <f t="shared" ca="1" si="16"/>
        <v/>
      </c>
      <c r="AY34" s="84" t="str">
        <f t="shared" ca="1" si="16"/>
        <v/>
      </c>
      <c r="AZ34" s="84" t="str">
        <f t="shared" ca="1" si="16"/>
        <v/>
      </c>
      <c r="BA34" s="84" t="str">
        <f t="shared" ca="1" si="16"/>
        <v/>
      </c>
      <c r="BB34" s="84" t="str">
        <f t="shared" ca="1" si="16"/>
        <v/>
      </c>
      <c r="BC34" s="84" t="str">
        <f t="shared" ca="1" si="16"/>
        <v/>
      </c>
      <c r="BD34" s="84" t="str">
        <f t="shared" ca="1" si="16"/>
        <v/>
      </c>
      <c r="BE34" s="84" t="str">
        <f t="shared" ca="1" si="16"/>
        <v/>
      </c>
      <c r="BF34" s="84" t="str">
        <f t="shared" ca="1" si="16"/>
        <v/>
      </c>
      <c r="BG34" s="84" t="str">
        <f t="shared" ca="1" si="16"/>
        <v/>
      </c>
      <c r="BH34" s="84" t="str">
        <f t="shared" ca="1" si="16"/>
        <v/>
      </c>
      <c r="BI34" s="84" t="str">
        <f t="shared" ca="1" si="16"/>
        <v/>
      </c>
      <c r="BJ34" s="84" t="str">
        <f t="shared" ca="1" si="16"/>
        <v/>
      </c>
      <c r="BK34" s="84" t="str">
        <f t="shared" ca="1" si="16"/>
        <v/>
      </c>
      <c r="BL34" s="84" t="str">
        <f t="shared" ca="1" si="16"/>
        <v/>
      </c>
      <c r="BM34" s="84"/>
    </row>
    <row r="35" spans="1:65" s="1" customFormat="1" ht="18" customHeight="1" x14ac:dyDescent="0.25">
      <c r="A35" s="96"/>
      <c r="B35" s="66" t="s">
        <v>48</v>
      </c>
      <c r="C35" s="56"/>
      <c r="D35" s="57"/>
      <c r="E35" s="58"/>
      <c r="F35" s="71"/>
      <c r="G35" s="72"/>
      <c r="H35" s="73"/>
      <c r="I35" s="69" t="str">
        <f t="shared" ca="1" si="15"/>
        <v/>
      </c>
      <c r="J35" s="69" t="str">
        <f t="shared" ca="1" si="15"/>
        <v/>
      </c>
      <c r="K35" s="69" t="str">
        <f t="shared" ca="1" si="15"/>
        <v/>
      </c>
      <c r="L35" s="69" t="str">
        <f t="shared" ca="1" si="15"/>
        <v/>
      </c>
      <c r="M35" s="69" t="str">
        <f t="shared" ca="1" si="15"/>
        <v/>
      </c>
      <c r="N35" s="69" t="str">
        <f t="shared" ca="1" si="15"/>
        <v/>
      </c>
      <c r="O35" s="69" t="str">
        <f t="shared" ca="1" si="15"/>
        <v/>
      </c>
      <c r="P35" s="69" t="str">
        <f t="shared" ca="1" si="15"/>
        <v/>
      </c>
      <c r="Q35" s="69" t="str">
        <f t="shared" ca="1" si="15"/>
        <v/>
      </c>
      <c r="R35" s="69" t="str">
        <f t="shared" ca="1" si="15"/>
        <v/>
      </c>
      <c r="S35" s="69" t="str">
        <f t="shared" ca="1" si="15"/>
        <v/>
      </c>
      <c r="T35" s="69" t="str">
        <f t="shared" ca="1" si="15"/>
        <v/>
      </c>
      <c r="U35" s="69" t="str">
        <f t="shared" ca="1" si="15"/>
        <v/>
      </c>
      <c r="V35" s="69" t="str">
        <f t="shared" ca="1" si="15"/>
        <v/>
      </c>
      <c r="W35" s="69" t="str">
        <f t="shared" ca="1" si="12"/>
        <v/>
      </c>
      <c r="X35" s="69" t="str">
        <f t="shared" ca="1" si="16"/>
        <v/>
      </c>
      <c r="Y35" s="69" t="str">
        <f t="shared" ca="1" si="16"/>
        <v/>
      </c>
      <c r="Z35" s="69" t="str">
        <f t="shared" ca="1" si="16"/>
        <v/>
      </c>
      <c r="AA35" s="69" t="str">
        <f t="shared" ca="1" si="16"/>
        <v/>
      </c>
      <c r="AB35" s="69" t="str">
        <f t="shared" ca="1" si="16"/>
        <v/>
      </c>
      <c r="AC35" s="69" t="str">
        <f t="shared" ca="1" si="16"/>
        <v/>
      </c>
      <c r="AD35" s="69" t="str">
        <f t="shared" ca="1" si="16"/>
        <v/>
      </c>
      <c r="AE35" s="69" t="str">
        <f t="shared" ca="1" si="16"/>
        <v/>
      </c>
      <c r="AF35" s="69" t="str">
        <f t="shared" ca="1" si="16"/>
        <v/>
      </c>
      <c r="AG35" s="69" t="str">
        <f t="shared" ca="1" si="16"/>
        <v/>
      </c>
      <c r="AH35" s="69" t="str">
        <f t="shared" ca="1" si="16"/>
        <v/>
      </c>
      <c r="AI35" s="69" t="str">
        <f t="shared" ca="1" si="16"/>
        <v/>
      </c>
      <c r="AJ35" s="69" t="str">
        <f t="shared" ca="1" si="16"/>
        <v/>
      </c>
      <c r="AK35" s="69" t="str">
        <f t="shared" ca="1" si="16"/>
        <v/>
      </c>
      <c r="AL35" s="69" t="str">
        <f t="shared" ca="1" si="16"/>
        <v/>
      </c>
      <c r="AM35" s="69" t="str">
        <f t="shared" ca="1" si="16"/>
        <v/>
      </c>
      <c r="AN35" s="69" t="str">
        <f t="shared" ca="1" si="16"/>
        <v/>
      </c>
      <c r="AO35" s="69" t="str">
        <f t="shared" ca="1" si="16"/>
        <v/>
      </c>
      <c r="AP35" s="69" t="str">
        <f t="shared" ca="1" si="16"/>
        <v/>
      </c>
      <c r="AQ35" s="69" t="str">
        <f t="shared" ca="1" si="16"/>
        <v/>
      </c>
      <c r="AR35" s="69" t="str">
        <f t="shared" ca="1" si="16"/>
        <v/>
      </c>
      <c r="AS35" s="69" t="str">
        <f t="shared" ca="1" si="16"/>
        <v/>
      </c>
      <c r="AT35" s="69" t="str">
        <f t="shared" ca="1" si="16"/>
        <v/>
      </c>
      <c r="AU35" s="69" t="str">
        <f t="shared" ca="1" si="16"/>
        <v/>
      </c>
      <c r="AV35" s="69" t="str">
        <f t="shared" ca="1" si="16"/>
        <v/>
      </c>
      <c r="AW35" s="69" t="str">
        <f t="shared" ca="1" si="16"/>
        <v/>
      </c>
      <c r="AX35" s="69" t="str">
        <f t="shared" ca="1" si="16"/>
        <v/>
      </c>
      <c r="AY35" s="69" t="str">
        <f t="shared" ca="1" si="16"/>
        <v/>
      </c>
      <c r="AZ35" s="69" t="str">
        <f t="shared" ca="1" si="16"/>
        <v/>
      </c>
      <c r="BA35" s="69" t="str">
        <f t="shared" ca="1" si="16"/>
        <v/>
      </c>
      <c r="BB35" s="69" t="str">
        <f t="shared" ca="1" si="16"/>
        <v/>
      </c>
      <c r="BC35" s="69" t="str">
        <f t="shared" ca="1" si="16"/>
        <v/>
      </c>
      <c r="BD35" s="69" t="str">
        <f t="shared" ca="1" si="16"/>
        <v/>
      </c>
      <c r="BE35" s="69" t="str">
        <f t="shared" ca="1" si="16"/>
        <v/>
      </c>
      <c r="BF35" s="69" t="str">
        <f t="shared" ca="1" si="16"/>
        <v/>
      </c>
      <c r="BG35" s="69" t="str">
        <f t="shared" ca="1" si="16"/>
        <v/>
      </c>
      <c r="BH35" s="69" t="str">
        <f t="shared" ca="1" si="16"/>
        <v/>
      </c>
      <c r="BI35" s="69" t="str">
        <f t="shared" ca="1" si="16"/>
        <v/>
      </c>
      <c r="BJ35" s="69" t="str">
        <f t="shared" ca="1" si="16"/>
        <v/>
      </c>
      <c r="BK35" s="69" t="str">
        <f t="shared" ca="1" si="16"/>
        <v/>
      </c>
      <c r="BL35" s="69" t="str">
        <f t="shared" ca="1" si="16"/>
        <v/>
      </c>
      <c r="BM35" s="69"/>
    </row>
    <row r="36" spans="1:65" s="1" customFormat="1" ht="18" customHeight="1" x14ac:dyDescent="0.25">
      <c r="A36" s="96"/>
      <c r="B36" s="65" t="s">
        <v>49</v>
      </c>
      <c r="C36" s="56" t="s">
        <v>6</v>
      </c>
      <c r="D36" s="57"/>
      <c r="E36" s="58"/>
      <c r="F36" s="71">
        <f>Plan_Sommer[[#This Row],[Ende]]-Plan_Sommer[[#This Row],[Dauer
in Tage]]</f>
        <v>-3</v>
      </c>
      <c r="G36" s="72">
        <v>3</v>
      </c>
      <c r="H36" s="73">
        <f>H38</f>
        <v>0</v>
      </c>
      <c r="I36" s="45" t="str">
        <f t="shared" ca="1" si="15"/>
        <v/>
      </c>
      <c r="J36" s="45" t="str">
        <f t="shared" ca="1" si="15"/>
        <v/>
      </c>
      <c r="K36" s="45" t="str">
        <f t="shared" ca="1" si="15"/>
        <v/>
      </c>
      <c r="L36" s="45" t="str">
        <f t="shared" ca="1" si="15"/>
        <v/>
      </c>
      <c r="M36" s="45" t="str">
        <f t="shared" ca="1" si="15"/>
        <v/>
      </c>
      <c r="N36" s="45" t="str">
        <f t="shared" ca="1" si="15"/>
        <v/>
      </c>
      <c r="O36" s="45" t="str">
        <f t="shared" ca="1" si="15"/>
        <v/>
      </c>
      <c r="P36" s="45" t="str">
        <f t="shared" ca="1" si="15"/>
        <v/>
      </c>
      <c r="Q36" s="45" t="str">
        <f t="shared" ca="1" si="15"/>
        <v/>
      </c>
      <c r="R36" s="45" t="str">
        <f t="shared" ca="1" si="15"/>
        <v/>
      </c>
      <c r="S36" s="45" t="str">
        <f t="shared" ca="1" si="15"/>
        <v/>
      </c>
      <c r="T36" s="45" t="str">
        <f t="shared" ca="1" si="15"/>
        <v/>
      </c>
      <c r="U36" s="45" t="str">
        <f t="shared" ca="1" si="15"/>
        <v/>
      </c>
      <c r="V36" s="45" t="str">
        <f t="shared" ca="1" si="15"/>
        <v/>
      </c>
      <c r="W36" s="45" t="str">
        <f t="shared" ca="1" si="12"/>
        <v/>
      </c>
      <c r="X36" s="45" t="str">
        <f t="shared" ca="1" si="16"/>
        <v/>
      </c>
      <c r="Y36" s="45" t="str">
        <f t="shared" ca="1" si="16"/>
        <v/>
      </c>
      <c r="Z36" s="45" t="str">
        <f t="shared" ca="1" si="16"/>
        <v/>
      </c>
      <c r="AA36" s="45" t="str">
        <f t="shared" ca="1" si="16"/>
        <v/>
      </c>
      <c r="AB36" s="45" t="str">
        <f t="shared" ca="1" si="16"/>
        <v/>
      </c>
      <c r="AC36" s="45" t="str">
        <f t="shared" ca="1" si="16"/>
        <v/>
      </c>
      <c r="AD36" s="45" t="str">
        <f t="shared" ca="1" si="16"/>
        <v/>
      </c>
      <c r="AE36" s="45" t="str">
        <f t="shared" ca="1" si="16"/>
        <v/>
      </c>
      <c r="AF36" s="45" t="str">
        <f t="shared" ca="1" si="16"/>
        <v/>
      </c>
      <c r="AG36" s="45" t="str">
        <f t="shared" ca="1" si="16"/>
        <v/>
      </c>
      <c r="AH36" s="45" t="str">
        <f t="shared" ca="1" si="16"/>
        <v/>
      </c>
      <c r="AI36" s="45" t="str">
        <f t="shared" ca="1" si="16"/>
        <v/>
      </c>
      <c r="AJ36" s="45" t="str">
        <f t="shared" ca="1" si="16"/>
        <v/>
      </c>
      <c r="AK36" s="45" t="str">
        <f t="shared" ca="1" si="16"/>
        <v/>
      </c>
      <c r="AL36" s="45" t="str">
        <f t="shared" ca="1" si="16"/>
        <v/>
      </c>
      <c r="AM36" s="45" t="str">
        <f t="shared" ca="1" si="16"/>
        <v/>
      </c>
      <c r="AN36" s="45" t="str">
        <f t="shared" ca="1" si="16"/>
        <v/>
      </c>
      <c r="AO36" s="45" t="str">
        <f t="shared" ca="1" si="16"/>
        <v/>
      </c>
      <c r="AP36" s="45" t="str">
        <f t="shared" ca="1" si="16"/>
        <v/>
      </c>
      <c r="AQ36" s="45" t="str">
        <f t="shared" ca="1" si="16"/>
        <v/>
      </c>
      <c r="AR36" s="45" t="str">
        <f t="shared" ca="1" si="16"/>
        <v/>
      </c>
      <c r="AS36" s="45" t="str">
        <f t="shared" ca="1" si="16"/>
        <v/>
      </c>
      <c r="AT36" s="45" t="str">
        <f t="shared" ca="1" si="16"/>
        <v/>
      </c>
      <c r="AU36" s="45" t="str">
        <f t="shared" ca="1" si="16"/>
        <v/>
      </c>
      <c r="AV36" s="45" t="str">
        <f t="shared" ca="1" si="16"/>
        <v/>
      </c>
      <c r="AW36" s="45" t="str">
        <f t="shared" ca="1" si="16"/>
        <v/>
      </c>
      <c r="AX36" s="45" t="str">
        <f t="shared" ca="1" si="16"/>
        <v/>
      </c>
      <c r="AY36" s="45" t="str">
        <f t="shared" ca="1" si="16"/>
        <v/>
      </c>
      <c r="AZ36" s="45" t="str">
        <f t="shared" ca="1" si="16"/>
        <v/>
      </c>
      <c r="BA36" s="45" t="str">
        <f t="shared" ca="1" si="16"/>
        <v/>
      </c>
      <c r="BB36" s="45" t="str">
        <f t="shared" ca="1" si="16"/>
        <v/>
      </c>
      <c r="BC36" s="45" t="str">
        <f t="shared" ca="1" si="16"/>
        <v/>
      </c>
      <c r="BD36" s="45" t="str">
        <f t="shared" ca="1" si="16"/>
        <v/>
      </c>
      <c r="BE36" s="45" t="str">
        <f t="shared" ca="1" si="16"/>
        <v/>
      </c>
      <c r="BF36" s="45" t="str">
        <f t="shared" ca="1" si="16"/>
        <v/>
      </c>
      <c r="BG36" s="45" t="str">
        <f t="shared" ca="1" si="16"/>
        <v/>
      </c>
      <c r="BH36" s="45" t="str">
        <f t="shared" ca="1" si="16"/>
        <v/>
      </c>
      <c r="BI36" s="45" t="str">
        <f t="shared" ca="1" si="16"/>
        <v/>
      </c>
      <c r="BJ36" s="45" t="str">
        <f t="shared" ca="1" si="16"/>
        <v/>
      </c>
      <c r="BK36" s="45" t="str">
        <f t="shared" ca="1" si="16"/>
        <v/>
      </c>
      <c r="BL36" s="45" t="str">
        <f t="shared" ca="1" si="16"/>
        <v/>
      </c>
      <c r="BM36" s="45"/>
    </row>
    <row r="37" spans="1:65" s="1" customFormat="1" ht="18" customHeight="1" x14ac:dyDescent="0.25">
      <c r="A37" s="96"/>
      <c r="B37" s="65" t="s">
        <v>37</v>
      </c>
      <c r="C37" s="56" t="s">
        <v>6</v>
      </c>
      <c r="D37" s="57"/>
      <c r="E37" s="58"/>
      <c r="F37" s="71">
        <f>Plan_Sommer[[#This Row],[Ende]]-Plan_Sommer[[#This Row],[Dauer
in Tage]]</f>
        <v>-3</v>
      </c>
      <c r="G37" s="72">
        <v>3</v>
      </c>
      <c r="H37" s="73">
        <f>H38</f>
        <v>0</v>
      </c>
      <c r="I37" s="45" t="str">
        <f t="shared" ca="1" si="15"/>
        <v/>
      </c>
      <c r="J37" s="45" t="str">
        <f t="shared" ca="1" si="15"/>
        <v/>
      </c>
      <c r="K37" s="45" t="str">
        <f t="shared" ca="1" si="15"/>
        <v/>
      </c>
      <c r="L37" s="45" t="str">
        <f t="shared" ca="1" si="15"/>
        <v/>
      </c>
      <c r="M37" s="45" t="str">
        <f t="shared" ca="1" si="15"/>
        <v/>
      </c>
      <c r="N37" s="45" t="str">
        <f t="shared" ca="1" si="15"/>
        <v/>
      </c>
      <c r="O37" s="45" t="str">
        <f t="shared" ca="1" si="15"/>
        <v/>
      </c>
      <c r="P37" s="45" t="str">
        <f t="shared" ca="1" si="15"/>
        <v/>
      </c>
      <c r="Q37" s="45" t="str">
        <f t="shared" ca="1" si="15"/>
        <v/>
      </c>
      <c r="R37" s="45" t="str">
        <f t="shared" ca="1" si="15"/>
        <v/>
      </c>
      <c r="S37" s="45" t="str">
        <f t="shared" ca="1" si="15"/>
        <v/>
      </c>
      <c r="T37" s="45" t="str">
        <f t="shared" ca="1" si="15"/>
        <v/>
      </c>
      <c r="U37" s="45" t="str">
        <f t="shared" ca="1" si="15"/>
        <v/>
      </c>
      <c r="V37" s="45" t="str">
        <f t="shared" ca="1" si="15"/>
        <v/>
      </c>
      <c r="W37" s="45" t="str">
        <f t="shared" ca="1" si="12"/>
        <v/>
      </c>
      <c r="X37" s="45" t="str">
        <f t="shared" ca="1" si="16"/>
        <v/>
      </c>
      <c r="Y37" s="45" t="str">
        <f t="shared" ca="1" si="16"/>
        <v/>
      </c>
      <c r="Z37" s="45" t="str">
        <f t="shared" ca="1" si="16"/>
        <v/>
      </c>
      <c r="AA37" s="45" t="str">
        <f t="shared" ca="1" si="16"/>
        <v/>
      </c>
      <c r="AB37" s="45" t="str">
        <f t="shared" ca="1" si="16"/>
        <v/>
      </c>
      <c r="AC37" s="45" t="str">
        <f t="shared" ca="1" si="16"/>
        <v/>
      </c>
      <c r="AD37" s="45" t="str">
        <f t="shared" ca="1" si="16"/>
        <v/>
      </c>
      <c r="AE37" s="45" t="str">
        <f t="shared" ca="1" si="16"/>
        <v/>
      </c>
      <c r="AF37" s="45" t="str">
        <f t="shared" ca="1" si="16"/>
        <v/>
      </c>
      <c r="AG37" s="45" t="str">
        <f t="shared" ca="1" si="16"/>
        <v/>
      </c>
      <c r="AH37" s="45" t="str">
        <f t="shared" ca="1" si="16"/>
        <v/>
      </c>
      <c r="AI37" s="45" t="str">
        <f t="shared" ca="1" si="16"/>
        <v/>
      </c>
      <c r="AJ37" s="45" t="str">
        <f t="shared" ca="1" si="16"/>
        <v/>
      </c>
      <c r="AK37" s="45" t="str">
        <f t="shared" ca="1" si="16"/>
        <v/>
      </c>
      <c r="AL37" s="45" t="str">
        <f t="shared" ref="X37:BL43" ca="1" si="17">IF(AND($C37="Ziel",$H37=AL$7),2,IF(AND($C37="Meilenstein",$H37=AL$7),1,""))</f>
        <v/>
      </c>
      <c r="AM37" s="45" t="str">
        <f t="shared" ca="1" si="17"/>
        <v/>
      </c>
      <c r="AN37" s="45" t="str">
        <f t="shared" ca="1" si="17"/>
        <v/>
      </c>
      <c r="AO37" s="45" t="str">
        <f t="shared" ca="1" si="17"/>
        <v/>
      </c>
      <c r="AP37" s="45" t="str">
        <f t="shared" ca="1" si="17"/>
        <v/>
      </c>
      <c r="AQ37" s="45" t="str">
        <f t="shared" ca="1" si="17"/>
        <v/>
      </c>
      <c r="AR37" s="45" t="str">
        <f t="shared" ca="1" si="17"/>
        <v/>
      </c>
      <c r="AS37" s="45" t="str">
        <f t="shared" ca="1" si="17"/>
        <v/>
      </c>
      <c r="AT37" s="45" t="str">
        <f t="shared" ca="1" si="17"/>
        <v/>
      </c>
      <c r="AU37" s="45" t="str">
        <f t="shared" ca="1" si="17"/>
        <v/>
      </c>
      <c r="AV37" s="45" t="str">
        <f t="shared" ca="1" si="17"/>
        <v/>
      </c>
      <c r="AW37" s="45" t="str">
        <f t="shared" ca="1" si="17"/>
        <v/>
      </c>
      <c r="AX37" s="45" t="str">
        <f t="shared" ca="1" si="17"/>
        <v/>
      </c>
      <c r="AY37" s="45" t="str">
        <f t="shared" ca="1" si="17"/>
        <v/>
      </c>
      <c r="AZ37" s="45" t="str">
        <f t="shared" ca="1" si="17"/>
        <v/>
      </c>
      <c r="BA37" s="45" t="str">
        <f t="shared" ca="1" si="17"/>
        <v/>
      </c>
      <c r="BB37" s="45" t="str">
        <f t="shared" ca="1" si="17"/>
        <v/>
      </c>
      <c r="BC37" s="45" t="str">
        <f t="shared" ca="1" si="17"/>
        <v/>
      </c>
      <c r="BD37" s="45" t="str">
        <f t="shared" ca="1" si="17"/>
        <v/>
      </c>
      <c r="BE37" s="45" t="str">
        <f t="shared" ca="1" si="17"/>
        <v/>
      </c>
      <c r="BF37" s="45" t="str">
        <f t="shared" ca="1" si="17"/>
        <v/>
      </c>
      <c r="BG37" s="45" t="str">
        <f t="shared" ca="1" si="17"/>
        <v/>
      </c>
      <c r="BH37" s="45" t="str">
        <f t="shared" ca="1" si="17"/>
        <v/>
      </c>
      <c r="BI37" s="45" t="str">
        <f t="shared" ca="1" si="17"/>
        <v/>
      </c>
      <c r="BJ37" s="45" t="str">
        <f t="shared" ca="1" si="17"/>
        <v/>
      </c>
      <c r="BK37" s="45" t="str">
        <f t="shared" ca="1" si="17"/>
        <v/>
      </c>
      <c r="BL37" s="45" t="str">
        <f t="shared" ca="1" si="17"/>
        <v/>
      </c>
      <c r="BM37" s="45"/>
    </row>
    <row r="38" spans="1:65" s="1" customFormat="1" ht="18" customHeight="1" x14ac:dyDescent="0.25">
      <c r="A38" s="96"/>
      <c r="B38" s="92" t="s">
        <v>47</v>
      </c>
      <c r="C38" s="91" t="s">
        <v>9</v>
      </c>
      <c r="D38" s="57">
        <v>1</v>
      </c>
      <c r="E38" s="58"/>
      <c r="F38" s="71"/>
      <c r="G38" s="75"/>
      <c r="H38" s="76"/>
      <c r="I38" s="45" t="str">
        <f t="shared" ca="1" si="15"/>
        <v/>
      </c>
      <c r="J38" s="45" t="str">
        <f t="shared" ca="1" si="15"/>
        <v/>
      </c>
      <c r="K38" s="45" t="str">
        <f t="shared" ca="1" si="15"/>
        <v/>
      </c>
      <c r="L38" s="45" t="str">
        <f t="shared" ca="1" si="15"/>
        <v/>
      </c>
      <c r="M38" s="45" t="str">
        <f t="shared" ca="1" si="15"/>
        <v/>
      </c>
      <c r="N38" s="45" t="str">
        <f t="shared" ca="1" si="15"/>
        <v/>
      </c>
      <c r="O38" s="45" t="str">
        <f t="shared" ca="1" si="15"/>
        <v/>
      </c>
      <c r="P38" s="45" t="str">
        <f t="shared" ca="1" si="15"/>
        <v/>
      </c>
      <c r="Q38" s="45" t="str">
        <f t="shared" ca="1" si="15"/>
        <v/>
      </c>
      <c r="R38" s="45" t="str">
        <f t="shared" ca="1" si="15"/>
        <v/>
      </c>
      <c r="S38" s="45" t="str">
        <f t="shared" ca="1" si="15"/>
        <v/>
      </c>
      <c r="T38" s="45" t="str">
        <f t="shared" ca="1" si="15"/>
        <v/>
      </c>
      <c r="U38" s="45" t="str">
        <f t="shared" ca="1" si="15"/>
        <v/>
      </c>
      <c r="V38" s="45" t="str">
        <f t="shared" ca="1" si="15"/>
        <v/>
      </c>
      <c r="W38" s="45" t="str">
        <f t="shared" ca="1" si="12"/>
        <v/>
      </c>
      <c r="X38" s="45" t="str">
        <f t="shared" ca="1" si="17"/>
        <v/>
      </c>
      <c r="Y38" s="45" t="str">
        <f t="shared" ca="1" si="17"/>
        <v/>
      </c>
      <c r="Z38" s="45" t="str">
        <f t="shared" ca="1" si="17"/>
        <v/>
      </c>
      <c r="AA38" s="45" t="str">
        <f t="shared" ca="1" si="17"/>
        <v/>
      </c>
      <c r="AB38" s="45" t="str">
        <f t="shared" ca="1" si="17"/>
        <v/>
      </c>
      <c r="AC38" s="45" t="str">
        <f t="shared" ca="1" si="17"/>
        <v/>
      </c>
      <c r="AD38" s="45" t="str">
        <f t="shared" ca="1" si="17"/>
        <v/>
      </c>
      <c r="AE38" s="45" t="str">
        <f t="shared" ca="1" si="17"/>
        <v/>
      </c>
      <c r="AF38" s="45" t="str">
        <f t="shared" ca="1" si="17"/>
        <v/>
      </c>
      <c r="AG38" s="45" t="str">
        <f t="shared" ca="1" si="17"/>
        <v/>
      </c>
      <c r="AH38" s="45" t="str">
        <f t="shared" ca="1" si="17"/>
        <v/>
      </c>
      <c r="AI38" s="45" t="str">
        <f t="shared" ca="1" si="17"/>
        <v/>
      </c>
      <c r="AJ38" s="45" t="str">
        <f t="shared" ca="1" si="17"/>
        <v/>
      </c>
      <c r="AK38" s="45" t="str">
        <f t="shared" ca="1" si="17"/>
        <v/>
      </c>
      <c r="AL38" s="45" t="str">
        <f t="shared" ca="1" si="17"/>
        <v/>
      </c>
      <c r="AM38" s="45" t="str">
        <f t="shared" ca="1" si="17"/>
        <v/>
      </c>
      <c r="AN38" s="45" t="str">
        <f t="shared" ca="1" si="17"/>
        <v/>
      </c>
      <c r="AO38" s="45" t="str">
        <f t="shared" ca="1" si="17"/>
        <v/>
      </c>
      <c r="AP38" s="45" t="str">
        <f t="shared" ca="1" si="17"/>
        <v/>
      </c>
      <c r="AQ38" s="45" t="str">
        <f t="shared" ca="1" si="17"/>
        <v/>
      </c>
      <c r="AR38" s="45" t="str">
        <f t="shared" ca="1" si="17"/>
        <v/>
      </c>
      <c r="AS38" s="45" t="str">
        <f t="shared" ca="1" si="17"/>
        <v/>
      </c>
      <c r="AT38" s="45" t="str">
        <f t="shared" ca="1" si="17"/>
        <v/>
      </c>
      <c r="AU38" s="45" t="str">
        <f t="shared" ca="1" si="17"/>
        <v/>
      </c>
      <c r="AV38" s="45" t="str">
        <f t="shared" ca="1" si="17"/>
        <v/>
      </c>
      <c r="AW38" s="45" t="str">
        <f t="shared" ca="1" si="17"/>
        <v/>
      </c>
      <c r="AX38" s="45" t="str">
        <f t="shared" ca="1" si="17"/>
        <v/>
      </c>
      <c r="AY38" s="45" t="str">
        <f t="shared" ca="1" si="17"/>
        <v/>
      </c>
      <c r="AZ38" s="45" t="str">
        <f t="shared" ca="1" si="17"/>
        <v/>
      </c>
      <c r="BA38" s="45" t="str">
        <f t="shared" ca="1" si="17"/>
        <v/>
      </c>
      <c r="BB38" s="45" t="str">
        <f t="shared" ca="1" si="17"/>
        <v/>
      </c>
      <c r="BC38" s="45" t="str">
        <f t="shared" ca="1" si="17"/>
        <v/>
      </c>
      <c r="BD38" s="45" t="str">
        <f t="shared" ca="1" si="17"/>
        <v/>
      </c>
      <c r="BE38" s="45" t="str">
        <f t="shared" ca="1" si="17"/>
        <v/>
      </c>
      <c r="BF38" s="45" t="str">
        <f t="shared" ca="1" si="17"/>
        <v/>
      </c>
      <c r="BG38" s="45" t="str">
        <f t="shared" ca="1" si="17"/>
        <v/>
      </c>
      <c r="BH38" s="45" t="str">
        <f t="shared" ca="1" si="17"/>
        <v/>
      </c>
      <c r="BI38" s="45" t="str">
        <f t="shared" ca="1" si="17"/>
        <v/>
      </c>
      <c r="BJ38" s="45" t="str">
        <f t="shared" ca="1" si="17"/>
        <v/>
      </c>
      <c r="BK38" s="45" t="str">
        <f t="shared" ca="1" si="17"/>
        <v/>
      </c>
      <c r="BL38" s="45" t="str">
        <f t="shared" ca="1" si="17"/>
        <v/>
      </c>
      <c r="BM38" s="45"/>
    </row>
    <row r="39" spans="1:65" s="1" customFormat="1" ht="18" customHeight="1" x14ac:dyDescent="0.25">
      <c r="A39" s="96"/>
      <c r="B39" s="92" t="s">
        <v>47</v>
      </c>
      <c r="C39" s="91" t="s">
        <v>9</v>
      </c>
      <c r="D39" s="57">
        <v>2</v>
      </c>
      <c r="E39" s="58"/>
      <c r="F39" s="71"/>
      <c r="G39" s="75"/>
      <c r="H39" s="76"/>
      <c r="I39" s="45" t="str">
        <f t="shared" ca="1" si="15"/>
        <v/>
      </c>
      <c r="J39" s="45" t="str">
        <f t="shared" ca="1" si="15"/>
        <v/>
      </c>
      <c r="K39" s="45" t="str">
        <f t="shared" ca="1" si="15"/>
        <v/>
      </c>
      <c r="L39" s="45" t="str">
        <f t="shared" ca="1" si="15"/>
        <v/>
      </c>
      <c r="M39" s="45" t="str">
        <f t="shared" ca="1" si="15"/>
        <v/>
      </c>
      <c r="N39" s="45" t="str">
        <f t="shared" ca="1" si="15"/>
        <v/>
      </c>
      <c r="O39" s="45" t="str">
        <f t="shared" ca="1" si="15"/>
        <v/>
      </c>
      <c r="P39" s="45" t="str">
        <f t="shared" ca="1" si="15"/>
        <v/>
      </c>
      <c r="Q39" s="45" t="str">
        <f t="shared" ca="1" si="15"/>
        <v/>
      </c>
      <c r="R39" s="45" t="str">
        <f t="shared" ca="1" si="15"/>
        <v/>
      </c>
      <c r="S39" s="45" t="str">
        <f t="shared" ca="1" si="15"/>
        <v/>
      </c>
      <c r="T39" s="45" t="str">
        <f t="shared" ca="1" si="15"/>
        <v/>
      </c>
      <c r="U39" s="45" t="str">
        <f t="shared" ca="1" si="15"/>
        <v/>
      </c>
      <c r="V39" s="45" t="str">
        <f t="shared" ca="1" si="15"/>
        <v/>
      </c>
      <c r="W39" s="45" t="str">
        <f t="shared" ca="1" si="12"/>
        <v/>
      </c>
      <c r="X39" s="45" t="str">
        <f t="shared" ca="1" si="17"/>
        <v/>
      </c>
      <c r="Y39" s="45" t="str">
        <f t="shared" ca="1" si="17"/>
        <v/>
      </c>
      <c r="Z39" s="45" t="str">
        <f t="shared" ca="1" si="17"/>
        <v/>
      </c>
      <c r="AA39" s="45" t="str">
        <f t="shared" ca="1" si="17"/>
        <v/>
      </c>
      <c r="AB39" s="45" t="str">
        <f t="shared" ca="1" si="17"/>
        <v/>
      </c>
      <c r="AC39" s="45" t="str">
        <f t="shared" ca="1" si="17"/>
        <v/>
      </c>
      <c r="AD39" s="45" t="str">
        <f t="shared" ca="1" si="17"/>
        <v/>
      </c>
      <c r="AE39" s="45" t="str">
        <f t="shared" ca="1" si="17"/>
        <v/>
      </c>
      <c r="AF39" s="45" t="str">
        <f t="shared" ca="1" si="17"/>
        <v/>
      </c>
      <c r="AG39" s="45" t="str">
        <f t="shared" ca="1" si="17"/>
        <v/>
      </c>
      <c r="AH39" s="45" t="str">
        <f t="shared" ca="1" si="17"/>
        <v/>
      </c>
      <c r="AI39" s="45" t="str">
        <f t="shared" ca="1" si="17"/>
        <v/>
      </c>
      <c r="AJ39" s="45" t="str">
        <f t="shared" ca="1" si="17"/>
        <v/>
      </c>
      <c r="AK39" s="45" t="str">
        <f t="shared" ca="1" si="17"/>
        <v/>
      </c>
      <c r="AL39" s="45" t="str">
        <f t="shared" ca="1" si="17"/>
        <v/>
      </c>
      <c r="AM39" s="45" t="str">
        <f t="shared" ca="1" si="17"/>
        <v/>
      </c>
      <c r="AN39" s="45" t="str">
        <f t="shared" ca="1" si="17"/>
        <v/>
      </c>
      <c r="AO39" s="45" t="str">
        <f t="shared" ca="1" si="17"/>
        <v/>
      </c>
      <c r="AP39" s="45" t="str">
        <f t="shared" ca="1" si="17"/>
        <v/>
      </c>
      <c r="AQ39" s="45" t="str">
        <f t="shared" ca="1" si="17"/>
        <v/>
      </c>
      <c r="AR39" s="45" t="str">
        <f t="shared" ca="1" si="17"/>
        <v/>
      </c>
      <c r="AS39" s="45" t="str">
        <f t="shared" ca="1" si="17"/>
        <v/>
      </c>
      <c r="AT39" s="45" t="str">
        <f t="shared" ca="1" si="17"/>
        <v/>
      </c>
      <c r="AU39" s="45" t="str">
        <f t="shared" ca="1" si="17"/>
        <v/>
      </c>
      <c r="AV39" s="45" t="str">
        <f t="shared" ca="1" si="17"/>
        <v/>
      </c>
      <c r="AW39" s="45" t="str">
        <f t="shared" ca="1" si="17"/>
        <v/>
      </c>
      <c r="AX39" s="45" t="str">
        <f t="shared" ca="1" si="17"/>
        <v/>
      </c>
      <c r="AY39" s="45" t="str">
        <f t="shared" ca="1" si="17"/>
        <v/>
      </c>
      <c r="AZ39" s="45" t="str">
        <f t="shared" ca="1" si="17"/>
        <v/>
      </c>
      <c r="BA39" s="45" t="str">
        <f t="shared" ca="1" si="17"/>
        <v/>
      </c>
      <c r="BB39" s="45" t="str">
        <f t="shared" ca="1" si="17"/>
        <v/>
      </c>
      <c r="BC39" s="45" t="str">
        <f t="shared" ca="1" si="17"/>
        <v/>
      </c>
      <c r="BD39" s="45" t="str">
        <f t="shared" ca="1" si="17"/>
        <v/>
      </c>
      <c r="BE39" s="45" t="str">
        <f t="shared" ca="1" si="17"/>
        <v/>
      </c>
      <c r="BF39" s="45" t="str">
        <f t="shared" ca="1" si="17"/>
        <v/>
      </c>
      <c r="BG39" s="45" t="str">
        <f t="shared" ca="1" si="17"/>
        <v/>
      </c>
      <c r="BH39" s="45" t="str">
        <f t="shared" ca="1" si="17"/>
        <v/>
      </c>
      <c r="BI39" s="45" t="str">
        <f t="shared" ca="1" si="17"/>
        <v/>
      </c>
      <c r="BJ39" s="45" t="str">
        <f t="shared" ca="1" si="17"/>
        <v/>
      </c>
      <c r="BK39" s="45" t="str">
        <f t="shared" ca="1" si="17"/>
        <v/>
      </c>
      <c r="BL39" s="45" t="str">
        <f t="shared" ca="1" si="17"/>
        <v/>
      </c>
      <c r="BM39" s="45"/>
    </row>
    <row r="40" spans="1:65" s="1" customFormat="1" ht="18" customHeight="1" x14ac:dyDescent="0.25">
      <c r="A40" s="96"/>
      <c r="B40" s="92" t="s">
        <v>47</v>
      </c>
      <c r="C40" s="91" t="s">
        <v>9</v>
      </c>
      <c r="D40" s="57">
        <v>3</v>
      </c>
      <c r="E40" s="58"/>
      <c r="F40" s="71"/>
      <c r="G40" s="75"/>
      <c r="H40" s="76"/>
      <c r="I40" s="45" t="str">
        <f t="shared" ca="1" si="15"/>
        <v/>
      </c>
      <c r="J40" s="45" t="str">
        <f t="shared" ca="1" si="15"/>
        <v/>
      </c>
      <c r="K40" s="45" t="str">
        <f t="shared" ca="1" si="15"/>
        <v/>
      </c>
      <c r="L40" s="45" t="str">
        <f t="shared" ca="1" si="15"/>
        <v/>
      </c>
      <c r="M40" s="45" t="str">
        <f t="shared" ca="1" si="15"/>
        <v/>
      </c>
      <c r="N40" s="45" t="str">
        <f t="shared" ca="1" si="15"/>
        <v/>
      </c>
      <c r="O40" s="45" t="str">
        <f t="shared" ca="1" si="15"/>
        <v/>
      </c>
      <c r="P40" s="45" t="str">
        <f t="shared" ca="1" si="15"/>
        <v/>
      </c>
      <c r="Q40" s="45" t="str">
        <f t="shared" ca="1" si="15"/>
        <v/>
      </c>
      <c r="R40" s="45" t="str">
        <f t="shared" ca="1" si="15"/>
        <v/>
      </c>
      <c r="S40" s="45" t="str">
        <f t="shared" ca="1" si="15"/>
        <v/>
      </c>
      <c r="T40" s="45" t="str">
        <f t="shared" ca="1" si="15"/>
        <v/>
      </c>
      <c r="U40" s="45" t="str">
        <f t="shared" ca="1" si="15"/>
        <v/>
      </c>
      <c r="V40" s="45" t="str">
        <f t="shared" ca="1" si="15"/>
        <v/>
      </c>
      <c r="W40" s="45" t="str">
        <f t="shared" ca="1" si="12"/>
        <v/>
      </c>
      <c r="X40" s="45" t="str">
        <f t="shared" ca="1" si="17"/>
        <v/>
      </c>
      <c r="Y40" s="45" t="str">
        <f t="shared" ca="1" si="17"/>
        <v/>
      </c>
      <c r="Z40" s="45" t="str">
        <f t="shared" ca="1" si="17"/>
        <v/>
      </c>
      <c r="AA40" s="45" t="str">
        <f t="shared" ca="1" si="17"/>
        <v/>
      </c>
      <c r="AB40" s="45" t="str">
        <f t="shared" ca="1" si="17"/>
        <v/>
      </c>
      <c r="AC40" s="45" t="str">
        <f t="shared" ca="1" si="17"/>
        <v/>
      </c>
      <c r="AD40" s="45" t="str">
        <f t="shared" ca="1" si="17"/>
        <v/>
      </c>
      <c r="AE40" s="45" t="str">
        <f t="shared" ca="1" si="17"/>
        <v/>
      </c>
      <c r="AF40" s="45" t="str">
        <f t="shared" ca="1" si="17"/>
        <v/>
      </c>
      <c r="AG40" s="45" t="str">
        <f t="shared" ca="1" si="17"/>
        <v/>
      </c>
      <c r="AH40" s="45" t="str">
        <f t="shared" ca="1" si="17"/>
        <v/>
      </c>
      <c r="AI40" s="45" t="str">
        <f t="shared" ca="1" si="17"/>
        <v/>
      </c>
      <c r="AJ40" s="45" t="str">
        <f t="shared" ca="1" si="17"/>
        <v/>
      </c>
      <c r="AK40" s="45" t="str">
        <f t="shared" ca="1" si="17"/>
        <v/>
      </c>
      <c r="AL40" s="45" t="str">
        <f t="shared" ca="1" si="17"/>
        <v/>
      </c>
      <c r="AM40" s="45" t="str">
        <f t="shared" ca="1" si="17"/>
        <v/>
      </c>
      <c r="AN40" s="45" t="str">
        <f t="shared" ca="1" si="17"/>
        <v/>
      </c>
      <c r="AO40" s="45" t="str">
        <f t="shared" ca="1" si="17"/>
        <v/>
      </c>
      <c r="AP40" s="45" t="str">
        <f t="shared" ca="1" si="17"/>
        <v/>
      </c>
      <c r="AQ40" s="45" t="str">
        <f t="shared" ca="1" si="17"/>
        <v/>
      </c>
      <c r="AR40" s="45" t="str">
        <f t="shared" ca="1" si="17"/>
        <v/>
      </c>
      <c r="AS40" s="45" t="str">
        <f t="shared" ca="1" si="17"/>
        <v/>
      </c>
      <c r="AT40" s="45" t="str">
        <f t="shared" ca="1" si="17"/>
        <v/>
      </c>
      <c r="AU40" s="45" t="str">
        <f t="shared" ca="1" si="17"/>
        <v/>
      </c>
      <c r="AV40" s="45" t="str">
        <f t="shared" ca="1" si="17"/>
        <v/>
      </c>
      <c r="AW40" s="45" t="str">
        <f t="shared" ca="1" si="17"/>
        <v/>
      </c>
      <c r="AX40" s="45" t="str">
        <f t="shared" ca="1" si="17"/>
        <v/>
      </c>
      <c r="AY40" s="45" t="str">
        <f t="shared" ca="1" si="17"/>
        <v/>
      </c>
      <c r="AZ40" s="45" t="str">
        <f t="shared" ca="1" si="17"/>
        <v/>
      </c>
      <c r="BA40" s="45" t="str">
        <f t="shared" ca="1" si="17"/>
        <v/>
      </c>
      <c r="BB40" s="45" t="str">
        <f t="shared" ca="1" si="17"/>
        <v/>
      </c>
      <c r="BC40" s="45" t="str">
        <f t="shared" ca="1" si="17"/>
        <v/>
      </c>
      <c r="BD40" s="45" t="str">
        <f t="shared" ca="1" si="17"/>
        <v/>
      </c>
      <c r="BE40" s="45" t="str">
        <f t="shared" ca="1" si="17"/>
        <v/>
      </c>
      <c r="BF40" s="45" t="str">
        <f t="shared" ca="1" si="17"/>
        <v/>
      </c>
      <c r="BG40" s="45" t="str">
        <f t="shared" ca="1" si="17"/>
        <v/>
      </c>
      <c r="BH40" s="45" t="str">
        <f t="shared" ca="1" si="17"/>
        <v/>
      </c>
      <c r="BI40" s="45" t="str">
        <f t="shared" ca="1" si="17"/>
        <v/>
      </c>
      <c r="BJ40" s="45" t="str">
        <f t="shared" ca="1" si="17"/>
        <v/>
      </c>
      <c r="BK40" s="45" t="str">
        <f t="shared" ca="1" si="17"/>
        <v/>
      </c>
      <c r="BL40" s="45" t="str">
        <f t="shared" ca="1" si="17"/>
        <v/>
      </c>
      <c r="BM40" s="45"/>
    </row>
    <row r="41" spans="1:65" s="1" customFormat="1" ht="18" customHeight="1" x14ac:dyDescent="0.25">
      <c r="A41" s="96"/>
      <c r="B41" s="93" t="s">
        <v>47</v>
      </c>
      <c r="C41" s="90" t="s">
        <v>9</v>
      </c>
      <c r="D41" s="79">
        <v>4</v>
      </c>
      <c r="E41" s="80"/>
      <c r="F41" s="81"/>
      <c r="G41" s="85"/>
      <c r="H41" s="87"/>
      <c r="I41" s="84" t="str">
        <f t="shared" ca="1" si="15"/>
        <v/>
      </c>
      <c r="J41" s="84" t="str">
        <f t="shared" ca="1" si="15"/>
        <v/>
      </c>
      <c r="K41" s="84" t="str">
        <f t="shared" ca="1" si="15"/>
        <v/>
      </c>
      <c r="L41" s="84" t="str">
        <f t="shared" ca="1" si="15"/>
        <v/>
      </c>
      <c r="M41" s="84" t="str">
        <f t="shared" ca="1" si="15"/>
        <v/>
      </c>
      <c r="N41" s="84" t="str">
        <f t="shared" ca="1" si="15"/>
        <v/>
      </c>
      <c r="O41" s="84" t="str">
        <f t="shared" ca="1" si="15"/>
        <v/>
      </c>
      <c r="P41" s="84" t="str">
        <f t="shared" ca="1" si="15"/>
        <v/>
      </c>
      <c r="Q41" s="84" t="str">
        <f t="shared" ca="1" si="15"/>
        <v/>
      </c>
      <c r="R41" s="84" t="str">
        <f t="shared" ca="1" si="15"/>
        <v/>
      </c>
      <c r="S41" s="84" t="str">
        <f t="shared" ca="1" si="15"/>
        <v/>
      </c>
      <c r="T41" s="84" t="str">
        <f t="shared" ca="1" si="15"/>
        <v/>
      </c>
      <c r="U41" s="84" t="str">
        <f t="shared" ca="1" si="15"/>
        <v/>
      </c>
      <c r="V41" s="84" t="str">
        <f t="shared" ca="1" si="15"/>
        <v/>
      </c>
      <c r="W41" s="84" t="str">
        <f t="shared" ca="1" si="12"/>
        <v/>
      </c>
      <c r="X41" s="84" t="str">
        <f t="shared" ca="1" si="17"/>
        <v/>
      </c>
      <c r="Y41" s="84" t="str">
        <f t="shared" ca="1" si="17"/>
        <v/>
      </c>
      <c r="Z41" s="84" t="str">
        <f t="shared" ca="1" si="17"/>
        <v/>
      </c>
      <c r="AA41" s="84" t="str">
        <f t="shared" ca="1" si="17"/>
        <v/>
      </c>
      <c r="AB41" s="84" t="str">
        <f t="shared" ca="1" si="17"/>
        <v/>
      </c>
      <c r="AC41" s="84" t="str">
        <f t="shared" ca="1" si="17"/>
        <v/>
      </c>
      <c r="AD41" s="84" t="str">
        <f t="shared" ca="1" si="17"/>
        <v/>
      </c>
      <c r="AE41" s="84" t="str">
        <f t="shared" ca="1" si="17"/>
        <v/>
      </c>
      <c r="AF41" s="84" t="str">
        <f t="shared" ca="1" si="17"/>
        <v/>
      </c>
      <c r="AG41" s="84" t="str">
        <f t="shared" ca="1" si="17"/>
        <v/>
      </c>
      <c r="AH41" s="84" t="str">
        <f t="shared" ca="1" si="17"/>
        <v/>
      </c>
      <c r="AI41" s="84" t="str">
        <f t="shared" ca="1" si="17"/>
        <v/>
      </c>
      <c r="AJ41" s="84" t="str">
        <f t="shared" ca="1" si="17"/>
        <v/>
      </c>
      <c r="AK41" s="84" t="str">
        <f t="shared" ca="1" si="17"/>
        <v/>
      </c>
      <c r="AL41" s="84" t="str">
        <f t="shared" ca="1" si="17"/>
        <v/>
      </c>
      <c r="AM41" s="84" t="str">
        <f t="shared" ca="1" si="17"/>
        <v/>
      </c>
      <c r="AN41" s="84" t="str">
        <f t="shared" ca="1" si="17"/>
        <v/>
      </c>
      <c r="AO41" s="84" t="str">
        <f t="shared" ca="1" si="17"/>
        <v/>
      </c>
      <c r="AP41" s="84" t="str">
        <f t="shared" ca="1" si="17"/>
        <v/>
      </c>
      <c r="AQ41" s="84" t="str">
        <f t="shared" ca="1" si="17"/>
        <v/>
      </c>
      <c r="AR41" s="84" t="str">
        <f t="shared" ca="1" si="17"/>
        <v/>
      </c>
      <c r="AS41" s="84" t="str">
        <f t="shared" ca="1" si="17"/>
        <v/>
      </c>
      <c r="AT41" s="84" t="str">
        <f t="shared" ca="1" si="17"/>
        <v/>
      </c>
      <c r="AU41" s="84" t="str">
        <f t="shared" ca="1" si="17"/>
        <v/>
      </c>
      <c r="AV41" s="84" t="str">
        <f t="shared" ca="1" si="17"/>
        <v/>
      </c>
      <c r="AW41" s="84" t="str">
        <f t="shared" ca="1" si="17"/>
        <v/>
      </c>
      <c r="AX41" s="84" t="str">
        <f t="shared" ca="1" si="17"/>
        <v/>
      </c>
      <c r="AY41" s="84" t="str">
        <f t="shared" ca="1" si="17"/>
        <v/>
      </c>
      <c r="AZ41" s="84" t="str">
        <f t="shared" ca="1" si="17"/>
        <v/>
      </c>
      <c r="BA41" s="84" t="str">
        <f t="shared" ca="1" si="17"/>
        <v/>
      </c>
      <c r="BB41" s="84" t="str">
        <f t="shared" ca="1" si="17"/>
        <v/>
      </c>
      <c r="BC41" s="84" t="str">
        <f t="shared" ca="1" si="17"/>
        <v/>
      </c>
      <c r="BD41" s="84" t="str">
        <f t="shared" ca="1" si="17"/>
        <v/>
      </c>
      <c r="BE41" s="84" t="str">
        <f t="shared" ca="1" si="17"/>
        <v/>
      </c>
      <c r="BF41" s="84" t="str">
        <f t="shared" ca="1" si="17"/>
        <v/>
      </c>
      <c r="BG41" s="84" t="str">
        <f t="shared" ca="1" si="17"/>
        <v/>
      </c>
      <c r="BH41" s="84" t="str">
        <f t="shared" ca="1" si="17"/>
        <v/>
      </c>
      <c r="BI41" s="84" t="str">
        <f t="shared" ca="1" si="17"/>
        <v/>
      </c>
      <c r="BJ41" s="84" t="str">
        <f t="shared" ca="1" si="17"/>
        <v/>
      </c>
      <c r="BK41" s="84" t="str">
        <f t="shared" ca="1" si="17"/>
        <v/>
      </c>
      <c r="BL41" s="84" t="str">
        <f t="shared" ca="1" si="17"/>
        <v/>
      </c>
      <c r="BM41" s="84"/>
    </row>
    <row r="42" spans="1:65" s="1" customFormat="1" ht="18" customHeight="1" x14ac:dyDescent="0.25">
      <c r="A42" s="96"/>
      <c r="B42" s="66" t="s">
        <v>50</v>
      </c>
      <c r="C42" s="56"/>
      <c r="D42" s="57"/>
      <c r="E42" s="58"/>
      <c r="F42" s="71"/>
      <c r="G42" s="72"/>
      <c r="H42" s="73"/>
      <c r="I42" s="69" t="str">
        <f t="shared" ca="1" si="15"/>
        <v/>
      </c>
      <c r="J42" s="69" t="str">
        <f t="shared" ca="1" si="15"/>
        <v/>
      </c>
      <c r="K42" s="69" t="str">
        <f t="shared" ca="1" si="15"/>
        <v/>
      </c>
      <c r="L42" s="69" t="str">
        <f t="shared" ca="1" si="15"/>
        <v/>
      </c>
      <c r="M42" s="69" t="str">
        <f t="shared" ca="1" si="15"/>
        <v/>
      </c>
      <c r="N42" s="69" t="str">
        <f t="shared" ca="1" si="15"/>
        <v/>
      </c>
      <c r="O42" s="69" t="str">
        <f t="shared" ca="1" si="15"/>
        <v/>
      </c>
      <c r="P42" s="69" t="str">
        <f t="shared" ca="1" si="15"/>
        <v/>
      </c>
      <c r="Q42" s="69" t="str">
        <f t="shared" ca="1" si="15"/>
        <v/>
      </c>
      <c r="R42" s="69" t="str">
        <f t="shared" ca="1" si="15"/>
        <v/>
      </c>
      <c r="S42" s="69" t="str">
        <f t="shared" ca="1" si="15"/>
        <v/>
      </c>
      <c r="T42" s="69" t="str">
        <f t="shared" ca="1" si="15"/>
        <v/>
      </c>
      <c r="U42" s="69" t="str">
        <f t="shared" ca="1" si="15"/>
        <v/>
      </c>
      <c r="V42" s="69" t="str">
        <f t="shared" ca="1" si="15"/>
        <v/>
      </c>
      <c r="W42" s="69" t="str">
        <f t="shared" ca="1" si="12"/>
        <v/>
      </c>
      <c r="X42" s="69" t="str">
        <f t="shared" ca="1" si="17"/>
        <v/>
      </c>
      <c r="Y42" s="69" t="str">
        <f t="shared" ca="1" si="17"/>
        <v/>
      </c>
      <c r="Z42" s="69" t="str">
        <f t="shared" ca="1" si="17"/>
        <v/>
      </c>
      <c r="AA42" s="69" t="str">
        <f t="shared" ca="1" si="17"/>
        <v/>
      </c>
      <c r="AB42" s="69" t="str">
        <f t="shared" ca="1" si="17"/>
        <v/>
      </c>
      <c r="AC42" s="69" t="str">
        <f t="shared" ca="1" si="17"/>
        <v/>
      </c>
      <c r="AD42" s="69" t="str">
        <f t="shared" ca="1" si="17"/>
        <v/>
      </c>
      <c r="AE42" s="69" t="str">
        <f t="shared" ca="1" si="17"/>
        <v/>
      </c>
      <c r="AF42" s="69" t="str">
        <f t="shared" ca="1" si="17"/>
        <v/>
      </c>
      <c r="AG42" s="69" t="str">
        <f t="shared" ca="1" si="17"/>
        <v/>
      </c>
      <c r="AH42" s="69" t="str">
        <f t="shared" ca="1" si="17"/>
        <v/>
      </c>
      <c r="AI42" s="69" t="str">
        <f t="shared" ca="1" si="17"/>
        <v/>
      </c>
      <c r="AJ42" s="69" t="str">
        <f t="shared" ca="1" si="17"/>
        <v/>
      </c>
      <c r="AK42" s="69" t="str">
        <f t="shared" ca="1" si="17"/>
        <v/>
      </c>
      <c r="AL42" s="69" t="str">
        <f t="shared" ca="1" si="17"/>
        <v/>
      </c>
      <c r="AM42" s="69" t="str">
        <f t="shared" ca="1" si="17"/>
        <v/>
      </c>
      <c r="AN42" s="69" t="str">
        <f t="shared" ca="1" si="17"/>
        <v/>
      </c>
      <c r="AO42" s="69" t="str">
        <f t="shared" ca="1" si="17"/>
        <v/>
      </c>
      <c r="AP42" s="69" t="str">
        <f t="shared" ca="1" si="17"/>
        <v/>
      </c>
      <c r="AQ42" s="69" t="str">
        <f t="shared" ca="1" si="17"/>
        <v/>
      </c>
      <c r="AR42" s="69" t="str">
        <f t="shared" ca="1" si="17"/>
        <v/>
      </c>
      <c r="AS42" s="69" t="str">
        <f t="shared" ca="1" si="17"/>
        <v/>
      </c>
      <c r="AT42" s="69" t="str">
        <f t="shared" ca="1" si="17"/>
        <v/>
      </c>
      <c r="AU42" s="69" t="str">
        <f t="shared" ca="1" si="17"/>
        <v/>
      </c>
      <c r="AV42" s="69" t="str">
        <f t="shared" ca="1" si="17"/>
        <v/>
      </c>
      <c r="AW42" s="69" t="str">
        <f t="shared" ca="1" si="17"/>
        <v/>
      </c>
      <c r="AX42" s="69" t="str">
        <f t="shared" ca="1" si="17"/>
        <v/>
      </c>
      <c r="AY42" s="69" t="str">
        <f t="shared" ca="1" si="17"/>
        <v/>
      </c>
      <c r="AZ42" s="69" t="str">
        <f t="shared" ca="1" si="17"/>
        <v/>
      </c>
      <c r="BA42" s="69" t="str">
        <f t="shared" ca="1" si="17"/>
        <v/>
      </c>
      <c r="BB42" s="69" t="str">
        <f t="shared" ca="1" si="17"/>
        <v/>
      </c>
      <c r="BC42" s="69" t="str">
        <f t="shared" ca="1" si="17"/>
        <v/>
      </c>
      <c r="BD42" s="69" t="str">
        <f t="shared" ca="1" si="17"/>
        <v/>
      </c>
      <c r="BE42" s="69" t="str">
        <f t="shared" ca="1" si="17"/>
        <v/>
      </c>
      <c r="BF42" s="69" t="str">
        <f t="shared" ca="1" si="17"/>
        <v/>
      </c>
      <c r="BG42" s="69" t="str">
        <f t="shared" ca="1" si="17"/>
        <v/>
      </c>
      <c r="BH42" s="69" t="str">
        <f t="shared" ca="1" si="17"/>
        <v/>
      </c>
      <c r="BI42" s="69" t="str">
        <f t="shared" ca="1" si="17"/>
        <v/>
      </c>
      <c r="BJ42" s="69" t="str">
        <f t="shared" ca="1" si="17"/>
        <v/>
      </c>
      <c r="BK42" s="69" t="str">
        <f t="shared" ca="1" si="17"/>
        <v/>
      </c>
      <c r="BL42" s="69" t="str">
        <f t="shared" ca="1" si="17"/>
        <v/>
      </c>
      <c r="BM42" s="69"/>
    </row>
    <row r="43" spans="1:65" s="1" customFormat="1" ht="18" customHeight="1" x14ac:dyDescent="0.25">
      <c r="A43" s="96"/>
      <c r="B43" s="65" t="s">
        <v>33</v>
      </c>
      <c r="C43" s="56"/>
      <c r="D43" s="57"/>
      <c r="E43" s="58"/>
      <c r="F43" s="71">
        <f>Plan_Sommer[[#This Row],[Ende]]-Plan_Sommer[[#This Row],[Dauer
in Tage]]</f>
        <v>46565</v>
      </c>
      <c r="G43" s="72">
        <v>5</v>
      </c>
      <c r="H43" s="73">
        <f>F45</f>
        <v>46570</v>
      </c>
      <c r="I43" s="45" t="str">
        <f t="shared" ca="1" si="15"/>
        <v/>
      </c>
      <c r="J43" s="45" t="str">
        <f t="shared" ca="1" si="15"/>
        <v/>
      </c>
      <c r="K43" s="45" t="str">
        <f t="shared" ca="1" si="15"/>
        <v/>
      </c>
      <c r="L43" s="45" t="str">
        <f t="shared" ca="1" si="15"/>
        <v/>
      </c>
      <c r="M43" s="45" t="str">
        <f t="shared" ca="1" si="15"/>
        <v/>
      </c>
      <c r="N43" s="45" t="str">
        <f t="shared" ca="1" si="15"/>
        <v/>
      </c>
      <c r="O43" s="45" t="str">
        <f t="shared" ca="1" si="15"/>
        <v/>
      </c>
      <c r="P43" s="45" t="str">
        <f t="shared" ca="1" si="15"/>
        <v/>
      </c>
      <c r="Q43" s="45" t="str">
        <f t="shared" ca="1" si="15"/>
        <v/>
      </c>
      <c r="R43" s="45" t="str">
        <f t="shared" ca="1" si="15"/>
        <v/>
      </c>
      <c r="S43" s="45" t="str">
        <f t="shared" ca="1" si="15"/>
        <v/>
      </c>
      <c r="T43" s="45" t="str">
        <f t="shared" ca="1" si="15"/>
        <v/>
      </c>
      <c r="U43" s="45" t="str">
        <f t="shared" ca="1" si="15"/>
        <v/>
      </c>
      <c r="V43" s="45" t="str">
        <f t="shared" ca="1" si="15"/>
        <v/>
      </c>
      <c r="W43" s="45" t="str">
        <f t="shared" ca="1" si="12"/>
        <v/>
      </c>
      <c r="X43" s="45" t="str">
        <f t="shared" ca="1" si="17"/>
        <v/>
      </c>
      <c r="Y43" s="45" t="str">
        <f t="shared" ca="1" si="17"/>
        <v/>
      </c>
      <c r="Z43" s="45" t="str">
        <f t="shared" ca="1" si="17"/>
        <v/>
      </c>
      <c r="AA43" s="45" t="str">
        <f t="shared" ca="1" si="17"/>
        <v/>
      </c>
      <c r="AB43" s="45" t="str">
        <f t="shared" ca="1" si="17"/>
        <v/>
      </c>
      <c r="AC43" s="45" t="str">
        <f t="shared" ca="1" si="17"/>
        <v/>
      </c>
      <c r="AD43" s="45" t="str">
        <f t="shared" ca="1" si="17"/>
        <v/>
      </c>
      <c r="AE43" s="45" t="str">
        <f t="shared" ca="1" si="17"/>
        <v/>
      </c>
      <c r="AF43" s="45" t="str">
        <f t="shared" ca="1" si="17"/>
        <v/>
      </c>
      <c r="AG43" s="45" t="str">
        <f t="shared" ca="1" si="17"/>
        <v/>
      </c>
      <c r="AH43" s="45" t="str">
        <f t="shared" ca="1" si="17"/>
        <v/>
      </c>
      <c r="AI43" s="45" t="str">
        <f t="shared" ca="1" si="17"/>
        <v/>
      </c>
      <c r="AJ43" s="45" t="str">
        <f t="shared" ca="1" si="17"/>
        <v/>
      </c>
      <c r="AK43" s="45" t="str">
        <f t="shared" ca="1" si="17"/>
        <v/>
      </c>
      <c r="AL43" s="45" t="str">
        <f t="shared" ca="1" si="17"/>
        <v/>
      </c>
      <c r="AM43" s="45" t="str">
        <f t="shared" ca="1" si="17"/>
        <v/>
      </c>
      <c r="AN43" s="45" t="str">
        <f t="shared" ca="1" si="17"/>
        <v/>
      </c>
      <c r="AO43" s="45" t="str">
        <f t="shared" ref="X43:BL45" ca="1" si="18">IF(AND($C43="Ziel",$H43=AO$7),2,IF(AND($C43="Meilenstein",$H43=AO$7),1,""))</f>
        <v/>
      </c>
      <c r="AP43" s="45" t="str">
        <f t="shared" ca="1" si="18"/>
        <v/>
      </c>
      <c r="AQ43" s="45" t="str">
        <f t="shared" ca="1" si="18"/>
        <v/>
      </c>
      <c r="AR43" s="45" t="str">
        <f t="shared" ca="1" si="18"/>
        <v/>
      </c>
      <c r="AS43" s="45" t="str">
        <f t="shared" ca="1" si="18"/>
        <v/>
      </c>
      <c r="AT43" s="45" t="str">
        <f t="shared" ca="1" si="18"/>
        <v/>
      </c>
      <c r="AU43" s="45" t="str">
        <f t="shared" ca="1" si="18"/>
        <v/>
      </c>
      <c r="AV43" s="45" t="str">
        <f t="shared" ca="1" si="18"/>
        <v/>
      </c>
      <c r="AW43" s="45" t="str">
        <f t="shared" ca="1" si="18"/>
        <v/>
      </c>
      <c r="AX43" s="45" t="str">
        <f t="shared" ca="1" si="18"/>
        <v/>
      </c>
      <c r="AY43" s="45" t="str">
        <f t="shared" ca="1" si="18"/>
        <v/>
      </c>
      <c r="AZ43" s="45" t="str">
        <f t="shared" ca="1" si="18"/>
        <v/>
      </c>
      <c r="BA43" s="45" t="str">
        <f t="shared" ca="1" si="18"/>
        <v/>
      </c>
      <c r="BB43" s="45" t="str">
        <f t="shared" ca="1" si="18"/>
        <v/>
      </c>
      <c r="BC43" s="45" t="str">
        <f t="shared" ca="1" si="18"/>
        <v/>
      </c>
      <c r="BD43" s="45" t="str">
        <f t="shared" ca="1" si="18"/>
        <v/>
      </c>
      <c r="BE43" s="45" t="str">
        <f t="shared" ca="1" si="18"/>
        <v/>
      </c>
      <c r="BF43" s="45" t="str">
        <f t="shared" ca="1" si="18"/>
        <v/>
      </c>
      <c r="BG43" s="45" t="str">
        <f t="shared" ca="1" si="18"/>
        <v/>
      </c>
      <c r="BH43" s="45" t="str">
        <f t="shared" ca="1" si="18"/>
        <v/>
      </c>
      <c r="BI43" s="45" t="str">
        <f t="shared" ca="1" si="18"/>
        <v/>
      </c>
      <c r="BJ43" s="45" t="str">
        <f t="shared" ca="1" si="18"/>
        <v/>
      </c>
      <c r="BK43" s="45" t="str">
        <f t="shared" ca="1" si="18"/>
        <v/>
      </c>
      <c r="BL43" s="45" t="str">
        <f t="shared" ca="1" si="18"/>
        <v/>
      </c>
      <c r="BM43" s="45"/>
    </row>
    <row r="44" spans="1:65" s="1" customFormat="1" ht="18" customHeight="1" x14ac:dyDescent="0.25">
      <c r="A44" s="96"/>
      <c r="B44" s="65" t="s">
        <v>35</v>
      </c>
      <c r="C44" s="56"/>
      <c r="D44" s="57"/>
      <c r="E44" s="58"/>
      <c r="F44" s="71">
        <f>Plan_Sommer[[#This Row],[Ende]]-Plan_Sommer[[#This Row],[Dauer
in Tage]]</f>
        <v>46565</v>
      </c>
      <c r="G44" s="72">
        <v>5</v>
      </c>
      <c r="H44" s="73">
        <f>F45</f>
        <v>46570</v>
      </c>
      <c r="I44" s="45" t="str">
        <f t="shared" ca="1" si="15"/>
        <v/>
      </c>
      <c r="J44" s="45" t="str">
        <f t="shared" ca="1" si="15"/>
        <v/>
      </c>
      <c r="K44" s="45" t="str">
        <f t="shared" ca="1" si="15"/>
        <v/>
      </c>
      <c r="L44" s="45" t="str">
        <f t="shared" ca="1" si="15"/>
        <v/>
      </c>
      <c r="M44" s="45" t="str">
        <f t="shared" ca="1" si="15"/>
        <v/>
      </c>
      <c r="N44" s="45" t="str">
        <f t="shared" ca="1" si="15"/>
        <v/>
      </c>
      <c r="O44" s="45" t="str">
        <f t="shared" ca="1" si="15"/>
        <v/>
      </c>
      <c r="P44" s="45" t="str">
        <f t="shared" ca="1" si="15"/>
        <v/>
      </c>
      <c r="Q44" s="45" t="str">
        <f t="shared" ca="1" si="15"/>
        <v/>
      </c>
      <c r="R44" s="45" t="str">
        <f t="shared" ca="1" si="15"/>
        <v/>
      </c>
      <c r="S44" s="45" t="str">
        <f t="shared" ca="1" si="15"/>
        <v/>
      </c>
      <c r="T44" s="45" t="str">
        <f t="shared" ca="1" si="15"/>
        <v/>
      </c>
      <c r="U44" s="45" t="str">
        <f t="shared" ca="1" si="15"/>
        <v/>
      </c>
      <c r="V44" s="45" t="str">
        <f t="shared" ca="1" si="15"/>
        <v/>
      </c>
      <c r="W44" s="45" t="str">
        <f t="shared" ca="1" si="12"/>
        <v/>
      </c>
      <c r="X44" s="45" t="str">
        <f t="shared" ca="1" si="18"/>
        <v/>
      </c>
      <c r="Y44" s="45" t="str">
        <f t="shared" ca="1" si="18"/>
        <v/>
      </c>
      <c r="Z44" s="45" t="str">
        <f t="shared" ca="1" si="18"/>
        <v/>
      </c>
      <c r="AA44" s="45" t="str">
        <f t="shared" ca="1" si="18"/>
        <v/>
      </c>
      <c r="AB44" s="45" t="str">
        <f t="shared" ca="1" si="18"/>
        <v/>
      </c>
      <c r="AC44" s="45" t="str">
        <f t="shared" ca="1" si="18"/>
        <v/>
      </c>
      <c r="AD44" s="45" t="str">
        <f t="shared" ca="1" si="18"/>
        <v/>
      </c>
      <c r="AE44" s="45" t="str">
        <f t="shared" ca="1" si="18"/>
        <v/>
      </c>
      <c r="AF44" s="45" t="str">
        <f t="shared" ca="1" si="18"/>
        <v/>
      </c>
      <c r="AG44" s="45" t="str">
        <f t="shared" ca="1" si="18"/>
        <v/>
      </c>
      <c r="AH44" s="45" t="str">
        <f t="shared" ca="1" si="18"/>
        <v/>
      </c>
      <c r="AI44" s="45" t="str">
        <f t="shared" ca="1" si="18"/>
        <v/>
      </c>
      <c r="AJ44" s="45" t="str">
        <f t="shared" ca="1" si="18"/>
        <v/>
      </c>
      <c r="AK44" s="45" t="str">
        <f t="shared" ca="1" si="18"/>
        <v/>
      </c>
      <c r="AL44" s="45" t="str">
        <f t="shared" ca="1" si="18"/>
        <v/>
      </c>
      <c r="AM44" s="45" t="str">
        <f t="shared" ca="1" si="18"/>
        <v/>
      </c>
      <c r="AN44" s="45" t="str">
        <f t="shared" ca="1" si="18"/>
        <v/>
      </c>
      <c r="AO44" s="45" t="str">
        <f t="shared" ca="1" si="18"/>
        <v/>
      </c>
      <c r="AP44" s="45" t="str">
        <f t="shared" ca="1" si="18"/>
        <v/>
      </c>
      <c r="AQ44" s="45" t="str">
        <f t="shared" ca="1" si="18"/>
        <v/>
      </c>
      <c r="AR44" s="45" t="str">
        <f t="shared" ca="1" si="18"/>
        <v/>
      </c>
      <c r="AS44" s="45" t="str">
        <f t="shared" ca="1" si="18"/>
        <v/>
      </c>
      <c r="AT44" s="45" t="str">
        <f t="shared" ca="1" si="18"/>
        <v/>
      </c>
      <c r="AU44" s="45" t="str">
        <f t="shared" ca="1" si="18"/>
        <v/>
      </c>
      <c r="AV44" s="45" t="str">
        <f t="shared" ca="1" si="18"/>
        <v/>
      </c>
      <c r="AW44" s="45" t="str">
        <f t="shared" ca="1" si="18"/>
        <v/>
      </c>
      <c r="AX44" s="45" t="str">
        <f t="shared" ca="1" si="18"/>
        <v/>
      </c>
      <c r="AY44" s="45" t="str">
        <f t="shared" ca="1" si="18"/>
        <v/>
      </c>
      <c r="AZ44" s="45" t="str">
        <f t="shared" ca="1" si="18"/>
        <v/>
      </c>
      <c r="BA44" s="45" t="str">
        <f t="shared" ca="1" si="18"/>
        <v/>
      </c>
      <c r="BB44" s="45" t="str">
        <f t="shared" ca="1" si="18"/>
        <v/>
      </c>
      <c r="BC44" s="45" t="str">
        <f t="shared" ca="1" si="18"/>
        <v/>
      </c>
      <c r="BD44" s="45" t="str">
        <f t="shared" ca="1" si="18"/>
        <v/>
      </c>
      <c r="BE44" s="45" t="str">
        <f t="shared" ca="1" si="18"/>
        <v/>
      </c>
      <c r="BF44" s="45" t="str">
        <f t="shared" ca="1" si="18"/>
        <v/>
      </c>
      <c r="BG44" s="45" t="str">
        <f t="shared" ca="1" si="18"/>
        <v/>
      </c>
      <c r="BH44" s="45" t="str">
        <f t="shared" ca="1" si="18"/>
        <v/>
      </c>
      <c r="BI44" s="45" t="str">
        <f t="shared" ca="1" si="18"/>
        <v/>
      </c>
      <c r="BJ44" s="45" t="str">
        <f t="shared" ca="1" si="18"/>
        <v/>
      </c>
      <c r="BK44" s="45" t="str">
        <f t="shared" ca="1" si="18"/>
        <v/>
      </c>
      <c r="BL44" s="45" t="str">
        <f t="shared" ca="1" si="18"/>
        <v/>
      </c>
      <c r="BM44" s="45"/>
    </row>
    <row r="45" spans="1:65" s="1" customFormat="1" ht="18" customHeight="1" x14ac:dyDescent="0.25">
      <c r="A45" s="96"/>
      <c r="B45" s="65" t="s">
        <v>51</v>
      </c>
      <c r="C45" s="56"/>
      <c r="D45" s="57" t="s">
        <v>52</v>
      </c>
      <c r="E45" s="58"/>
      <c r="F45" s="71">
        <f>Plan_Sommer[[#This Row],[Ende]]-Plan_Sommer[[#This Row],[Dauer
in Tage]]</f>
        <v>46570</v>
      </c>
      <c r="G45" s="72">
        <v>1</v>
      </c>
      <c r="H45" s="73">
        <f>H27+14</f>
        <v>46571</v>
      </c>
      <c r="I45" s="45" t="str">
        <f t="shared" ref="I45:BL45" ca="1" si="19">IF(AND($C45="Ziel",$H45=I$7),2,IF(AND($C45="Meilenstein",$H45=I$7),1,""))</f>
        <v/>
      </c>
      <c r="J45" s="45" t="str">
        <f t="shared" ca="1" si="19"/>
        <v/>
      </c>
      <c r="K45" s="45" t="str">
        <f t="shared" ca="1" si="19"/>
        <v/>
      </c>
      <c r="L45" s="45" t="str">
        <f t="shared" ca="1" si="19"/>
        <v/>
      </c>
      <c r="M45" s="45" t="str">
        <f t="shared" ca="1" si="19"/>
        <v/>
      </c>
      <c r="N45" s="45" t="str">
        <f t="shared" ca="1" si="19"/>
        <v/>
      </c>
      <c r="O45" s="45" t="str">
        <f t="shared" ca="1" si="19"/>
        <v/>
      </c>
      <c r="P45" s="45" t="str">
        <f t="shared" ca="1" si="19"/>
        <v/>
      </c>
      <c r="Q45" s="45" t="str">
        <f t="shared" ca="1" si="19"/>
        <v/>
      </c>
      <c r="R45" s="45" t="str">
        <f t="shared" ca="1" si="19"/>
        <v/>
      </c>
      <c r="S45" s="45" t="str">
        <f t="shared" ca="1" si="19"/>
        <v/>
      </c>
      <c r="T45" s="45" t="str">
        <f t="shared" ca="1" si="19"/>
        <v/>
      </c>
      <c r="U45" s="45" t="str">
        <f t="shared" ca="1" si="19"/>
        <v/>
      </c>
      <c r="V45" s="45" t="str">
        <f t="shared" ca="1" si="19"/>
        <v/>
      </c>
      <c r="W45" s="45" t="str">
        <f t="shared" ca="1" si="12"/>
        <v/>
      </c>
      <c r="X45" s="45" t="str">
        <f t="shared" ca="1" si="19"/>
        <v/>
      </c>
      <c r="Y45" s="45" t="str">
        <f t="shared" ca="1" si="19"/>
        <v/>
      </c>
      <c r="Z45" s="45" t="str">
        <f t="shared" ca="1" si="19"/>
        <v/>
      </c>
      <c r="AA45" s="45" t="str">
        <f t="shared" ca="1" si="19"/>
        <v/>
      </c>
      <c r="AB45" s="45" t="str">
        <f t="shared" ca="1" si="19"/>
        <v/>
      </c>
      <c r="AC45" s="45" t="str">
        <f t="shared" ca="1" si="19"/>
        <v/>
      </c>
      <c r="AD45" s="45" t="str">
        <f t="shared" ca="1" si="19"/>
        <v/>
      </c>
      <c r="AE45" s="45" t="str">
        <f t="shared" ca="1" si="19"/>
        <v/>
      </c>
      <c r="AF45" s="45" t="str">
        <f t="shared" ca="1" si="19"/>
        <v/>
      </c>
      <c r="AG45" s="45" t="str">
        <f t="shared" ca="1" si="19"/>
        <v/>
      </c>
      <c r="AH45" s="45" t="str">
        <f t="shared" ca="1" si="19"/>
        <v/>
      </c>
      <c r="AI45" s="45" t="str">
        <f t="shared" ca="1" si="19"/>
        <v/>
      </c>
      <c r="AJ45" s="45" t="str">
        <f t="shared" ca="1" si="19"/>
        <v/>
      </c>
      <c r="AK45" s="45" t="str">
        <f t="shared" ca="1" si="19"/>
        <v/>
      </c>
      <c r="AL45" s="45" t="str">
        <f t="shared" ca="1" si="18"/>
        <v/>
      </c>
      <c r="AM45" s="45" t="str">
        <f t="shared" ca="1" si="19"/>
        <v/>
      </c>
      <c r="AN45" s="45" t="str">
        <f t="shared" ca="1" si="19"/>
        <v/>
      </c>
      <c r="AO45" s="45" t="str">
        <f t="shared" ca="1" si="19"/>
        <v/>
      </c>
      <c r="AP45" s="45" t="str">
        <f t="shared" ca="1" si="19"/>
        <v/>
      </c>
      <c r="AQ45" s="45" t="str">
        <f t="shared" ca="1" si="19"/>
        <v/>
      </c>
      <c r="AR45" s="45" t="str">
        <f t="shared" ca="1" si="19"/>
        <v/>
      </c>
      <c r="AS45" s="45" t="str">
        <f t="shared" ca="1" si="19"/>
        <v/>
      </c>
      <c r="AT45" s="45" t="str">
        <f t="shared" ca="1" si="19"/>
        <v/>
      </c>
      <c r="AU45" s="45" t="str">
        <f t="shared" ca="1" si="19"/>
        <v/>
      </c>
      <c r="AV45" s="45" t="str">
        <f t="shared" ca="1" si="19"/>
        <v/>
      </c>
      <c r="AW45" s="45" t="str">
        <f t="shared" ca="1" si="19"/>
        <v/>
      </c>
      <c r="AX45" s="45" t="str">
        <f t="shared" ca="1" si="19"/>
        <v/>
      </c>
      <c r="AY45" s="45" t="str">
        <f t="shared" ca="1" si="19"/>
        <v/>
      </c>
      <c r="AZ45" s="45" t="str">
        <f t="shared" ca="1" si="19"/>
        <v/>
      </c>
      <c r="BA45" s="45" t="str">
        <f t="shared" ca="1" si="18"/>
        <v/>
      </c>
      <c r="BB45" s="45" t="str">
        <f t="shared" ca="1" si="19"/>
        <v/>
      </c>
      <c r="BC45" s="45" t="str">
        <f t="shared" ca="1" si="19"/>
        <v/>
      </c>
      <c r="BD45" s="45" t="str">
        <f t="shared" ca="1" si="19"/>
        <v/>
      </c>
      <c r="BE45" s="45" t="str">
        <f t="shared" ca="1" si="19"/>
        <v/>
      </c>
      <c r="BF45" s="45" t="str">
        <f t="shared" ca="1" si="19"/>
        <v/>
      </c>
      <c r="BG45" s="45" t="str">
        <f t="shared" ca="1" si="19"/>
        <v/>
      </c>
      <c r="BH45" s="45" t="str">
        <f t="shared" ca="1" si="19"/>
        <v/>
      </c>
      <c r="BI45" s="45" t="str">
        <f t="shared" ca="1" si="19"/>
        <v/>
      </c>
      <c r="BJ45" s="45" t="str">
        <f t="shared" ca="1" si="19"/>
        <v/>
      </c>
      <c r="BK45" s="45" t="str">
        <f t="shared" ca="1" si="19"/>
        <v/>
      </c>
      <c r="BL45" s="45" t="str">
        <f t="shared" ca="1" si="19"/>
        <v/>
      </c>
      <c r="BM45" s="45"/>
    </row>
    <row r="46" spans="1:65" s="1" customFormat="1" ht="40.15" customHeight="1" x14ac:dyDescent="0.25">
      <c r="A46" s="7"/>
      <c r="B46" s="41" t="s">
        <v>53</v>
      </c>
      <c r="C46" s="25"/>
      <c r="D46" s="25"/>
      <c r="E46" s="19"/>
      <c r="F46" s="26"/>
      <c r="G46" s="61"/>
      <c r="H46" s="62"/>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5" priority="1584">
      <formula>$C11:$C52=$E$5</formula>
    </cfRule>
    <cfRule type="expression" dxfId="64" priority="1585">
      <formula>$C11:$C52=$F$5</formula>
    </cfRule>
    <cfRule type="expression" dxfId="63" priority="1586">
      <formula>$C11:$C52=$D$5</formula>
    </cfRule>
    <cfRule type="expression" dxfId="62" priority="1587">
      <formula>$C11:$C52=$C$5</formula>
    </cfRule>
  </conditionalFormatting>
  <conditionalFormatting sqref="C13:C25">
    <cfRule type="expression" dxfId="61" priority="1580">
      <formula>$C13:$C53=$E$5</formula>
    </cfRule>
    <cfRule type="expression" dxfId="60" priority="1581">
      <formula>$C13:$C53=$F$5</formula>
    </cfRule>
    <cfRule type="expression" dxfId="59" priority="1582">
      <formula>$C13:$C53=$D$5</formula>
    </cfRule>
    <cfRule type="expression" dxfId="58" priority="1583">
      <formula>$C13:$C53=$C$5</formula>
    </cfRule>
  </conditionalFormatting>
  <conditionalFormatting sqref="C26:C43">
    <cfRule type="expression" dxfId="57" priority="1570">
      <formula>$C26:$C65=$E$5</formula>
    </cfRule>
    <cfRule type="expression" dxfId="56" priority="1571">
      <formula>$C26:$C65=$F$5</formula>
    </cfRule>
    <cfRule type="expression" dxfId="55" priority="1572">
      <formula>$C26:$C65=$D$5</formula>
    </cfRule>
    <cfRule type="expression" dxfId="54" priority="1573">
      <formula>$C26:$C65=$C$5</formula>
    </cfRule>
  </conditionalFormatting>
  <conditionalFormatting sqref="C44:C45">
    <cfRule type="expression" dxfId="53" priority="3">
      <formula>$C44:$C82=$E$5</formula>
    </cfRule>
    <cfRule type="expression" dxfId="52" priority="1536">
      <formula>$C44:$C82=$C$5</formula>
    </cfRule>
    <cfRule type="expression" dxfId="51" priority="1535">
      <formula>$C44:$C82=$D$5</formula>
    </cfRule>
    <cfRule type="expression" dxfId="50" priority="1534">
      <formula>$C44:$C82=$F$5</formula>
    </cfRule>
  </conditionalFormatting>
  <conditionalFormatting sqref="C47:C48">
    <cfRule type="expression" dxfId="49" priority="1600">
      <formula>$C15:$C47=$E$5</formula>
    </cfRule>
  </conditionalFormatting>
  <conditionalFormatting sqref="C49:C50">
    <cfRule type="expression" dxfId="48" priority="1579">
      <formula>$C18:$C49=$E$5</formula>
    </cfRule>
  </conditionalFormatting>
  <conditionalFormatting sqref="C51">
    <cfRule type="expression" dxfId="47"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6" priority="43" stopIfTrue="1">
      <formula>AND(LEN($C7)=0,E$7&gt;=$F7,E$7&lt;=$F7+$G7-1)</formula>
    </cfRule>
  </conditionalFormatting>
  <conditionalFormatting sqref="F7">
    <cfRule type="expression" dxfId="45" priority="37">
      <formula>AND(TODAY()&gt;=F$7,TODAY()&lt;G$7)</formula>
    </cfRule>
  </conditionalFormatting>
  <conditionalFormatting sqref="I6:AM6">
    <cfRule type="expression" dxfId="44" priority="54">
      <formula>I$7&lt;=EOMONTH($I$7,0)</formula>
    </cfRule>
  </conditionalFormatting>
  <conditionalFormatting sqref="I6:BL6">
    <cfRule type="expression" dxfId="43" priority="52">
      <formula>AND(I$7&lt;=EOMONTH($I$7,1),I$7&gt;EOMONTH($I$7,0))</formula>
    </cfRule>
  </conditionalFormatting>
  <conditionalFormatting sqref="I7:BL7">
    <cfRule type="expression" dxfId="42" priority="29">
      <formula>AND(TODAY()&gt;=I$7,TODAY()&lt;J$7)</formula>
    </cfRule>
  </conditionalFormatting>
  <conditionalFormatting sqref="I8:BL10 I11:BM45">
    <cfRule type="expression" dxfId="41" priority="60" stopIfTrue="1">
      <formula>AND($C8=$C$5,I$7&gt;=$F8,I$7&lt;=$F8+$G8-1)</formula>
    </cfRule>
    <cfRule type="expression" dxfId="40" priority="61" stopIfTrue="1">
      <formula>AND($C8=$D$5,I$7&gt;=$F8,I$7&lt;=$F8+$G8-1)</formula>
    </cfRule>
    <cfRule type="expression" dxfId="39" priority="62" stopIfTrue="1">
      <formula>AND($C8=$E$5,I$7&gt;=$F8,I$7&lt;=$F8+$G8-1)</formula>
    </cfRule>
    <cfRule type="expression" dxfId="38" priority="63" stopIfTrue="1">
      <formula>AND($C8=$F$5,I$7&gt;=$F8,I$7&lt;=$F8+$G8-1)</formula>
    </cfRule>
    <cfRule type="expression" dxfId="37" priority="64" stopIfTrue="1">
      <formula>AND(LEN($C8)=0,I$7&gt;=$F8,I$7&lt;=$F8+$G8-1)</formula>
    </cfRule>
  </conditionalFormatting>
  <conditionalFormatting sqref="I9:BL9">
    <cfRule type="expression" dxfId="36" priority="1">
      <formula>I$9="S"</formula>
    </cfRule>
  </conditionalFormatting>
  <conditionalFormatting sqref="I11:BM45 I8:BL10">
    <cfRule type="expression" dxfId="35" priority="30">
      <formula>AND(TODAY()&gt;=I$7,TODAY()&lt;J$7)</formula>
    </cfRule>
  </conditionalFormatting>
  <conditionalFormatting sqref="I11:BM45">
    <cfRule type="expression" dxfId="34" priority="2">
      <formula>I$9="S"</formula>
    </cfRule>
  </conditionalFormatting>
  <conditionalFormatting sqref="J6:BL6">
    <cfRule type="expression" dxfId="33" priority="53">
      <formula>AND(J$7&lt;=EOMONTH($I$7,2),J$7&gt;EOMONTH($I$7,0),J$7&gt;EOMONTH($I$7,1))</formula>
    </cfRule>
  </conditionalFormatting>
  <conditionalFormatting sqref="G14 G17">
    <cfRule type="cellIs" dxfId="103" priority="3000" operator="lessThan">
      <formula>1</formula>
    </cfRule>
  </conditionalFormatting>
  <dataValidations count="12">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en PAL, Start Selektion und Start inhaltliche Arbeit." sqref="E4">
      <formula1>JP_Massnahme</formula1>
    </dataValidation>
    <dataValidation allowBlank="1" showInputMessage="1" promptTitle="Briefkasten-Datum (PAL)" prompt="Wird aus Blatt „Jahresplanung“ übernommen – bitte dort ändern." sqref="C4"/>
    <dataValidation allowBlank="1" showInputMessage="1" promptTitle="Start Selektion" prompt="Kommt aus Blatt „Jahresplanung“ (PAL − Vorlauf Selektion). „Selektion erstellen“ füllt die Zeit bis zur Übergabe an den Lettershop." sqref="F11"/>
    <dataValidation allowBlank="1" showInputMessage="1" promptTitle="Start inhaltliche Arbeit" prompt="Kommt aus Blatt „Jahresplanung“ (PAL − Vorlauf Inhalt). „Thema definieren“ dauert bis zum Beginn der Texterstellung." sqref="F17"/>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pageSetUpPr fitToPage="1"/>
  </sheetPr>
  <dimension ref="A1:BM48"/>
  <sheetViews>
    <sheetView showGridLines="0" showRuler="0" topLeftCell="A3" zoomScale="80" zoomScaleNormal="80" zoomScalePageLayoutView="70" workbookViewId="0">
      <selection activeCell="H21" sqref="H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03" t="str">
        <f>"                    Weihnachtsmailing "&amp;Planungsjahr</f>
        <v>                    Weihnachtsmailing 2027</v>
      </c>
      <c r="C2" s="104"/>
      <c r="D2" s="104"/>
      <c r="E2" s="104"/>
      <c r="F2" s="104"/>
      <c r="G2" s="104"/>
      <c r="H2" s="104"/>
      <c r="I2" s="105"/>
      <c r="J2" s="106"/>
      <c r="K2" s="106"/>
      <c r="L2" s="106"/>
      <c r="M2" s="106"/>
      <c r="N2" s="106"/>
      <c r="O2" s="97"/>
      <c r="P2" s="97"/>
      <c r="Q2" s="97"/>
      <c r="R2" s="97"/>
      <c r="S2" s="97"/>
      <c r="T2" s="97"/>
      <c r="U2" s="51"/>
      <c r="V2" s="51"/>
      <c r="W2" s="51"/>
      <c r="X2" s="51"/>
      <c r="Y2" s="51"/>
      <c r="Z2" s="51"/>
      <c r="AA2" s="51"/>
      <c r="AB2" s="51"/>
      <c r="AC2" s="51"/>
      <c r="AD2" s="51"/>
      <c r="AE2" s="51"/>
      <c r="AF2" s="100"/>
      <c r="AG2" s="101"/>
      <c r="AH2" s="101"/>
      <c r="AI2" s="101"/>
      <c r="AJ2" s="101"/>
      <c r="AK2" s="101"/>
      <c r="AL2" s="101"/>
      <c r="AM2" s="101"/>
      <c r="AN2" s="101"/>
      <c r="AO2" s="101"/>
      <c r="AP2" s="101"/>
      <c r="AQ2" s="101"/>
      <c r="AR2" s="101"/>
      <c r="AS2" s="101"/>
      <c r="AT2" s="101"/>
      <c r="AU2" s="101"/>
      <c r="AV2" s="101"/>
      <c r="AW2" s="101"/>
      <c r="AX2" s="101"/>
      <c r="AY2" s="51"/>
      <c r="AZ2" s="51"/>
      <c r="BA2" s="51"/>
      <c r="BB2" s="51"/>
      <c r="BC2" s="51"/>
      <c r="BD2" s="51"/>
      <c r="BE2" s="51"/>
      <c r="BF2" s="51"/>
      <c r="BG2" s="51"/>
      <c r="BH2" s="51"/>
      <c r="BI2" s="51"/>
      <c r="BJ2" s="51"/>
      <c r="BK2" s="51"/>
      <c r="BL2" s="51"/>
      <c r="BM2" s="51"/>
    </row>
    <row r="3" spans="1:65" ht="19.899999999999999" customHeight="1" thickBot="1" x14ac:dyDescent="0.3">
      <c r="A3" s="7"/>
      <c r="B3" s="14"/>
      <c r="C3" s="15"/>
      <c r="D3" s="16"/>
      <c r="E3" s="16"/>
      <c r="F3" s="17"/>
      <c r="G3" s="16"/>
      <c r="H3" s="16"/>
      <c r="I3" s="24"/>
      <c r="J3" s="1"/>
      <c r="K3" s="1"/>
      <c r="L3" s="1"/>
    </row>
    <row r="4" spans="1:65" ht="30" customHeight="1" thickBot="1" x14ac:dyDescent="0.3">
      <c r="A4" s="7"/>
      <c r="B4" s="68" t="s">
        <v>2</v>
      </c>
      <c r="C4" s="89">
        <f>INDEX(JP_PAL,MATCH($E$4,JP_Massnahme,0))</f>
        <v>46717</v>
      </c>
      <c r="D4" s="164" t="s">
        <v>56</v>
      </c>
      <c r="E4" s="165" t="s">
        <v>58</v>
      </c>
      <c r="F4" s="114"/>
      <c r="G4" s="21"/>
      <c r="H4" s="19"/>
      <c r="I4" s="107"/>
      <c r="J4" s="107"/>
      <c r="K4" s="107"/>
      <c r="L4" s="107"/>
      <c r="M4" s="107"/>
      <c r="N4" s="107"/>
      <c r="P4" s="99"/>
      <c r="Q4" s="99"/>
      <c r="R4" s="99"/>
      <c r="S4" s="99"/>
      <c r="T4" s="99"/>
      <c r="U4" s="99"/>
      <c r="W4" s="99"/>
      <c r="X4" s="99"/>
      <c r="Y4" s="99"/>
      <c r="Z4" s="99"/>
      <c r="AA4" s="99"/>
      <c r="AB4" s="99"/>
      <c r="AD4" s="99"/>
      <c r="AE4" s="99"/>
      <c r="AF4" s="99"/>
      <c r="AG4" s="99"/>
      <c r="AH4" s="99"/>
      <c r="AJ4" s="98"/>
      <c r="AK4" s="98"/>
      <c r="AL4" s="98"/>
      <c r="AM4" s="98"/>
      <c r="AN4" s="98"/>
      <c r="AO4" s="98"/>
    </row>
    <row r="5" spans="1:65" ht="19.5" customHeight="1" thickBot="1" x14ac:dyDescent="0.4">
      <c r="A5" s="7" t="s">
        <v>3</v>
      </c>
      <c r="B5" s="50" t="s">
        <v>4</v>
      </c>
      <c r="C5" s="48" t="s">
        <v>5</v>
      </c>
      <c r="D5" s="49" t="s">
        <v>6</v>
      </c>
      <c r="E5" s="48" t="s">
        <v>7</v>
      </c>
      <c r="F5" s="48" t="s">
        <v>8</v>
      </c>
      <c r="G5" s="44" t="s">
        <v>9</v>
      </c>
      <c r="H5" s="44" t="s">
        <v>10</v>
      </c>
    </row>
    <row r="6" spans="1:65" ht="30" customHeight="1" thickTop="1" x14ac:dyDescent="0.35">
      <c r="A6" s="7" t="s">
        <v>11</v>
      </c>
      <c r="B6" s="42" t="s">
        <v>12</v>
      </c>
      <c r="C6" s="67">
        <f ca="1">IF(TODAY()&gt;=F11+7,TODAY()-7,F11)</f>
        <v>46641</v>
      </c>
      <c r="D6" s="22"/>
      <c r="E6" s="46"/>
      <c r="F6" s="47"/>
      <c r="G6" s="19"/>
      <c r="H6" s="19"/>
      <c r="I6" s="29" t="str">
        <f ca="1">TEXT(I7,"MMMM")</f>
        <v>September</v>
      </c>
      <c r="J6" s="29"/>
      <c r="K6" s="29"/>
      <c r="L6" s="29"/>
      <c r="M6" s="29"/>
      <c r="N6" s="29"/>
      <c r="O6" s="29"/>
      <c r="P6" s="29" t="str">
        <f ca="1">IF(TEXT(P7,"MMMM")=I6,"",TEXT(P7,"MMMM"))</f>
        <v/>
      </c>
      <c r="Q6" s="29"/>
      <c r="R6" s="29"/>
      <c r="S6" s="29"/>
      <c r="T6" s="29"/>
      <c r="U6" s="29"/>
      <c r="V6" s="29"/>
      <c r="W6" s="29" t="str">
        <f ca="1">IF(OR(TEXT(W7,"MMMM")=P6,TEXT(W7,"MMMM")=I6),"",TEXT(W7,"MMMM"))</f>
        <v/>
      </c>
      <c r="X6" s="29"/>
      <c r="Y6" s="29"/>
      <c r="Z6" s="29"/>
      <c r="AA6" s="29"/>
      <c r="AB6" s="29"/>
      <c r="AC6" s="29"/>
      <c r="AD6" s="29" t="str">
        <f ca="1">IF(OR(TEXT(AD7,"MMMM")=W6,TEXT(AD7,"MMMM")=P6,TEXT(AD7,"MMMM")=I6),"",TEXT(AD7,"MMMM"))</f>
        <v>Oktober</v>
      </c>
      <c r="AE6" s="29"/>
      <c r="AF6" s="29"/>
      <c r="AG6" s="29"/>
      <c r="AH6" s="29"/>
      <c r="AI6" s="29"/>
      <c r="AJ6" s="29"/>
      <c r="AK6" s="29" t="str">
        <f ca="1">IF(OR(TEXT(AK7,"MMMM")=AD6,TEXT(AK7,"MMMM")=W6,TEXT(AK7,"MMMM")=P6,TEXT(AK7,"MMMM")=I6),"",TEXT(AK7,"MMMM"))</f>
        <v/>
      </c>
      <c r="AL6" s="29"/>
      <c r="AM6" s="29"/>
      <c r="AN6" s="29"/>
      <c r="AO6" s="29"/>
      <c r="AP6" s="29"/>
      <c r="AQ6" s="29"/>
      <c r="AR6" s="29" t="str">
        <f ca="1">IF(OR(TEXT(AR7,"MMMM")=AK6,TEXT(AR7,"MMMM")=AD6,TEXT(AR7,"MMMM")=W6,TEXT(AR7,"MMMM")=P6),"",TEXT(AR7,"MMMM"))</f>
        <v/>
      </c>
      <c r="AS6" s="29"/>
      <c r="AT6" s="29"/>
      <c r="AU6" s="29"/>
      <c r="AV6" s="29"/>
      <c r="AW6" s="29"/>
      <c r="AX6" s="30"/>
      <c r="AY6" s="30" t="str">
        <f ca="1">IF(OR(TEXT(AY7,"MMMM")=AR6,TEXT(AY7,"MMMM")=AK6,TEXT(AY7,"MMMM")=AD6,TEXT(AY7,"MMMM")=W6),"",TEXT(AY7,"MMMM"))</f>
        <v/>
      </c>
      <c r="AZ6" s="30"/>
      <c r="BA6" s="30"/>
      <c r="BB6" s="31"/>
      <c r="BC6" s="28"/>
      <c r="BD6" s="28"/>
      <c r="BE6" s="28"/>
      <c r="BF6" s="28" t="str">
        <f ca="1">IF(OR(TEXT(BF7,"MMMM")=AY6,TEXT(BF7,"MMMM")=AR6,TEXT(BF7,"MMMM")=AK6,TEXT(BF7,"MMMM")=AD6),"",TEXT(BF7,"MMMM"))</f>
        <v/>
      </c>
      <c r="BG6" s="28"/>
      <c r="BH6" s="28"/>
      <c r="BI6" s="28"/>
      <c r="BJ6" s="28"/>
      <c r="BK6" s="28"/>
      <c r="BL6" s="28"/>
    </row>
    <row r="7" spans="1:65" ht="30" customHeight="1" x14ac:dyDescent="0.25">
      <c r="A7" s="7"/>
      <c r="B7" s="42" t="s">
        <v>13</v>
      </c>
      <c r="C7" s="43">
        <v>0</v>
      </c>
      <c r="D7" s="18"/>
      <c r="E7" s="27"/>
      <c r="F7" s="27"/>
      <c r="G7" s="19"/>
      <c r="H7" s="23"/>
      <c r="I7" s="32">
        <f ca="1">IFERROR(Projekt_Start+Scroll_Schrittweite,TODAY())</f>
        <v>46641</v>
      </c>
      <c r="J7" s="33">
        <f ca="1">I7+1</f>
        <v>46642</v>
      </c>
      <c r="K7" s="33">
        <f t="shared" ref="K7:AX7" ca="1" si="0">J7+1</f>
        <v>46643</v>
      </c>
      <c r="L7" s="33">
        <f t="shared" ca="1" si="0"/>
        <v>46644</v>
      </c>
      <c r="M7" s="33">
        <f t="shared" ca="1" si="0"/>
        <v>46645</v>
      </c>
      <c r="N7" s="33">
        <f t="shared" ca="1" si="0"/>
        <v>46646</v>
      </c>
      <c r="O7" s="34">
        <f t="shared" ca="1" si="0"/>
        <v>46647</v>
      </c>
      <c r="P7" s="33">
        <f ca="1">O7+1</f>
        <v>46648</v>
      </c>
      <c r="Q7" s="33">
        <f ca="1">P7+1</f>
        <v>46649</v>
      </c>
      <c r="R7" s="33">
        <f t="shared" ca="1" si="0"/>
        <v>46650</v>
      </c>
      <c r="S7" s="33">
        <f t="shared" ca="1" si="0"/>
        <v>46651</v>
      </c>
      <c r="T7" s="33">
        <f t="shared" ca="1" si="0"/>
        <v>46652</v>
      </c>
      <c r="U7" s="33">
        <f t="shared" ca="1" si="0"/>
        <v>46653</v>
      </c>
      <c r="V7" s="34">
        <f t="shared" ca="1" si="0"/>
        <v>46654</v>
      </c>
      <c r="W7" s="33">
        <f ca="1">V7+1</f>
        <v>46655</v>
      </c>
      <c r="X7" s="33">
        <f ca="1">W7+1</f>
        <v>46656</v>
      </c>
      <c r="Y7" s="33">
        <f t="shared" ca="1" si="0"/>
        <v>46657</v>
      </c>
      <c r="Z7" s="33">
        <f t="shared" ca="1" si="0"/>
        <v>46658</v>
      </c>
      <c r="AA7" s="33">
        <f t="shared" ca="1" si="0"/>
        <v>46659</v>
      </c>
      <c r="AB7" s="33">
        <f t="shared" ca="1" si="0"/>
        <v>46660</v>
      </c>
      <c r="AC7" s="34">
        <f t="shared" ca="1" si="0"/>
        <v>46661</v>
      </c>
      <c r="AD7" s="33">
        <f ca="1">AC7+1</f>
        <v>46662</v>
      </c>
      <c r="AE7" s="33">
        <f ca="1">AD7+1</f>
        <v>46663</v>
      </c>
      <c r="AF7" s="33">
        <f t="shared" ca="1" si="0"/>
        <v>46664</v>
      </c>
      <c r="AG7" s="33">
        <f t="shared" ca="1" si="0"/>
        <v>46665</v>
      </c>
      <c r="AH7" s="33">
        <f t="shared" ca="1" si="0"/>
        <v>46666</v>
      </c>
      <c r="AI7" s="33">
        <f t="shared" ca="1" si="0"/>
        <v>46667</v>
      </c>
      <c r="AJ7" s="34">
        <f t="shared" ca="1" si="0"/>
        <v>46668</v>
      </c>
      <c r="AK7" s="33">
        <f ca="1">AJ7+1</f>
        <v>46669</v>
      </c>
      <c r="AL7" s="33">
        <f ca="1">AK7+1</f>
        <v>46670</v>
      </c>
      <c r="AM7" s="33">
        <f t="shared" ca="1" si="0"/>
        <v>46671</v>
      </c>
      <c r="AN7" s="33">
        <f t="shared" ca="1" si="0"/>
        <v>46672</v>
      </c>
      <c r="AO7" s="33">
        <f t="shared" ca="1" si="0"/>
        <v>46673</v>
      </c>
      <c r="AP7" s="33">
        <f t="shared" ca="1" si="0"/>
        <v>46674</v>
      </c>
      <c r="AQ7" s="34">
        <f t="shared" ca="1" si="0"/>
        <v>46675</v>
      </c>
      <c r="AR7" s="33">
        <f ca="1">AQ7+1</f>
        <v>46676</v>
      </c>
      <c r="AS7" s="33">
        <f ca="1">AR7+1</f>
        <v>46677</v>
      </c>
      <c r="AT7" s="33">
        <f t="shared" ca="1" si="0"/>
        <v>46678</v>
      </c>
      <c r="AU7" s="33">
        <f t="shared" ca="1" si="0"/>
        <v>46679</v>
      </c>
      <c r="AV7" s="33">
        <f t="shared" ca="1" si="0"/>
        <v>46680</v>
      </c>
      <c r="AW7" s="33">
        <f t="shared" ca="1" si="0"/>
        <v>46681</v>
      </c>
      <c r="AX7" s="34">
        <f t="shared" ca="1" si="0"/>
        <v>46682</v>
      </c>
      <c r="AY7" s="33">
        <f ca="1">AX7+1</f>
        <v>46683</v>
      </c>
      <c r="AZ7" s="33">
        <f ca="1">AY7+1</f>
        <v>46684</v>
      </c>
      <c r="BA7" s="33">
        <f t="shared" ref="BA7:BE7" ca="1" si="1">AZ7+1</f>
        <v>46685</v>
      </c>
      <c r="BB7" s="33">
        <f t="shared" ca="1" si="1"/>
        <v>46686</v>
      </c>
      <c r="BC7" s="33">
        <f t="shared" ca="1" si="1"/>
        <v>46687</v>
      </c>
      <c r="BD7" s="33">
        <f t="shared" ca="1" si="1"/>
        <v>46688</v>
      </c>
      <c r="BE7" s="34">
        <f t="shared" ca="1" si="1"/>
        <v>46689</v>
      </c>
      <c r="BF7" s="33">
        <f ca="1">BE7+1</f>
        <v>46690</v>
      </c>
      <c r="BG7" s="33">
        <f ca="1">BF7+1</f>
        <v>46691</v>
      </c>
      <c r="BH7" s="33">
        <f t="shared" ref="BH7:BL7" ca="1" si="2">BG7+1</f>
        <v>46692</v>
      </c>
      <c r="BI7" s="33">
        <f t="shared" ca="1" si="2"/>
        <v>46693</v>
      </c>
      <c r="BJ7" s="33">
        <f t="shared" ca="1" si="2"/>
        <v>46694</v>
      </c>
      <c r="BK7" s="33">
        <f t="shared" ca="1" si="2"/>
        <v>46695</v>
      </c>
      <c r="BL7" s="34">
        <f t="shared" ca="1" si="2"/>
        <v>46696</v>
      </c>
    </row>
    <row r="8" spans="1:65" ht="19.899999999999999" customHeight="1" x14ac:dyDescent="0.25">
      <c r="A8" s="7"/>
      <c r="B8" s="18"/>
      <c r="C8" s="18"/>
      <c r="D8" s="18"/>
      <c r="E8" s="19"/>
      <c r="F8" s="19"/>
      <c r="G8" s="19"/>
      <c r="H8" s="23"/>
      <c r="I8" s="35"/>
      <c r="J8" s="36"/>
      <c r="K8" s="36"/>
      <c r="L8" s="36"/>
      <c r="M8" s="36"/>
      <c r="N8" s="36"/>
      <c r="O8" s="36"/>
      <c r="P8" s="37"/>
      <c r="Q8" s="36"/>
      <c r="R8" s="36"/>
      <c r="S8" s="36"/>
      <c r="T8" s="36"/>
      <c r="U8" s="36"/>
      <c r="V8" s="38"/>
      <c r="W8" s="36"/>
      <c r="X8" s="36"/>
      <c r="Y8" s="36"/>
      <c r="Z8" s="36"/>
      <c r="AA8" s="36"/>
      <c r="AB8" s="36"/>
      <c r="AC8" s="38"/>
      <c r="AD8" s="36"/>
      <c r="AE8" s="36"/>
      <c r="AF8" s="36"/>
      <c r="AG8" s="36"/>
      <c r="AH8" s="36"/>
      <c r="AI8" s="36"/>
      <c r="AJ8" s="38"/>
      <c r="AK8" s="36"/>
      <c r="AL8" s="36"/>
      <c r="AM8" s="36"/>
      <c r="AN8" s="36"/>
      <c r="AO8" s="36"/>
      <c r="AP8" s="36"/>
      <c r="AQ8" s="38"/>
      <c r="AR8" s="36"/>
      <c r="AS8" s="36"/>
      <c r="AT8" s="36"/>
      <c r="AU8" s="36"/>
      <c r="AV8" s="36"/>
      <c r="AW8" s="36"/>
      <c r="AX8" s="38"/>
      <c r="AY8" s="36"/>
      <c r="AZ8" s="36"/>
      <c r="BA8" s="36"/>
      <c r="BB8" s="36"/>
      <c r="BC8" s="36"/>
      <c r="BD8" s="36"/>
      <c r="BE8" s="38"/>
      <c r="BF8" s="36"/>
      <c r="BG8" s="36"/>
      <c r="BH8" s="36"/>
      <c r="BI8" s="36"/>
      <c r="BJ8" s="36"/>
      <c r="BK8" s="36"/>
      <c r="BL8" s="39"/>
    </row>
    <row r="9" spans="1:65" ht="40.15" customHeight="1" x14ac:dyDescent="0.25">
      <c r="A9" s="7" t="s">
        <v>14</v>
      </c>
      <c r="B9" s="52" t="s">
        <v>15</v>
      </c>
      <c r="C9" s="54" t="s">
        <v>16</v>
      </c>
      <c r="D9" s="53" t="s">
        <v>17</v>
      </c>
      <c r="E9" s="55" t="s">
        <v>18</v>
      </c>
      <c r="F9" s="55" t="s">
        <v>19</v>
      </c>
      <c r="G9" s="54" t="s">
        <v>20</v>
      </c>
      <c r="H9" s="59" t="s">
        <v>21</v>
      </c>
      <c r="I9" s="40" t="str">
        <f t="shared" ref="I9:AN9" ca="1" si="3">LEFT(TEXT(I7,"TTT"),1)</f>
        <v>S</v>
      </c>
      <c r="J9" s="40" t="str">
        <f t="shared" ca="1" si="3"/>
        <v>S</v>
      </c>
      <c r="K9" s="40" t="str">
        <f t="shared" ca="1" si="3"/>
        <v>M</v>
      </c>
      <c r="L9" s="40" t="str">
        <f t="shared" ca="1" si="3"/>
        <v>D</v>
      </c>
      <c r="M9" s="40" t="str">
        <f t="shared" ca="1" si="3"/>
        <v>M</v>
      </c>
      <c r="N9" s="40" t="str">
        <f t="shared" ca="1" si="3"/>
        <v>D</v>
      </c>
      <c r="O9" s="40" t="str">
        <f t="shared" ca="1" si="3"/>
        <v>F</v>
      </c>
      <c r="P9" s="40" t="str">
        <f t="shared" ca="1" si="3"/>
        <v>S</v>
      </c>
      <c r="Q9" s="40" t="str">
        <f t="shared" ca="1" si="3"/>
        <v>S</v>
      </c>
      <c r="R9" s="40" t="str">
        <f t="shared" ca="1" si="3"/>
        <v>M</v>
      </c>
      <c r="S9" s="40" t="str">
        <f t="shared" ca="1" si="3"/>
        <v>D</v>
      </c>
      <c r="T9" s="40" t="str">
        <f t="shared" ca="1" si="3"/>
        <v>M</v>
      </c>
      <c r="U9" s="40" t="str">
        <f t="shared" ca="1" si="3"/>
        <v>D</v>
      </c>
      <c r="V9" s="40" t="str">
        <f t="shared" ca="1" si="3"/>
        <v>F</v>
      </c>
      <c r="W9" s="40" t="str">
        <f t="shared" ca="1" si="3"/>
        <v>S</v>
      </c>
      <c r="X9" s="40" t="str">
        <f t="shared" ca="1" si="3"/>
        <v>S</v>
      </c>
      <c r="Y9" s="40" t="str">
        <f t="shared" ca="1" si="3"/>
        <v>M</v>
      </c>
      <c r="Z9" s="40" t="str">
        <f t="shared" ca="1" si="3"/>
        <v>D</v>
      </c>
      <c r="AA9" s="40" t="str">
        <f t="shared" ca="1" si="3"/>
        <v>M</v>
      </c>
      <c r="AB9" s="40" t="str">
        <f t="shared" ca="1" si="3"/>
        <v>D</v>
      </c>
      <c r="AC9" s="40" t="str">
        <f t="shared" ca="1" si="3"/>
        <v>F</v>
      </c>
      <c r="AD9" s="40" t="str">
        <f t="shared" ca="1" si="3"/>
        <v>S</v>
      </c>
      <c r="AE9" s="40" t="str">
        <f t="shared" ca="1" si="3"/>
        <v>S</v>
      </c>
      <c r="AF9" s="40" t="str">
        <f t="shared" ca="1" si="3"/>
        <v>M</v>
      </c>
      <c r="AG9" s="40" t="str">
        <f t="shared" ca="1" si="3"/>
        <v>D</v>
      </c>
      <c r="AH9" s="40" t="str">
        <f t="shared" ca="1" si="3"/>
        <v>M</v>
      </c>
      <c r="AI9" s="40" t="str">
        <f t="shared" ca="1" si="3"/>
        <v>D</v>
      </c>
      <c r="AJ9" s="40" t="str">
        <f t="shared" ca="1" si="3"/>
        <v>F</v>
      </c>
      <c r="AK9" s="40" t="str">
        <f t="shared" ca="1" si="3"/>
        <v>S</v>
      </c>
      <c r="AL9" s="40" t="str">
        <f t="shared" ca="1" si="3"/>
        <v>S</v>
      </c>
      <c r="AM9" s="40" t="str">
        <f t="shared" ca="1" si="3"/>
        <v>M</v>
      </c>
      <c r="AN9" s="40" t="str">
        <f t="shared" ca="1" si="3"/>
        <v>D</v>
      </c>
      <c r="AO9" s="40" t="str">
        <f t="shared" ref="AO9:BL9" ca="1" si="4">LEFT(TEXT(AO7,"TTT"),1)</f>
        <v>M</v>
      </c>
      <c r="AP9" s="40" t="str">
        <f t="shared" ca="1" si="4"/>
        <v>D</v>
      </c>
      <c r="AQ9" s="40" t="str">
        <f t="shared" ca="1" si="4"/>
        <v>F</v>
      </c>
      <c r="AR9" s="40" t="str">
        <f t="shared" ca="1" si="4"/>
        <v>S</v>
      </c>
      <c r="AS9" s="40" t="str">
        <f t="shared" ca="1" si="4"/>
        <v>S</v>
      </c>
      <c r="AT9" s="40" t="str">
        <f t="shared" ca="1" si="4"/>
        <v>M</v>
      </c>
      <c r="AU9" s="40" t="str">
        <f t="shared" ca="1" si="4"/>
        <v>D</v>
      </c>
      <c r="AV9" s="40" t="str">
        <f t="shared" ca="1" si="4"/>
        <v>M</v>
      </c>
      <c r="AW9" s="40" t="str">
        <f t="shared" ca="1" si="4"/>
        <v>D</v>
      </c>
      <c r="AX9" s="40" t="str">
        <f t="shared" ca="1" si="4"/>
        <v>F</v>
      </c>
      <c r="AY9" s="40" t="str">
        <f t="shared" ca="1" si="4"/>
        <v>S</v>
      </c>
      <c r="AZ9" s="40" t="str">
        <f t="shared" ca="1" si="4"/>
        <v>S</v>
      </c>
      <c r="BA9" s="40" t="str">
        <f t="shared" ca="1" si="4"/>
        <v>M</v>
      </c>
      <c r="BB9" s="40" t="str">
        <f t="shared" ca="1" si="4"/>
        <v>D</v>
      </c>
      <c r="BC9" s="40" t="str">
        <f t="shared" ca="1" si="4"/>
        <v>M</v>
      </c>
      <c r="BD9" s="40" t="str">
        <f t="shared" ca="1" si="4"/>
        <v>D</v>
      </c>
      <c r="BE9" s="40" t="str">
        <f t="shared" ca="1" si="4"/>
        <v>F</v>
      </c>
      <c r="BF9" s="40" t="str">
        <f t="shared" ca="1" si="4"/>
        <v>S</v>
      </c>
      <c r="BG9" s="40" t="str">
        <f t="shared" ca="1" si="4"/>
        <v>S</v>
      </c>
      <c r="BH9" s="40" t="str">
        <f t="shared" ca="1" si="4"/>
        <v>M</v>
      </c>
      <c r="BI9" s="40" t="str">
        <f t="shared" ca="1" si="4"/>
        <v>D</v>
      </c>
      <c r="BJ9" s="40" t="str">
        <f t="shared" ca="1" si="4"/>
        <v>M</v>
      </c>
      <c r="BK9" s="40" t="str">
        <f t="shared" ca="1" si="4"/>
        <v>D</v>
      </c>
      <c r="BL9" s="40" t="str">
        <f t="shared" ca="1" si="4"/>
        <v>F</v>
      </c>
    </row>
    <row r="10" spans="1:65" ht="15" hidden="1" customHeight="1" x14ac:dyDescent="0.25">
      <c r="B10" s="12"/>
      <c r="C10" s="10"/>
      <c r="D10" s="9"/>
      <c r="E10" s="10"/>
      <c r="F10" s="11">
        <f>H13-G11</f>
        <v>46646</v>
      </c>
      <c r="G10" s="60"/>
      <c r="H10" s="63">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96" t="s">
        <v>22</v>
      </c>
      <c r="B11" s="65" t="s">
        <v>23</v>
      </c>
      <c r="C11" s="56"/>
      <c r="D11" s="57" t="s">
        <v>24</v>
      </c>
      <c r="E11" s="58"/>
      <c r="F11" s="71">
        <f>INDEX(JP_StartSel,MATCH($E$4,JP_Massnahme,0))</f>
        <v>46641</v>
      </c>
      <c r="G11" s="72">
        <v>2</v>
      </c>
      <c r="H11" s="73">
        <f>F11+G11</f>
        <v>46643</v>
      </c>
      <c r="I11" s="45" t="str">
        <f t="shared" ref="I11:X28" ca="1" si="6">IF(AND($C11="Ziel",$H11=I$7),2,IF(AND($C11="Meilenstein",$H11=I$7),1,""))</f>
        <v/>
      </c>
      <c r="J11" s="45" t="str">
        <f t="shared" ca="1" si="6"/>
        <v/>
      </c>
      <c r="K11" s="45" t="str">
        <f t="shared" ca="1" si="6"/>
        <v/>
      </c>
      <c r="L11" s="45" t="str">
        <f t="shared" ca="1" si="6"/>
        <v/>
      </c>
      <c r="M11" s="45" t="str">
        <f t="shared" ca="1" si="6"/>
        <v/>
      </c>
      <c r="N11" s="45" t="str">
        <f t="shared" ca="1" si="6"/>
        <v/>
      </c>
      <c r="O11" s="45" t="str">
        <f t="shared" ca="1" si="6"/>
        <v/>
      </c>
      <c r="P11" s="45" t="str">
        <f t="shared" ca="1" si="6"/>
        <v/>
      </c>
      <c r="Q11" s="45" t="str">
        <f t="shared" ca="1" si="6"/>
        <v/>
      </c>
      <c r="R11" s="45" t="str">
        <f t="shared" ca="1" si="6"/>
        <v/>
      </c>
      <c r="S11" s="45" t="str">
        <f t="shared" ca="1" si="6"/>
        <v/>
      </c>
      <c r="T11" s="45" t="str">
        <f t="shared" ca="1" si="6"/>
        <v/>
      </c>
      <c r="U11" s="45" t="str">
        <f t="shared" ca="1" si="6"/>
        <v/>
      </c>
      <c r="V11" s="45" t="str">
        <f t="shared" ca="1" si="6"/>
        <v/>
      </c>
      <c r="W11" s="45" t="str">
        <f t="shared" ca="1" si="6"/>
        <v/>
      </c>
      <c r="X11" s="45" t="str">
        <f t="shared" ca="1" si="6"/>
        <v/>
      </c>
      <c r="Y11" s="45" t="str">
        <f t="shared" ref="Y11:BL11" ca="1" si="7">IF(AND($C11="Ziel",$H11=Y$7),2,IF(AND($C11="Meilenstein",$H11=Y$7),1,""))</f>
        <v/>
      </c>
      <c r="Z11" s="45" t="str">
        <f t="shared" ca="1" si="7"/>
        <v/>
      </c>
      <c r="AA11" s="45" t="str">
        <f t="shared" ca="1" si="7"/>
        <v/>
      </c>
      <c r="AB11" s="45" t="str">
        <f t="shared" ca="1" si="7"/>
        <v/>
      </c>
      <c r="AC11" s="45" t="str">
        <f t="shared" ca="1" si="7"/>
        <v/>
      </c>
      <c r="AD11" s="45" t="str">
        <f t="shared" ca="1" si="7"/>
        <v/>
      </c>
      <c r="AE11" s="45" t="str">
        <f t="shared" ca="1" si="7"/>
        <v/>
      </c>
      <c r="AF11" s="45" t="str">
        <f t="shared" ca="1" si="7"/>
        <v/>
      </c>
      <c r="AG11" s="45" t="str">
        <f t="shared" ca="1" si="7"/>
        <v/>
      </c>
      <c r="AH11" s="45" t="str">
        <f t="shared" ca="1" si="7"/>
        <v/>
      </c>
      <c r="AI11" s="45" t="str">
        <f t="shared" ca="1" si="7"/>
        <v/>
      </c>
      <c r="AJ11" s="45" t="str">
        <f t="shared" ca="1" si="7"/>
        <v/>
      </c>
      <c r="AK11" s="45" t="str">
        <f t="shared" ca="1" si="7"/>
        <v/>
      </c>
      <c r="AL11" s="45" t="str">
        <f t="shared" ca="1" si="7"/>
        <v/>
      </c>
      <c r="AM11" s="45" t="str">
        <f t="shared" ca="1" si="7"/>
        <v/>
      </c>
      <c r="AN11" s="45" t="str">
        <f t="shared" ca="1" si="7"/>
        <v/>
      </c>
      <c r="AO11" s="45" t="str">
        <f t="shared" ca="1" si="7"/>
        <v/>
      </c>
      <c r="AP11" s="45" t="str">
        <f t="shared" ca="1" si="7"/>
        <v/>
      </c>
      <c r="AQ11" s="45" t="str">
        <f t="shared" ca="1" si="7"/>
        <v/>
      </c>
      <c r="AR11" s="45" t="str">
        <f t="shared" ca="1" si="7"/>
        <v/>
      </c>
      <c r="AS11" s="45" t="str">
        <f t="shared" ca="1" si="7"/>
        <v/>
      </c>
      <c r="AT11" s="45" t="str">
        <f t="shared" ca="1" si="7"/>
        <v/>
      </c>
      <c r="AU11" s="45" t="str">
        <f t="shared" ca="1" si="7"/>
        <v/>
      </c>
      <c r="AV11" s="45" t="str">
        <f t="shared" ca="1" si="7"/>
        <v/>
      </c>
      <c r="AW11" s="45" t="str">
        <f t="shared" ca="1" si="7"/>
        <v/>
      </c>
      <c r="AX11" s="45" t="str">
        <f t="shared" ca="1" si="7"/>
        <v/>
      </c>
      <c r="AY11" s="45" t="str">
        <f t="shared" ca="1" si="7"/>
        <v/>
      </c>
      <c r="AZ11" s="45" t="str">
        <f t="shared" ca="1" si="7"/>
        <v/>
      </c>
      <c r="BA11" s="45" t="str">
        <f t="shared" ca="1" si="7"/>
        <v/>
      </c>
      <c r="BB11" s="45" t="str">
        <f t="shared" ca="1" si="7"/>
        <v/>
      </c>
      <c r="BC11" s="45" t="str">
        <f t="shared" ca="1" si="7"/>
        <v/>
      </c>
      <c r="BD11" s="45" t="str">
        <f t="shared" ca="1" si="7"/>
        <v/>
      </c>
      <c r="BE11" s="45" t="str">
        <f t="shared" ca="1" si="7"/>
        <v/>
      </c>
      <c r="BF11" s="45" t="str">
        <f t="shared" ca="1" si="7"/>
        <v/>
      </c>
      <c r="BG11" s="45" t="str">
        <f t="shared" ca="1" si="7"/>
        <v/>
      </c>
      <c r="BH11" s="45" t="str">
        <f t="shared" ca="1" si="7"/>
        <v/>
      </c>
      <c r="BI11" s="45" t="str">
        <f t="shared" ca="1" si="7"/>
        <v/>
      </c>
      <c r="BJ11" s="45" t="str">
        <f t="shared" ca="1" si="7"/>
        <v/>
      </c>
      <c r="BK11" s="45" t="str">
        <f t="shared" ca="1" si="7"/>
        <v/>
      </c>
      <c r="BL11" s="45" t="str">
        <f t="shared" ca="1" si="7"/>
        <v/>
      </c>
      <c r="BM11" s="45"/>
    </row>
    <row r="12" spans="1:65" s="1" customFormat="1" ht="18" customHeight="1" x14ac:dyDescent="0.25">
      <c r="A12" s="96"/>
      <c r="B12" s="65" t="s">
        <v>25</v>
      </c>
      <c r="C12" s="56"/>
      <c r="D12" s="57"/>
      <c r="E12" s="58"/>
      <c r="F12" s="71">
        <f>Plan_Weihnachten[[#This Row],[Ende]]-Plan_Weihnachten[[#This Row],[Dauer
in Tage]]</f>
        <v>46686</v>
      </c>
      <c r="G12" s="72">
        <v>14</v>
      </c>
      <c r="H12" s="73">
        <f>H15</f>
        <v>46700</v>
      </c>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K12" s="45"/>
      <c r="BL12" s="45"/>
      <c r="BM12" s="45"/>
    </row>
    <row r="13" spans="1:65" s="1" customFormat="1" ht="18" customHeight="1" x14ac:dyDescent="0.25">
      <c r="A13" s="96"/>
      <c r="B13" s="65" t="s">
        <v>26</v>
      </c>
      <c r="C13" s="56"/>
      <c r="D13" s="57"/>
      <c r="E13" s="58"/>
      <c r="F13" s="71">
        <f>H11</f>
        <v>46643</v>
      </c>
      <c r="G13" s="72">
        <v>5</v>
      </c>
      <c r="H13" s="73">
        <f>F13+G13</f>
        <v>46648</v>
      </c>
      <c r="I13" s="45" t="str">
        <f t="shared" ca="1" si="6"/>
        <v/>
      </c>
      <c r="J13" s="45" t="str">
        <f t="shared" ca="1" si="6"/>
        <v/>
      </c>
      <c r="K13" s="45" t="str">
        <f t="shared" ca="1" si="6"/>
        <v/>
      </c>
      <c r="L13" s="45" t="str">
        <f t="shared" ca="1" si="6"/>
        <v/>
      </c>
      <c r="M13" s="45" t="str">
        <f t="shared" ca="1" si="6"/>
        <v/>
      </c>
      <c r="N13" s="45" t="str">
        <f t="shared" ca="1" si="6"/>
        <v/>
      </c>
      <c r="O13" s="45" t="str">
        <f t="shared" ca="1" si="6"/>
        <v/>
      </c>
      <c r="P13" s="45" t="str">
        <f t="shared" ca="1" si="6"/>
        <v/>
      </c>
      <c r="Q13" s="45" t="str">
        <f t="shared" ca="1" si="6"/>
        <v/>
      </c>
      <c r="R13" s="45" t="str">
        <f t="shared" ca="1" si="6"/>
        <v/>
      </c>
      <c r="S13" s="45" t="str">
        <f t="shared" ca="1" si="6"/>
        <v/>
      </c>
      <c r="T13" s="45" t="str">
        <f t="shared" ca="1" si="6"/>
        <v/>
      </c>
      <c r="U13" s="45" t="str">
        <f t="shared" ca="1" si="6"/>
        <v/>
      </c>
      <c r="V13" s="45" t="str">
        <f t="shared" ca="1" si="6"/>
        <v/>
      </c>
      <c r="W13" s="45" t="str">
        <f t="shared" ref="W13:W19" ca="1" si="8">IF(AND($C13="Ziel",$H13=W$7),2,IF(AND($C13="Meilenstein",$H13=W$7),1,""))</f>
        <v/>
      </c>
      <c r="X13" s="45" t="str">
        <f t="shared" ref="X13:BL18" ca="1" si="9">IF(AND($C13="Ziel",$H13=X$7),2,IF(AND($C13="Meilenstein",$H13=X$7),1,""))</f>
        <v/>
      </c>
      <c r="Y13" s="45" t="str">
        <f t="shared" ca="1" si="9"/>
        <v/>
      </c>
      <c r="Z13" s="45" t="str">
        <f t="shared" ca="1" si="9"/>
        <v/>
      </c>
      <c r="AA13" s="45" t="str">
        <f t="shared" ca="1" si="9"/>
        <v/>
      </c>
      <c r="AB13" s="45" t="str">
        <f t="shared" ca="1" si="9"/>
        <v/>
      </c>
      <c r="AC13" s="45" t="str">
        <f t="shared" ca="1" si="9"/>
        <v/>
      </c>
      <c r="AD13" s="45" t="str">
        <f t="shared" ca="1" si="9"/>
        <v/>
      </c>
      <c r="AE13" s="45" t="str">
        <f t="shared" ca="1" si="9"/>
        <v/>
      </c>
      <c r="AF13" s="45" t="str">
        <f t="shared" ca="1" si="9"/>
        <v/>
      </c>
      <c r="AG13" s="45" t="str">
        <f t="shared" ca="1" si="9"/>
        <v/>
      </c>
      <c r="AH13" s="45" t="str">
        <f t="shared" ca="1" si="9"/>
        <v/>
      </c>
      <c r="AI13" s="45" t="str">
        <f t="shared" ca="1" si="9"/>
        <v/>
      </c>
      <c r="AJ13" s="45" t="str">
        <f t="shared" ca="1" si="9"/>
        <v/>
      </c>
      <c r="AK13" s="45" t="str">
        <f t="shared" ca="1" si="9"/>
        <v/>
      </c>
      <c r="AL13" s="45" t="str">
        <f t="shared" ca="1" si="9"/>
        <v/>
      </c>
      <c r="AM13" s="45" t="str">
        <f t="shared" ca="1" si="9"/>
        <v/>
      </c>
      <c r="AN13" s="45" t="str">
        <f t="shared" ca="1" si="9"/>
        <v/>
      </c>
      <c r="AO13" s="45" t="str">
        <f t="shared" ca="1" si="9"/>
        <v/>
      </c>
      <c r="AP13" s="45" t="str">
        <f t="shared" ca="1" si="9"/>
        <v/>
      </c>
      <c r="AQ13" s="45" t="str">
        <f t="shared" ca="1" si="9"/>
        <v/>
      </c>
      <c r="AR13" s="45" t="str">
        <f t="shared" ca="1" si="9"/>
        <v/>
      </c>
      <c r="AS13" s="45" t="str">
        <f t="shared" ca="1" si="9"/>
        <v/>
      </c>
      <c r="AT13" s="45" t="str">
        <f t="shared" ca="1" si="9"/>
        <v/>
      </c>
      <c r="AU13" s="45" t="str">
        <f t="shared" ca="1" si="9"/>
        <v/>
      </c>
      <c r="AV13" s="45" t="str">
        <f t="shared" ca="1" si="9"/>
        <v/>
      </c>
      <c r="AW13" s="45" t="str">
        <f t="shared" ca="1" si="9"/>
        <v/>
      </c>
      <c r="AX13" s="45" t="str">
        <f t="shared" ca="1" si="9"/>
        <v/>
      </c>
      <c r="AY13" s="45" t="str">
        <f t="shared" ca="1" si="9"/>
        <v/>
      </c>
      <c r="AZ13" s="45" t="str">
        <f t="shared" ca="1" si="9"/>
        <v/>
      </c>
      <c r="BA13" s="45" t="str">
        <f t="shared" ca="1" si="9"/>
        <v/>
      </c>
      <c r="BB13" s="45" t="str">
        <f t="shared" ca="1" si="9"/>
        <v/>
      </c>
      <c r="BC13" s="45" t="str">
        <f t="shared" ca="1" si="9"/>
        <v/>
      </c>
      <c r="BD13" s="45" t="str">
        <f t="shared" ca="1" si="9"/>
        <v/>
      </c>
      <c r="BE13" s="45" t="str">
        <f t="shared" ca="1" si="9"/>
        <v/>
      </c>
      <c r="BF13" s="45" t="str">
        <f t="shared" ca="1" si="9"/>
        <v/>
      </c>
      <c r="BG13" s="45" t="str">
        <f t="shared" ca="1" si="9"/>
        <v/>
      </c>
      <c r="BH13" s="45" t="str">
        <f t="shared" ca="1" si="9"/>
        <v/>
      </c>
      <c r="BI13" s="45" t="str">
        <f t="shared" ca="1" si="9"/>
        <v/>
      </c>
      <c r="BJ13" s="45" t="str">
        <f t="shared" ca="1" si="9"/>
        <v/>
      </c>
      <c r="BK13" s="45" t="str">
        <f t="shared" ca="1" si="9"/>
        <v/>
      </c>
      <c r="BL13" s="45" t="str">
        <f t="shared" ca="1" si="9"/>
        <v/>
      </c>
      <c r="BM13" s="45"/>
    </row>
    <row r="14" spans="1:65" s="1" customFormat="1" ht="18" customHeight="1" x14ac:dyDescent="0.25">
      <c r="A14" s="96"/>
      <c r="B14" s="65" t="s">
        <v>27</v>
      </c>
      <c r="C14" s="56"/>
      <c r="D14" s="57" t="s">
        <v>28</v>
      </c>
      <c r="E14" s="58"/>
      <c r="F14" s="71">
        <f>H13</f>
        <v>46648</v>
      </c>
      <c r="G14" s="72">
        <f>H14-F14</f>
        <v>52</v>
      </c>
      <c r="H14" s="73">
        <f>H23</f>
        <v>46700</v>
      </c>
      <c r="I14" s="45" t="str">
        <f t="shared" ca="1" si="6"/>
        <v/>
      </c>
      <c r="J14" s="45" t="str">
        <f t="shared" ca="1" si="6"/>
        <v/>
      </c>
      <c r="K14" s="45" t="str">
        <f t="shared" ca="1" si="6"/>
        <v/>
      </c>
      <c r="L14" s="45" t="str">
        <f t="shared" ca="1" si="6"/>
        <v/>
      </c>
      <c r="M14" s="45" t="str">
        <f t="shared" ca="1" si="6"/>
        <v/>
      </c>
      <c r="N14" s="45" t="str">
        <f t="shared" ca="1" si="6"/>
        <v/>
      </c>
      <c r="O14" s="45" t="str">
        <f t="shared" ca="1" si="6"/>
        <v/>
      </c>
      <c r="P14" s="45" t="str">
        <f t="shared" ca="1" si="6"/>
        <v/>
      </c>
      <c r="Q14" s="45" t="str">
        <f t="shared" ca="1" si="6"/>
        <v/>
      </c>
      <c r="R14" s="45" t="str">
        <f t="shared" ca="1" si="6"/>
        <v/>
      </c>
      <c r="S14" s="45" t="str">
        <f t="shared" ca="1" si="6"/>
        <v/>
      </c>
      <c r="T14" s="45" t="str">
        <f t="shared" ca="1" si="6"/>
        <v/>
      </c>
      <c r="U14" s="45" t="str">
        <f t="shared" ca="1" si="6"/>
        <v/>
      </c>
      <c r="V14" s="45" t="str">
        <f t="shared" ca="1" si="6"/>
        <v/>
      </c>
      <c r="W14" s="45" t="str">
        <f t="shared" ca="1" si="8"/>
        <v/>
      </c>
      <c r="X14" s="45" t="str">
        <f t="shared" ca="1" si="9"/>
        <v/>
      </c>
      <c r="Y14" s="45" t="str">
        <f t="shared" ca="1" si="9"/>
        <v/>
      </c>
      <c r="Z14" s="45" t="str">
        <f t="shared" ca="1" si="9"/>
        <v/>
      </c>
      <c r="AA14" s="45" t="str">
        <f t="shared" ca="1" si="9"/>
        <v/>
      </c>
      <c r="AB14" s="45" t="str">
        <f t="shared" ca="1" si="9"/>
        <v/>
      </c>
      <c r="AC14" s="45" t="str">
        <f t="shared" ca="1" si="9"/>
        <v/>
      </c>
      <c r="AD14" s="45" t="str">
        <f t="shared" ca="1" si="9"/>
        <v/>
      </c>
      <c r="AE14" s="45" t="str">
        <f t="shared" ca="1" si="9"/>
        <v/>
      </c>
      <c r="AF14" s="45" t="str">
        <f t="shared" ca="1" si="9"/>
        <v/>
      </c>
      <c r="AG14" s="45" t="str">
        <f t="shared" ca="1" si="9"/>
        <v/>
      </c>
      <c r="AH14" s="45" t="str">
        <f t="shared" ca="1" si="9"/>
        <v/>
      </c>
      <c r="AI14" s="45" t="str">
        <f t="shared" ca="1" si="9"/>
        <v/>
      </c>
      <c r="AJ14" s="45" t="str">
        <f t="shared" ca="1" si="9"/>
        <v/>
      </c>
      <c r="AK14" s="45" t="str">
        <f t="shared" ca="1" si="9"/>
        <v/>
      </c>
      <c r="AL14" s="45" t="str">
        <f t="shared" ca="1" si="9"/>
        <v/>
      </c>
      <c r="AM14" s="45" t="str">
        <f t="shared" ca="1" si="9"/>
        <v/>
      </c>
      <c r="AN14" s="45" t="str">
        <f t="shared" ca="1" si="9"/>
        <v/>
      </c>
      <c r="AO14" s="45" t="str">
        <f t="shared" ca="1" si="9"/>
        <v/>
      </c>
      <c r="AP14" s="45" t="str">
        <f t="shared" ca="1" si="9"/>
        <v/>
      </c>
      <c r="AQ14" s="45" t="str">
        <f t="shared" ca="1" si="9"/>
        <v/>
      </c>
      <c r="AR14" s="45" t="str">
        <f t="shared" ca="1" si="9"/>
        <v/>
      </c>
      <c r="AS14" s="45" t="str">
        <f t="shared" ca="1" si="9"/>
        <v/>
      </c>
      <c r="AT14" s="45" t="str">
        <f t="shared" ca="1" si="9"/>
        <v/>
      </c>
      <c r="AU14" s="45" t="str">
        <f t="shared" ca="1" si="9"/>
        <v/>
      </c>
      <c r="AV14" s="45" t="str">
        <f t="shared" ca="1" si="9"/>
        <v/>
      </c>
      <c r="AW14" s="45" t="str">
        <f t="shared" ca="1" si="9"/>
        <v/>
      </c>
      <c r="AX14" s="45" t="str">
        <f t="shared" ca="1" si="9"/>
        <v/>
      </c>
      <c r="AY14" s="45" t="str">
        <f t="shared" ca="1" si="9"/>
        <v/>
      </c>
      <c r="AZ14" s="45" t="str">
        <f t="shared" ca="1" si="9"/>
        <v/>
      </c>
      <c r="BA14" s="45" t="str">
        <f t="shared" ca="1" si="9"/>
        <v/>
      </c>
      <c r="BB14" s="45" t="str">
        <f t="shared" ca="1" si="9"/>
        <v/>
      </c>
      <c r="BC14" s="45" t="str">
        <f t="shared" ca="1" si="9"/>
        <v/>
      </c>
      <c r="BD14" s="45" t="str">
        <f t="shared" ca="1" si="9"/>
        <v/>
      </c>
      <c r="BE14" s="45" t="str">
        <f t="shared" ca="1" si="9"/>
        <v/>
      </c>
      <c r="BF14" s="45" t="str">
        <f t="shared" ca="1" si="9"/>
        <v/>
      </c>
      <c r="BG14" s="45" t="str">
        <f t="shared" ca="1" si="9"/>
        <v/>
      </c>
      <c r="BH14" s="45" t="str">
        <f t="shared" ca="1" si="9"/>
        <v/>
      </c>
      <c r="BI14" s="45" t="str">
        <f t="shared" ca="1" si="9"/>
        <v/>
      </c>
      <c r="BJ14" s="45" t="str">
        <f t="shared" ca="1" si="9"/>
        <v/>
      </c>
      <c r="BK14" s="45" t="str">
        <f t="shared" ca="1" si="9"/>
        <v/>
      </c>
      <c r="BL14" s="45" t="str">
        <f t="shared" ca="1" si="9"/>
        <v/>
      </c>
      <c r="BM14" s="45"/>
    </row>
    <row r="15" spans="1:65" s="1" customFormat="1" ht="18" customHeight="1" x14ac:dyDescent="0.25">
      <c r="A15" s="96"/>
      <c r="B15" s="78" t="s">
        <v>29</v>
      </c>
      <c r="C15" s="90" t="s">
        <v>10</v>
      </c>
      <c r="D15" s="79"/>
      <c r="E15" s="80"/>
      <c r="F15" s="81"/>
      <c r="G15" s="82"/>
      <c r="H15" s="83">
        <f>H24</f>
        <v>46700</v>
      </c>
      <c r="I15" s="84" t="str">
        <f t="shared" ca="1" si="6"/>
        <v/>
      </c>
      <c r="J15" s="84" t="str">
        <f t="shared" ca="1" si="6"/>
        <v/>
      </c>
      <c r="K15" s="84" t="str">
        <f t="shared" ca="1" si="6"/>
        <v/>
      </c>
      <c r="L15" s="84" t="str">
        <f t="shared" ca="1" si="6"/>
        <v/>
      </c>
      <c r="M15" s="84" t="str">
        <f t="shared" ca="1" si="6"/>
        <v/>
      </c>
      <c r="N15" s="84" t="str">
        <f t="shared" ca="1" si="6"/>
        <v/>
      </c>
      <c r="O15" s="84" t="str">
        <f t="shared" ca="1" si="6"/>
        <v/>
      </c>
      <c r="P15" s="84" t="str">
        <f t="shared" ca="1" si="6"/>
        <v/>
      </c>
      <c r="Q15" s="84" t="str">
        <f t="shared" ca="1" si="6"/>
        <v/>
      </c>
      <c r="R15" s="84" t="str">
        <f t="shared" ca="1" si="6"/>
        <v/>
      </c>
      <c r="S15" s="84" t="str">
        <f t="shared" ca="1" si="6"/>
        <v/>
      </c>
      <c r="T15" s="84" t="str">
        <f t="shared" ca="1" si="6"/>
        <v/>
      </c>
      <c r="U15" s="84" t="str">
        <f t="shared" ca="1" si="6"/>
        <v/>
      </c>
      <c r="V15" s="84" t="str">
        <f t="shared" ca="1" si="6"/>
        <v/>
      </c>
      <c r="W15" s="84" t="str">
        <f t="shared" ca="1" si="8"/>
        <v/>
      </c>
      <c r="X15" s="84" t="str">
        <f t="shared" ca="1" si="9"/>
        <v/>
      </c>
      <c r="Y15" s="84" t="str">
        <f t="shared" ca="1" si="9"/>
        <v/>
      </c>
      <c r="Z15" s="84" t="str">
        <f t="shared" ca="1" si="9"/>
        <v/>
      </c>
      <c r="AA15" s="84" t="str">
        <f t="shared" ca="1" si="9"/>
        <v/>
      </c>
      <c r="AB15" s="84" t="str">
        <f t="shared" ca="1" si="9"/>
        <v/>
      </c>
      <c r="AC15" s="84" t="str">
        <f t="shared" ca="1" si="9"/>
        <v/>
      </c>
      <c r="AD15" s="84" t="str">
        <f t="shared" ca="1" si="9"/>
        <v/>
      </c>
      <c r="AE15" s="84" t="str">
        <f t="shared" ca="1" si="9"/>
        <v/>
      </c>
      <c r="AF15" s="84" t="str">
        <f t="shared" ca="1" si="9"/>
        <v/>
      </c>
      <c r="AG15" s="84" t="str">
        <f t="shared" ca="1" si="9"/>
        <v/>
      </c>
      <c r="AH15" s="84" t="str">
        <f t="shared" ca="1" si="9"/>
        <v/>
      </c>
      <c r="AI15" s="84" t="str">
        <f t="shared" ca="1" si="9"/>
        <v/>
      </c>
      <c r="AJ15" s="84" t="str">
        <f t="shared" ca="1" si="9"/>
        <v/>
      </c>
      <c r="AK15" s="84" t="str">
        <f t="shared" ca="1" si="9"/>
        <v/>
      </c>
      <c r="AL15" s="84" t="str">
        <f t="shared" ca="1" si="9"/>
        <v/>
      </c>
      <c r="AM15" s="84" t="str">
        <f t="shared" ca="1" si="9"/>
        <v/>
      </c>
      <c r="AN15" s="84" t="str">
        <f t="shared" ca="1" si="9"/>
        <v/>
      </c>
      <c r="AO15" s="84" t="str">
        <f t="shared" ca="1" si="9"/>
        <v/>
      </c>
      <c r="AP15" s="84" t="str">
        <f t="shared" ca="1" si="9"/>
        <v/>
      </c>
      <c r="AQ15" s="84" t="str">
        <f t="shared" ca="1" si="9"/>
        <v/>
      </c>
      <c r="AR15" s="84" t="str">
        <f t="shared" ca="1" si="9"/>
        <v/>
      </c>
      <c r="AS15" s="84" t="str">
        <f t="shared" ca="1" si="9"/>
        <v/>
      </c>
      <c r="AT15" s="84" t="str">
        <f t="shared" ca="1" si="9"/>
        <v/>
      </c>
      <c r="AU15" s="84" t="str">
        <f t="shared" ca="1" si="9"/>
        <v/>
      </c>
      <c r="AV15" s="84" t="str">
        <f t="shared" ca="1" si="9"/>
        <v/>
      </c>
      <c r="AW15" s="84" t="str">
        <f t="shared" ca="1" si="9"/>
        <v/>
      </c>
      <c r="AX15" s="84" t="str">
        <f t="shared" ca="1" si="9"/>
        <v/>
      </c>
      <c r="AY15" s="84" t="str">
        <f t="shared" ca="1" si="9"/>
        <v/>
      </c>
      <c r="AZ15" s="84" t="str">
        <f t="shared" ca="1" si="9"/>
        <v/>
      </c>
      <c r="BA15" s="84" t="str">
        <f t="shared" ca="1" si="9"/>
        <v/>
      </c>
      <c r="BB15" s="84" t="str">
        <f t="shared" ca="1" si="9"/>
        <v/>
      </c>
      <c r="BC15" s="84" t="str">
        <f t="shared" ca="1" si="9"/>
        <v/>
      </c>
      <c r="BD15" s="84" t="str">
        <f t="shared" ca="1" si="9"/>
        <v/>
      </c>
      <c r="BE15" s="84" t="str">
        <f t="shared" ca="1" si="9"/>
        <v/>
      </c>
      <c r="BF15" s="84" t="str">
        <f t="shared" ca="1" si="9"/>
        <v/>
      </c>
      <c r="BG15" s="84" t="str">
        <f t="shared" ca="1" si="9"/>
        <v/>
      </c>
      <c r="BH15" s="84" t="str">
        <f t="shared" ca="1" si="9"/>
        <v/>
      </c>
      <c r="BI15" s="84" t="str">
        <f t="shared" ca="1" si="9"/>
        <v/>
      </c>
      <c r="BJ15" s="84" t="str">
        <f t="shared" ca="1" si="9"/>
        <v/>
      </c>
      <c r="BK15" s="84" t="str">
        <f t="shared" ca="1" si="9"/>
        <v/>
      </c>
      <c r="BL15" s="84" t="str">
        <f t="shared" ca="1" si="9"/>
        <v/>
      </c>
      <c r="BM15" s="84"/>
    </row>
    <row r="16" spans="1:65" s="1" customFormat="1" ht="18" customHeight="1" x14ac:dyDescent="0.25">
      <c r="A16" s="102" t="s">
        <v>30</v>
      </c>
      <c r="B16" s="66" t="s">
        <v>31</v>
      </c>
      <c r="C16" s="56"/>
      <c r="D16" s="64"/>
      <c r="E16" s="58"/>
      <c r="F16" s="71"/>
      <c r="G16" s="72"/>
      <c r="H16" s="73"/>
      <c r="I16" s="69" t="str">
        <f t="shared" ca="1" si="6"/>
        <v/>
      </c>
      <c r="J16" s="69" t="str">
        <f t="shared" ca="1" si="6"/>
        <v/>
      </c>
      <c r="K16" s="69" t="str">
        <f t="shared" ca="1" si="6"/>
        <v/>
      </c>
      <c r="L16" s="69" t="str">
        <f t="shared" ca="1" si="6"/>
        <v/>
      </c>
      <c r="M16" s="69" t="str">
        <f t="shared" ca="1" si="6"/>
        <v/>
      </c>
      <c r="N16" s="69" t="str">
        <f t="shared" ca="1" si="6"/>
        <v/>
      </c>
      <c r="O16" s="69" t="str">
        <f t="shared" ca="1" si="6"/>
        <v/>
      </c>
      <c r="P16" s="69" t="str">
        <f t="shared" ca="1" si="6"/>
        <v/>
      </c>
      <c r="Q16" s="69" t="str">
        <f t="shared" ca="1" si="6"/>
        <v/>
      </c>
      <c r="R16" s="69" t="str">
        <f t="shared" ca="1" si="6"/>
        <v/>
      </c>
      <c r="S16" s="69" t="str">
        <f t="shared" ca="1" si="6"/>
        <v/>
      </c>
      <c r="T16" s="69" t="str">
        <f t="shared" ca="1" si="6"/>
        <v/>
      </c>
      <c r="U16" s="69" t="str">
        <f t="shared" ca="1" si="6"/>
        <v/>
      </c>
      <c r="V16" s="69" t="str">
        <f t="shared" ca="1" si="6"/>
        <v/>
      </c>
      <c r="W16" s="69" t="str">
        <f t="shared" ca="1" si="8"/>
        <v/>
      </c>
      <c r="X16" s="69" t="str">
        <f t="shared" ca="1" si="9"/>
        <v/>
      </c>
      <c r="Y16" s="69" t="str">
        <f t="shared" ca="1" si="9"/>
        <v/>
      </c>
      <c r="Z16" s="69" t="str">
        <f t="shared" ca="1" si="9"/>
        <v/>
      </c>
      <c r="AA16" s="69" t="str">
        <f t="shared" ca="1" si="9"/>
        <v/>
      </c>
      <c r="AB16" s="69" t="str">
        <f t="shared" ca="1" si="9"/>
        <v/>
      </c>
      <c r="AC16" s="69" t="str">
        <f t="shared" ca="1" si="9"/>
        <v/>
      </c>
      <c r="AD16" s="69" t="str">
        <f t="shared" ca="1" si="9"/>
        <v/>
      </c>
      <c r="AE16" s="69" t="str">
        <f t="shared" ca="1" si="9"/>
        <v/>
      </c>
      <c r="AF16" s="69" t="str">
        <f t="shared" ca="1" si="9"/>
        <v/>
      </c>
      <c r="AG16" s="69" t="str">
        <f t="shared" ca="1" si="9"/>
        <v/>
      </c>
      <c r="AH16" s="69" t="str">
        <f t="shared" ca="1" si="9"/>
        <v/>
      </c>
      <c r="AI16" s="69" t="str">
        <f t="shared" ca="1" si="9"/>
        <v/>
      </c>
      <c r="AJ16" s="69" t="str">
        <f t="shared" ca="1" si="9"/>
        <v/>
      </c>
      <c r="AK16" s="69" t="str">
        <f t="shared" ca="1" si="9"/>
        <v/>
      </c>
      <c r="AL16" s="69" t="str">
        <f t="shared" ca="1" si="9"/>
        <v/>
      </c>
      <c r="AM16" s="69" t="str">
        <f t="shared" ca="1" si="9"/>
        <v/>
      </c>
      <c r="AN16" s="69" t="str">
        <f t="shared" ca="1" si="9"/>
        <v/>
      </c>
      <c r="AO16" s="69" t="str">
        <f t="shared" ca="1" si="9"/>
        <v/>
      </c>
      <c r="AP16" s="69" t="str">
        <f t="shared" ca="1" si="9"/>
        <v/>
      </c>
      <c r="AQ16" s="69" t="str">
        <f t="shared" ca="1" si="9"/>
        <v/>
      </c>
      <c r="AR16" s="69" t="str">
        <f t="shared" ca="1" si="9"/>
        <v/>
      </c>
      <c r="AS16" s="69" t="str">
        <f t="shared" ca="1" si="9"/>
        <v/>
      </c>
      <c r="AT16" s="69" t="str">
        <f t="shared" ca="1" si="9"/>
        <v/>
      </c>
      <c r="AU16" s="69" t="str">
        <f t="shared" ca="1" si="9"/>
        <v/>
      </c>
      <c r="AV16" s="69" t="str">
        <f t="shared" ca="1" si="9"/>
        <v/>
      </c>
      <c r="AW16" s="69" t="str">
        <f t="shared" ca="1" si="9"/>
        <v/>
      </c>
      <c r="AX16" s="69" t="str">
        <f t="shared" ca="1" si="9"/>
        <v/>
      </c>
      <c r="AY16" s="69" t="str">
        <f t="shared" ca="1" si="9"/>
        <v/>
      </c>
      <c r="AZ16" s="69" t="str">
        <f t="shared" ca="1" si="9"/>
        <v/>
      </c>
      <c r="BA16" s="69" t="str">
        <f t="shared" ca="1" si="9"/>
        <v/>
      </c>
      <c r="BB16" s="69" t="str">
        <f t="shared" ca="1" si="9"/>
        <v/>
      </c>
      <c r="BC16" s="69" t="str">
        <f t="shared" ca="1" si="9"/>
        <v/>
      </c>
      <c r="BD16" s="69" t="str">
        <f t="shared" ca="1" si="9"/>
        <v/>
      </c>
      <c r="BE16" s="69" t="str">
        <f t="shared" ca="1" si="9"/>
        <v/>
      </c>
      <c r="BF16" s="69" t="str">
        <f t="shared" ca="1" si="9"/>
        <v/>
      </c>
      <c r="BG16" s="69" t="str">
        <f t="shared" ca="1" si="9"/>
        <v/>
      </c>
      <c r="BH16" s="69" t="str">
        <f t="shared" ca="1" si="9"/>
        <v/>
      </c>
      <c r="BI16" s="69" t="str">
        <f t="shared" ca="1" si="9"/>
        <v/>
      </c>
      <c r="BJ16" s="69" t="str">
        <f t="shared" ca="1" si="9"/>
        <v/>
      </c>
      <c r="BK16" s="69" t="str">
        <f t="shared" ca="1" si="9"/>
        <v/>
      </c>
      <c r="BL16" s="69" t="str">
        <f t="shared" ca="1" si="9"/>
        <v/>
      </c>
      <c r="BM16" s="69"/>
    </row>
    <row r="17" spans="1:65" s="1" customFormat="1" ht="18" customHeight="1" x14ac:dyDescent="0.25">
      <c r="A17" s="102"/>
      <c r="B17" s="65" t="s">
        <v>32</v>
      </c>
      <c r="C17" s="56"/>
      <c r="D17" s="64"/>
      <c r="E17" s="58"/>
      <c r="F17" s="71">
        <f>INDEX(JP_StartInhalt,MATCH($E$4,JP_Massnahme,0))</f>
        <v>46659</v>
      </c>
      <c r="G17" s="72">
        <f>H17-F17</f>
        <v>1</v>
      </c>
      <c r="H17" s="73">
        <f>F18</f>
        <v>46660</v>
      </c>
      <c r="I17" s="45" t="str">
        <f t="shared" ca="1" si="6"/>
        <v/>
      </c>
      <c r="J17" s="45" t="str">
        <f t="shared" ca="1" si="6"/>
        <v/>
      </c>
      <c r="K17" s="45" t="str">
        <f t="shared" ca="1" si="6"/>
        <v/>
      </c>
      <c r="L17" s="45" t="str">
        <f t="shared" ca="1" si="6"/>
        <v/>
      </c>
      <c r="M17" s="45" t="str">
        <f t="shared" ca="1" si="6"/>
        <v/>
      </c>
      <c r="N17" s="45" t="str">
        <f t="shared" ca="1" si="6"/>
        <v/>
      </c>
      <c r="O17" s="45" t="str">
        <f t="shared" ca="1" si="6"/>
        <v/>
      </c>
      <c r="P17" s="45" t="str">
        <f t="shared" ca="1" si="6"/>
        <v/>
      </c>
      <c r="Q17" s="45" t="str">
        <f t="shared" ca="1" si="6"/>
        <v/>
      </c>
      <c r="R17" s="45" t="str">
        <f t="shared" ca="1" si="6"/>
        <v/>
      </c>
      <c r="S17" s="45" t="str">
        <f t="shared" ca="1" si="6"/>
        <v/>
      </c>
      <c r="T17" s="45" t="str">
        <f t="shared" ca="1" si="6"/>
        <v/>
      </c>
      <c r="U17" s="45" t="str">
        <f t="shared" ca="1" si="6"/>
        <v/>
      </c>
      <c r="V17" s="45" t="str">
        <f t="shared" ca="1" si="6"/>
        <v/>
      </c>
      <c r="W17" s="45" t="str">
        <f t="shared" ca="1" si="8"/>
        <v/>
      </c>
      <c r="X17" s="45" t="str">
        <f t="shared" ca="1" si="9"/>
        <v/>
      </c>
      <c r="Y17" s="45" t="str">
        <f t="shared" ca="1" si="9"/>
        <v/>
      </c>
      <c r="Z17" s="45" t="str">
        <f t="shared" ca="1" si="9"/>
        <v/>
      </c>
      <c r="AA17" s="45" t="str">
        <f t="shared" ca="1" si="9"/>
        <v/>
      </c>
      <c r="AB17" s="45" t="str">
        <f t="shared" ca="1" si="9"/>
        <v/>
      </c>
      <c r="AC17" s="45" t="str">
        <f t="shared" ca="1" si="9"/>
        <v/>
      </c>
      <c r="AD17" s="45" t="str">
        <f t="shared" ca="1" si="9"/>
        <v/>
      </c>
      <c r="AE17" s="45" t="str">
        <f t="shared" ca="1" si="9"/>
        <v/>
      </c>
      <c r="AF17" s="45" t="str">
        <f t="shared" ca="1" si="9"/>
        <v/>
      </c>
      <c r="AG17" s="45" t="str">
        <f t="shared" ca="1" si="9"/>
        <v/>
      </c>
      <c r="AH17" s="45" t="str">
        <f t="shared" ca="1" si="9"/>
        <v/>
      </c>
      <c r="AI17" s="45" t="str">
        <f t="shared" ca="1" si="9"/>
        <v/>
      </c>
      <c r="AJ17" s="45" t="str">
        <f t="shared" ca="1" si="9"/>
        <v/>
      </c>
      <c r="AK17" s="45" t="str">
        <f t="shared" ca="1" si="9"/>
        <v/>
      </c>
      <c r="AL17" s="45" t="str">
        <f t="shared" ca="1" si="9"/>
        <v/>
      </c>
      <c r="AM17" s="45" t="str">
        <f t="shared" ca="1" si="9"/>
        <v/>
      </c>
      <c r="AN17" s="45" t="str">
        <f t="shared" ca="1" si="9"/>
        <v/>
      </c>
      <c r="AO17" s="45" t="str">
        <f t="shared" ca="1" si="9"/>
        <v/>
      </c>
      <c r="AP17" s="45" t="str">
        <f t="shared" ca="1" si="9"/>
        <v/>
      </c>
      <c r="AQ17" s="45" t="str">
        <f t="shared" ca="1" si="9"/>
        <v/>
      </c>
      <c r="AR17" s="45" t="str">
        <f t="shared" ca="1" si="9"/>
        <v/>
      </c>
      <c r="AS17" s="45" t="str">
        <f t="shared" ca="1" si="9"/>
        <v/>
      </c>
      <c r="AT17" s="45" t="str">
        <f t="shared" ca="1" si="9"/>
        <v/>
      </c>
      <c r="AU17" s="45" t="str">
        <f t="shared" ca="1" si="9"/>
        <v/>
      </c>
      <c r="AV17" s="45" t="str">
        <f t="shared" ca="1" si="9"/>
        <v/>
      </c>
      <c r="AW17" s="45" t="str">
        <f t="shared" ca="1" si="9"/>
        <v/>
      </c>
      <c r="AX17" s="45" t="str">
        <f t="shared" ca="1" si="9"/>
        <v/>
      </c>
      <c r="AY17" s="45" t="str">
        <f t="shared" ca="1" si="9"/>
        <v/>
      </c>
      <c r="AZ17" s="45" t="str">
        <f t="shared" ca="1" si="9"/>
        <v/>
      </c>
      <c r="BA17" s="45" t="str">
        <f t="shared" ca="1" si="9"/>
        <v/>
      </c>
      <c r="BB17" s="45" t="str">
        <f t="shared" ca="1" si="9"/>
        <v/>
      </c>
      <c r="BC17" s="45" t="str">
        <f t="shared" ca="1" si="9"/>
        <v/>
      </c>
      <c r="BD17" s="45" t="str">
        <f t="shared" ca="1" si="9"/>
        <v/>
      </c>
      <c r="BE17" s="45" t="str">
        <f t="shared" ca="1" si="9"/>
        <v/>
      </c>
      <c r="BF17" s="45" t="str">
        <f t="shared" ca="1" si="9"/>
        <v/>
      </c>
      <c r="BG17" s="45" t="str">
        <f t="shared" ca="1" si="9"/>
        <v/>
      </c>
      <c r="BH17" s="45" t="str">
        <f t="shared" ca="1" si="9"/>
        <v/>
      </c>
      <c r="BI17" s="45" t="str">
        <f t="shared" ca="1" si="9"/>
        <v/>
      </c>
      <c r="BJ17" s="45" t="str">
        <f t="shared" ca="1" si="9"/>
        <v/>
      </c>
      <c r="BK17" s="45" t="str">
        <f t="shared" ca="1" si="9"/>
        <v/>
      </c>
      <c r="BL17" s="45" t="str">
        <f t="shared" ca="1" si="9"/>
        <v/>
      </c>
      <c r="BM17" s="45"/>
    </row>
    <row r="18" spans="1:65" s="1" customFormat="1" ht="18" customHeight="1" x14ac:dyDescent="0.25">
      <c r="A18" s="102"/>
      <c r="B18" s="65" t="s">
        <v>33</v>
      </c>
      <c r="C18" s="56"/>
      <c r="D18" s="57"/>
      <c r="E18" s="58"/>
      <c r="F18" s="71">
        <f>Plan_Weihnachten[[#This Row],[Ende]]-Plan_Weihnachten[[#This Row],[Dauer
in Tage]]</f>
        <v>46660</v>
      </c>
      <c r="G18" s="72">
        <v>7</v>
      </c>
      <c r="H18" s="73">
        <f>F21</f>
        <v>46667</v>
      </c>
      <c r="I18" s="45" t="str">
        <f t="shared" ca="1" si="6"/>
        <v/>
      </c>
      <c r="J18" s="45" t="str">
        <f t="shared" ca="1" si="6"/>
        <v/>
      </c>
      <c r="K18" s="45" t="str">
        <f t="shared" ca="1" si="6"/>
        <v/>
      </c>
      <c r="L18" s="45" t="str">
        <f t="shared" ca="1" si="6"/>
        <v/>
      </c>
      <c r="M18" s="45" t="str">
        <f t="shared" ca="1" si="6"/>
        <v/>
      </c>
      <c r="N18" s="45" t="str">
        <f t="shared" ca="1" si="6"/>
        <v/>
      </c>
      <c r="O18" s="45" t="str">
        <f t="shared" ca="1" si="6"/>
        <v/>
      </c>
      <c r="P18" s="45" t="str">
        <f t="shared" ca="1" si="6"/>
        <v/>
      </c>
      <c r="Q18" s="45" t="str">
        <f t="shared" ca="1" si="6"/>
        <v/>
      </c>
      <c r="R18" s="45" t="str">
        <f t="shared" ca="1" si="6"/>
        <v/>
      </c>
      <c r="S18" s="45" t="str">
        <f t="shared" ca="1" si="6"/>
        <v/>
      </c>
      <c r="T18" s="45" t="str">
        <f t="shared" ca="1" si="6"/>
        <v/>
      </c>
      <c r="U18" s="45" t="str">
        <f t="shared" ca="1" si="6"/>
        <v/>
      </c>
      <c r="V18" s="45" t="str">
        <f t="shared" ca="1" si="6"/>
        <v/>
      </c>
      <c r="W18" s="45" t="str">
        <f t="shared" ca="1" si="8"/>
        <v/>
      </c>
      <c r="X18" s="45" t="str">
        <f t="shared" ca="1" si="9"/>
        <v/>
      </c>
      <c r="Y18" s="45" t="str">
        <f t="shared" ca="1" si="9"/>
        <v/>
      </c>
      <c r="Z18" s="45" t="str">
        <f t="shared" ca="1" si="9"/>
        <v/>
      </c>
      <c r="AA18" s="45" t="str">
        <f t="shared" ca="1" si="9"/>
        <v/>
      </c>
      <c r="AB18" s="45" t="str">
        <f t="shared" ref="X18:BL24" ca="1" si="10">IF(AND($C18="Ziel",$H18=AB$7),2,IF(AND($C18="Meilenstein",$H18=AB$7),1,""))</f>
        <v/>
      </c>
      <c r="AC18" s="45" t="str">
        <f t="shared" ca="1" si="10"/>
        <v/>
      </c>
      <c r="AD18" s="45" t="str">
        <f t="shared" ca="1" si="10"/>
        <v/>
      </c>
      <c r="AE18" s="45" t="str">
        <f t="shared" ca="1" si="10"/>
        <v/>
      </c>
      <c r="AF18" s="45" t="str">
        <f t="shared" ca="1" si="10"/>
        <v/>
      </c>
      <c r="AG18" s="45" t="str">
        <f t="shared" ca="1" si="10"/>
        <v/>
      </c>
      <c r="AH18" s="45" t="str">
        <f t="shared" ca="1" si="10"/>
        <v/>
      </c>
      <c r="AI18" s="45" t="str">
        <f t="shared" ca="1" si="10"/>
        <v/>
      </c>
      <c r="AJ18" s="45" t="str">
        <f t="shared" ca="1" si="10"/>
        <v/>
      </c>
      <c r="AK18" s="45" t="str">
        <f t="shared" ca="1" si="10"/>
        <v/>
      </c>
      <c r="AL18" s="45" t="str">
        <f t="shared" ca="1" si="10"/>
        <v/>
      </c>
      <c r="AM18" s="45" t="str">
        <f t="shared" ca="1" si="10"/>
        <v/>
      </c>
      <c r="AN18" s="45" t="str">
        <f t="shared" ca="1" si="10"/>
        <v/>
      </c>
      <c r="AO18" s="45" t="str">
        <f t="shared" ca="1" si="10"/>
        <v/>
      </c>
      <c r="AP18" s="45" t="str">
        <f t="shared" ca="1" si="10"/>
        <v/>
      </c>
      <c r="AQ18" s="45" t="str">
        <f t="shared" ca="1" si="10"/>
        <v/>
      </c>
      <c r="AR18" s="45" t="str">
        <f t="shared" ca="1" si="10"/>
        <v/>
      </c>
      <c r="AS18" s="45" t="str">
        <f t="shared" ca="1" si="10"/>
        <v/>
      </c>
      <c r="AT18" s="45" t="str">
        <f t="shared" ca="1" si="10"/>
        <v/>
      </c>
      <c r="AU18" s="45" t="str">
        <f t="shared" ca="1" si="10"/>
        <v/>
      </c>
      <c r="AV18" s="45" t="str">
        <f t="shared" ca="1" si="10"/>
        <v/>
      </c>
      <c r="AW18" s="45" t="str">
        <f t="shared" ca="1" si="10"/>
        <v/>
      </c>
      <c r="AX18" s="45" t="str">
        <f t="shared" ca="1" si="10"/>
        <v/>
      </c>
      <c r="AY18" s="45" t="str">
        <f t="shared" ca="1" si="10"/>
        <v/>
      </c>
      <c r="AZ18" s="45" t="str">
        <f t="shared" ca="1" si="10"/>
        <v/>
      </c>
      <c r="BA18" s="45" t="str">
        <f t="shared" ca="1" si="10"/>
        <v/>
      </c>
      <c r="BB18" s="45" t="str">
        <f t="shared" ca="1" si="10"/>
        <v/>
      </c>
      <c r="BC18" s="45" t="str">
        <f t="shared" ca="1" si="10"/>
        <v/>
      </c>
      <c r="BD18" s="45" t="str">
        <f t="shared" ca="1" si="10"/>
        <v/>
      </c>
      <c r="BE18" s="45" t="str">
        <f t="shared" ca="1" si="10"/>
        <v/>
      </c>
      <c r="BF18" s="45" t="str">
        <f t="shared" ca="1" si="10"/>
        <v/>
      </c>
      <c r="BG18" s="45" t="str">
        <f t="shared" ca="1" si="10"/>
        <v/>
      </c>
      <c r="BH18" s="45" t="str">
        <f t="shared" ca="1" si="10"/>
        <v/>
      </c>
      <c r="BI18" s="45" t="str">
        <f t="shared" ca="1" si="10"/>
        <v/>
      </c>
      <c r="BJ18" s="45" t="str">
        <f t="shared" ca="1" si="10"/>
        <v/>
      </c>
      <c r="BK18" s="45" t="str">
        <f t="shared" ca="1" si="10"/>
        <v/>
      </c>
      <c r="BL18" s="45" t="str">
        <f t="shared" ca="1" si="10"/>
        <v/>
      </c>
      <c r="BM18" s="45"/>
    </row>
    <row r="19" spans="1:65" s="1" customFormat="1" ht="18" customHeight="1" x14ac:dyDescent="0.25">
      <c r="A19" s="102"/>
      <c r="B19" s="65" t="s">
        <v>34</v>
      </c>
      <c r="C19" s="56"/>
      <c r="D19" s="57"/>
      <c r="E19" s="58"/>
      <c r="F19" s="71">
        <f>Plan_Weihnachten[[#This Row],[Ende]]-Plan_Weihnachten[[#This Row],[Dauer
in Tage]]</f>
        <v>46660</v>
      </c>
      <c r="G19" s="72">
        <v>7</v>
      </c>
      <c r="H19" s="73">
        <f>F21</f>
        <v>46667</v>
      </c>
      <c r="I19" s="45" t="str">
        <f t="shared" ca="1" si="6"/>
        <v/>
      </c>
      <c r="J19" s="45" t="str">
        <f t="shared" ca="1" si="6"/>
        <v/>
      </c>
      <c r="K19" s="45" t="str">
        <f t="shared" ca="1" si="6"/>
        <v/>
      </c>
      <c r="L19" s="45" t="str">
        <f t="shared" ca="1" si="6"/>
        <v/>
      </c>
      <c r="M19" s="45" t="str">
        <f t="shared" ca="1" si="6"/>
        <v/>
      </c>
      <c r="N19" s="45" t="str">
        <f t="shared" ca="1" si="6"/>
        <v/>
      </c>
      <c r="O19" s="45" t="str">
        <f t="shared" ca="1" si="6"/>
        <v/>
      </c>
      <c r="P19" s="45" t="str">
        <f t="shared" ca="1" si="6"/>
        <v/>
      </c>
      <c r="Q19" s="45" t="str">
        <f t="shared" ca="1" si="6"/>
        <v/>
      </c>
      <c r="R19" s="45" t="str">
        <f t="shared" ca="1" si="6"/>
        <v/>
      </c>
      <c r="S19" s="45" t="str">
        <f t="shared" ca="1" si="6"/>
        <v/>
      </c>
      <c r="T19" s="45" t="str">
        <f t="shared" ca="1" si="6"/>
        <v/>
      </c>
      <c r="U19" s="45" t="str">
        <f t="shared" ca="1" si="6"/>
        <v/>
      </c>
      <c r="V19" s="45" t="str">
        <f t="shared" ca="1" si="6"/>
        <v/>
      </c>
      <c r="W19" s="45" t="str">
        <f t="shared" ca="1" si="8"/>
        <v/>
      </c>
      <c r="X19" s="45" t="str">
        <f t="shared" ca="1" si="10"/>
        <v/>
      </c>
      <c r="Y19" s="45" t="str">
        <f t="shared" ca="1" si="10"/>
        <v/>
      </c>
      <c r="Z19" s="45" t="str">
        <f t="shared" ca="1" si="10"/>
        <v/>
      </c>
      <c r="AA19" s="45" t="str">
        <f t="shared" ca="1" si="10"/>
        <v/>
      </c>
      <c r="AB19" s="45" t="str">
        <f t="shared" ca="1" si="10"/>
        <v/>
      </c>
      <c r="AC19" s="45" t="str">
        <f t="shared" ca="1" si="10"/>
        <v/>
      </c>
      <c r="AD19" s="45" t="str">
        <f t="shared" ca="1" si="10"/>
        <v/>
      </c>
      <c r="AE19" s="45" t="str">
        <f t="shared" ca="1" si="10"/>
        <v/>
      </c>
      <c r="AF19" s="45" t="str">
        <f t="shared" ca="1" si="10"/>
        <v/>
      </c>
      <c r="AG19" s="45" t="str">
        <f t="shared" ca="1" si="10"/>
        <v/>
      </c>
      <c r="AH19" s="45" t="str">
        <f t="shared" ca="1" si="10"/>
        <v/>
      </c>
      <c r="AI19" s="45" t="str">
        <f t="shared" ca="1" si="10"/>
        <v/>
      </c>
      <c r="AJ19" s="45" t="str">
        <f t="shared" ca="1" si="10"/>
        <v/>
      </c>
      <c r="AK19" s="45" t="str">
        <f t="shared" ca="1" si="10"/>
        <v/>
      </c>
      <c r="AL19" s="45" t="str">
        <f t="shared" ca="1" si="10"/>
        <v/>
      </c>
      <c r="AM19" s="45" t="str">
        <f t="shared" ca="1" si="10"/>
        <v/>
      </c>
      <c r="AN19" s="45" t="str">
        <f t="shared" ca="1" si="10"/>
        <v/>
      </c>
      <c r="AO19" s="45" t="str">
        <f t="shared" ca="1" si="10"/>
        <v/>
      </c>
      <c r="AP19" s="45" t="str">
        <f t="shared" ca="1" si="10"/>
        <v/>
      </c>
      <c r="AQ19" s="45" t="str">
        <f t="shared" ca="1" si="10"/>
        <v/>
      </c>
      <c r="AR19" s="45" t="str">
        <f t="shared" ca="1" si="10"/>
        <v/>
      </c>
      <c r="AS19" s="45" t="str">
        <f t="shared" ca="1" si="10"/>
        <v/>
      </c>
      <c r="AT19" s="45" t="str">
        <f t="shared" ca="1" si="10"/>
        <v/>
      </c>
      <c r="AU19" s="45" t="str">
        <f t="shared" ca="1" si="10"/>
        <v/>
      </c>
      <c r="AV19" s="45" t="str">
        <f t="shared" ca="1" si="10"/>
        <v/>
      </c>
      <c r="AW19" s="45" t="str">
        <f t="shared" ca="1" si="10"/>
        <v/>
      </c>
      <c r="AX19" s="45" t="str">
        <f t="shared" ca="1" si="10"/>
        <v/>
      </c>
      <c r="AY19" s="45" t="str">
        <f t="shared" ca="1" si="10"/>
        <v/>
      </c>
      <c r="AZ19" s="45" t="str">
        <f t="shared" ca="1" si="10"/>
        <v/>
      </c>
      <c r="BA19" s="45" t="str">
        <f t="shared" ca="1" si="10"/>
        <v/>
      </c>
      <c r="BB19" s="45" t="str">
        <f t="shared" ca="1" si="10"/>
        <v/>
      </c>
      <c r="BC19" s="45" t="str">
        <f t="shared" ca="1" si="10"/>
        <v/>
      </c>
      <c r="BD19" s="45" t="str">
        <f t="shared" ca="1" si="10"/>
        <v/>
      </c>
      <c r="BE19" s="45" t="str">
        <f t="shared" ca="1" si="10"/>
        <v/>
      </c>
      <c r="BF19" s="45" t="str">
        <f t="shared" ca="1" si="10"/>
        <v/>
      </c>
      <c r="BG19" s="45" t="str">
        <f t="shared" ca="1" si="10"/>
        <v/>
      </c>
      <c r="BH19" s="45" t="str">
        <f t="shared" ca="1" si="10"/>
        <v/>
      </c>
      <c r="BI19" s="45" t="str">
        <f t="shared" ca="1" si="10"/>
        <v/>
      </c>
      <c r="BJ19" s="45" t="str">
        <f t="shared" ca="1" si="10"/>
        <v/>
      </c>
      <c r="BK19" s="45" t="str">
        <f t="shared" ca="1" si="10"/>
        <v/>
      </c>
      <c r="BL19" s="45" t="str">
        <f t="shared" ca="1" si="10"/>
        <v/>
      </c>
      <c r="BM19" s="45"/>
    </row>
    <row r="20" spans="1:65" s="1" customFormat="1" ht="18" customHeight="1" x14ac:dyDescent="0.25">
      <c r="A20" s="102"/>
      <c r="B20" s="66" t="s">
        <v>35</v>
      </c>
      <c r="C20" s="91" t="s">
        <v>9</v>
      </c>
      <c r="D20" s="57"/>
      <c r="E20" s="58"/>
      <c r="F20" s="71"/>
      <c r="G20" s="72"/>
      <c r="H20" s="74">
        <f>F21</f>
        <v>46667</v>
      </c>
      <c r="I20" s="45" t="str">
        <f t="shared" ca="1" si="6"/>
        <v/>
      </c>
      <c r="J20" s="45" t="str">
        <f t="shared" ca="1" si="6"/>
        <v/>
      </c>
      <c r="K20" s="45" t="str">
        <f t="shared" ca="1" si="6"/>
        <v/>
      </c>
      <c r="L20" s="45" t="str">
        <f t="shared" ca="1" si="6"/>
        <v/>
      </c>
      <c r="M20" s="45" t="str">
        <f t="shared" ca="1" si="6"/>
        <v/>
      </c>
      <c r="N20" s="45" t="str">
        <f t="shared" ca="1" si="6"/>
        <v/>
      </c>
      <c r="O20" s="45" t="str">
        <f t="shared" ca="1" si="6"/>
        <v/>
      </c>
      <c r="P20" s="45" t="str">
        <f t="shared" ca="1" si="6"/>
        <v/>
      </c>
      <c r="Q20" s="45" t="str">
        <f t="shared" ca="1" si="6"/>
        <v/>
      </c>
      <c r="R20" s="45" t="str">
        <f t="shared" ca="1" si="6"/>
        <v/>
      </c>
      <c r="S20" s="45" t="str">
        <f t="shared" ca="1" si="6"/>
        <v/>
      </c>
      <c r="T20" s="45" t="str">
        <f t="shared" ca="1" si="6"/>
        <v/>
      </c>
      <c r="U20" s="45" t="str">
        <f t="shared" ca="1" si="6"/>
        <v/>
      </c>
      <c r="V20" s="45" t="str">
        <f t="shared" ca="1" si="6"/>
        <v/>
      </c>
      <c r="W20" s="45" t="str">
        <f ca="1">IF(AND($C20="Ziel",$H20=W$7),2,IF(AND($C20="Meilenstein",$H20=W$7),1,""))</f>
        <v/>
      </c>
      <c r="X20" s="45" t="str">
        <f t="shared" ca="1" si="10"/>
        <v/>
      </c>
      <c r="Y20" s="45" t="str">
        <f t="shared" ca="1" si="10"/>
        <v/>
      </c>
      <c r="Z20" s="45" t="str">
        <f t="shared" ca="1" si="10"/>
        <v/>
      </c>
      <c r="AA20" s="45" t="str">
        <f t="shared" ca="1" si="10"/>
        <v/>
      </c>
      <c r="AB20" s="45" t="str">
        <f t="shared" ca="1" si="10"/>
        <v/>
      </c>
      <c r="AC20" s="45" t="str">
        <f t="shared" ca="1" si="10"/>
        <v/>
      </c>
      <c r="AD20" s="45" t="str">
        <f t="shared" ca="1" si="10"/>
        <v/>
      </c>
      <c r="AE20" s="45" t="str">
        <f t="shared" ca="1" si="10"/>
        <v/>
      </c>
      <c r="AF20" s="45" t="str">
        <f t="shared" ca="1" si="10"/>
        <v/>
      </c>
      <c r="AG20" s="45" t="str">
        <f t="shared" ca="1" si="10"/>
        <v/>
      </c>
      <c r="AH20" s="45" t="str">
        <f t="shared" ca="1" si="10"/>
        <v/>
      </c>
      <c r="AI20" s="45">
        <f t="shared" ca="1" si="10"/>
        <v>1</v>
      </c>
      <c r="AJ20" s="45" t="str">
        <f t="shared" ca="1" si="10"/>
        <v/>
      </c>
      <c r="AK20" s="45" t="str">
        <f t="shared" ca="1" si="10"/>
        <v/>
      </c>
      <c r="AL20" s="45" t="str">
        <f t="shared" ca="1" si="10"/>
        <v/>
      </c>
      <c r="AM20" s="45" t="str">
        <f t="shared" ca="1" si="10"/>
        <v/>
      </c>
      <c r="AN20" s="45" t="str">
        <f t="shared" ca="1" si="10"/>
        <v/>
      </c>
      <c r="AO20" s="45" t="str">
        <f t="shared" ca="1" si="10"/>
        <v/>
      </c>
      <c r="AP20" s="45" t="str">
        <f t="shared" ca="1" si="10"/>
        <v/>
      </c>
      <c r="AQ20" s="45" t="str">
        <f t="shared" ca="1" si="10"/>
        <v/>
      </c>
      <c r="AR20" s="45" t="str">
        <f t="shared" ca="1" si="10"/>
        <v/>
      </c>
      <c r="AS20" s="45" t="str">
        <f t="shared" ca="1" si="10"/>
        <v/>
      </c>
      <c r="AT20" s="45" t="str">
        <f t="shared" ca="1" si="10"/>
        <v/>
      </c>
      <c r="AU20" s="45" t="str">
        <f t="shared" ca="1" si="10"/>
        <v/>
      </c>
      <c r="AV20" s="45" t="str">
        <f t="shared" ca="1" si="10"/>
        <v/>
      </c>
      <c r="AW20" s="45" t="str">
        <f t="shared" ca="1" si="10"/>
        <v/>
      </c>
      <c r="AX20" s="45" t="str">
        <f t="shared" ca="1" si="10"/>
        <v/>
      </c>
      <c r="AY20" s="45" t="str">
        <f t="shared" ca="1" si="10"/>
        <v/>
      </c>
      <c r="AZ20" s="45" t="str">
        <f t="shared" ca="1" si="10"/>
        <v/>
      </c>
      <c r="BA20" s="45" t="str">
        <f t="shared" ca="1" si="10"/>
        <v/>
      </c>
      <c r="BB20" s="45" t="str">
        <f t="shared" ca="1" si="10"/>
        <v/>
      </c>
      <c r="BC20" s="45" t="str">
        <f t="shared" ca="1" si="10"/>
        <v/>
      </c>
      <c r="BD20" s="45" t="str">
        <f t="shared" ca="1" si="10"/>
        <v/>
      </c>
      <c r="BE20" s="45" t="str">
        <f t="shared" ca="1" si="10"/>
        <v/>
      </c>
      <c r="BF20" s="45" t="str">
        <f t="shared" ca="1" si="10"/>
        <v/>
      </c>
      <c r="BG20" s="45" t="str">
        <f t="shared" ca="1" si="10"/>
        <v/>
      </c>
      <c r="BH20" s="45" t="str">
        <f t="shared" ca="1" si="10"/>
        <v/>
      </c>
      <c r="BI20" s="45" t="str">
        <f t="shared" ca="1" si="10"/>
        <v/>
      </c>
      <c r="BJ20" s="45" t="str">
        <f t="shared" ca="1" si="10"/>
        <v/>
      </c>
      <c r="BK20" s="45" t="str">
        <f t="shared" ca="1" si="10"/>
        <v/>
      </c>
      <c r="BL20" s="45" t="str">
        <f t="shared" ca="1" si="10"/>
        <v/>
      </c>
      <c r="BM20" s="45"/>
    </row>
    <row r="21" spans="1:65" s="1" customFormat="1" ht="18" customHeight="1" x14ac:dyDescent="0.25">
      <c r="A21" s="102"/>
      <c r="B21" s="65" t="s">
        <v>36</v>
      </c>
      <c r="C21" s="56"/>
      <c r="D21" s="57"/>
      <c r="E21" s="58"/>
      <c r="F21" s="71">
        <f>Plan_Weihnachten[[#This Row],[Ende]]-Plan_Weihnachten[[#This Row],[Dauer
in Tage]]</f>
        <v>46667</v>
      </c>
      <c r="G21" s="72">
        <v>14</v>
      </c>
      <c r="H21" s="108">
        <f t="shared" ref="H21:H22" si="11">F22</f>
        <v>46681</v>
      </c>
      <c r="I21" s="45" t="str">
        <f t="shared" ca="1" si="6"/>
        <v/>
      </c>
      <c r="J21" s="45" t="str">
        <f t="shared" ca="1" si="6"/>
        <v/>
      </c>
      <c r="K21" s="45" t="str">
        <f t="shared" ca="1" si="6"/>
        <v/>
      </c>
      <c r="L21" s="45" t="str">
        <f t="shared" ca="1" si="6"/>
        <v/>
      </c>
      <c r="M21" s="45" t="str">
        <f t="shared" ca="1" si="6"/>
        <v/>
      </c>
      <c r="N21" s="45" t="str">
        <f t="shared" ca="1" si="6"/>
        <v/>
      </c>
      <c r="O21" s="45" t="str">
        <f t="shared" ca="1" si="6"/>
        <v/>
      </c>
      <c r="P21" s="45" t="str">
        <f t="shared" ca="1" si="6"/>
        <v/>
      </c>
      <c r="Q21" s="45" t="str">
        <f t="shared" ca="1" si="6"/>
        <v/>
      </c>
      <c r="R21" s="45" t="str">
        <f t="shared" ca="1" si="6"/>
        <v/>
      </c>
      <c r="S21" s="45" t="str">
        <f t="shared" ca="1" si="6"/>
        <v/>
      </c>
      <c r="T21" s="45" t="str">
        <f t="shared" ca="1" si="6"/>
        <v/>
      </c>
      <c r="U21" s="45" t="str">
        <f t="shared" ca="1" si="6"/>
        <v/>
      </c>
      <c r="V21" s="45" t="str">
        <f t="shared" ca="1" si="6"/>
        <v/>
      </c>
      <c r="W21" s="45" t="str">
        <f t="shared" ref="W21:W45" ca="1" si="12">IF(AND($C21="Ziel",$H21=W$7),2,IF(AND($C21="Meilenstein",$H21=W$7),1,""))</f>
        <v/>
      </c>
      <c r="X21" s="45" t="str">
        <f t="shared" ca="1" si="10"/>
        <v/>
      </c>
      <c r="Y21" s="45" t="str">
        <f t="shared" ca="1" si="10"/>
        <v/>
      </c>
      <c r="Z21" s="45" t="str">
        <f t="shared" ca="1" si="10"/>
        <v/>
      </c>
      <c r="AA21" s="45" t="str">
        <f t="shared" ca="1" si="10"/>
        <v/>
      </c>
      <c r="AB21" s="45" t="str">
        <f t="shared" ca="1" si="10"/>
        <v/>
      </c>
      <c r="AC21" s="45" t="str">
        <f t="shared" ca="1" si="10"/>
        <v/>
      </c>
      <c r="AD21" s="45" t="str">
        <f t="shared" ca="1" si="10"/>
        <v/>
      </c>
      <c r="AE21" s="45" t="str">
        <f t="shared" ca="1" si="10"/>
        <v/>
      </c>
      <c r="AF21" s="45" t="str">
        <f t="shared" ca="1" si="10"/>
        <v/>
      </c>
      <c r="AG21" s="45" t="str">
        <f t="shared" ca="1" si="10"/>
        <v/>
      </c>
      <c r="AH21" s="45" t="str">
        <f t="shared" ca="1" si="10"/>
        <v/>
      </c>
      <c r="AI21" s="45" t="str">
        <f t="shared" ca="1" si="10"/>
        <v/>
      </c>
      <c r="AJ21" s="45" t="str">
        <f t="shared" ca="1" si="10"/>
        <v/>
      </c>
      <c r="AK21" s="45" t="str">
        <f t="shared" ca="1" si="10"/>
        <v/>
      </c>
      <c r="AL21" s="45" t="str">
        <f t="shared" ca="1" si="10"/>
        <v/>
      </c>
      <c r="AM21" s="45" t="str">
        <f t="shared" ca="1" si="10"/>
        <v/>
      </c>
      <c r="AN21" s="45" t="str">
        <f t="shared" ca="1" si="10"/>
        <v/>
      </c>
      <c r="AO21" s="45" t="str">
        <f t="shared" ca="1" si="10"/>
        <v/>
      </c>
      <c r="AP21" s="45" t="str">
        <f t="shared" ca="1" si="10"/>
        <v/>
      </c>
      <c r="AQ21" s="45" t="str">
        <f t="shared" ca="1" si="10"/>
        <v/>
      </c>
      <c r="AR21" s="45" t="str">
        <f t="shared" ca="1" si="10"/>
        <v/>
      </c>
      <c r="AS21" s="45" t="str">
        <f t="shared" ca="1" si="10"/>
        <v/>
      </c>
      <c r="AT21" s="45" t="str">
        <f t="shared" ca="1" si="10"/>
        <v/>
      </c>
      <c r="AU21" s="45" t="str">
        <f t="shared" ca="1" si="10"/>
        <v/>
      </c>
      <c r="AV21" s="45" t="str">
        <f t="shared" ca="1" si="10"/>
        <v/>
      </c>
      <c r="AW21" s="45" t="str">
        <f t="shared" ca="1" si="10"/>
        <v/>
      </c>
      <c r="AX21" s="45" t="str">
        <f t="shared" ca="1" si="10"/>
        <v/>
      </c>
      <c r="AY21" s="45" t="str">
        <f t="shared" ca="1" si="10"/>
        <v/>
      </c>
      <c r="AZ21" s="45" t="str">
        <f t="shared" ca="1" si="10"/>
        <v/>
      </c>
      <c r="BA21" s="45" t="str">
        <f t="shared" ca="1" si="10"/>
        <v/>
      </c>
      <c r="BB21" s="45" t="str">
        <f t="shared" ca="1" si="10"/>
        <v/>
      </c>
      <c r="BC21" s="45" t="str">
        <f t="shared" ca="1" si="10"/>
        <v/>
      </c>
      <c r="BD21" s="45" t="str">
        <f t="shared" ca="1" si="10"/>
        <v/>
      </c>
      <c r="BE21" s="45" t="str">
        <f t="shared" ca="1" si="10"/>
        <v/>
      </c>
      <c r="BF21" s="45" t="str">
        <f t="shared" ca="1" si="10"/>
        <v/>
      </c>
      <c r="BG21" s="45" t="str">
        <f t="shared" ca="1" si="10"/>
        <v/>
      </c>
      <c r="BH21" s="45" t="str">
        <f t="shared" ca="1" si="10"/>
        <v/>
      </c>
      <c r="BI21" s="45" t="str">
        <f t="shared" ca="1" si="10"/>
        <v/>
      </c>
      <c r="BJ21" s="45" t="str">
        <f t="shared" ca="1" si="10"/>
        <v/>
      </c>
      <c r="BK21" s="45" t="str">
        <f t="shared" ca="1" si="10"/>
        <v/>
      </c>
      <c r="BL21" s="45" t="str">
        <f t="shared" ca="1" si="10"/>
        <v/>
      </c>
      <c r="BM21" s="45"/>
    </row>
    <row r="22" spans="1:65" s="1" customFormat="1" ht="18" customHeight="1" x14ac:dyDescent="0.25">
      <c r="A22" s="102"/>
      <c r="B22" s="65" t="s">
        <v>37</v>
      </c>
      <c r="C22" s="56"/>
      <c r="D22" s="57"/>
      <c r="E22" s="58"/>
      <c r="F22" s="71">
        <f>Plan_Weihnachten[[#This Row],[Ende]]-Plan_Weihnachten[[#This Row],[Dauer
in Tage]]</f>
        <v>46681</v>
      </c>
      <c r="G22" s="72">
        <v>5</v>
      </c>
      <c r="H22" s="73">
        <f t="shared" si="11"/>
        <v>46686</v>
      </c>
      <c r="I22" s="45" t="str">
        <f t="shared" ca="1" si="6"/>
        <v/>
      </c>
      <c r="J22" s="45" t="str">
        <f t="shared" ca="1" si="6"/>
        <v/>
      </c>
      <c r="K22" s="45" t="str">
        <f t="shared" ca="1" si="6"/>
        <v/>
      </c>
      <c r="L22" s="45" t="str">
        <f t="shared" ca="1" si="6"/>
        <v/>
      </c>
      <c r="M22" s="45" t="str">
        <f t="shared" ca="1" si="6"/>
        <v/>
      </c>
      <c r="N22" s="45" t="str">
        <f t="shared" ca="1" si="6"/>
        <v/>
      </c>
      <c r="O22" s="45" t="str">
        <f t="shared" ca="1" si="6"/>
        <v/>
      </c>
      <c r="P22" s="45" t="str">
        <f t="shared" ca="1" si="6"/>
        <v/>
      </c>
      <c r="Q22" s="45" t="str">
        <f t="shared" ca="1" si="6"/>
        <v/>
      </c>
      <c r="R22" s="45" t="str">
        <f t="shared" ca="1" si="6"/>
        <v/>
      </c>
      <c r="S22" s="45" t="str">
        <f t="shared" ca="1" si="6"/>
        <v/>
      </c>
      <c r="T22" s="45" t="str">
        <f t="shared" ca="1" si="6"/>
        <v/>
      </c>
      <c r="U22" s="45" t="str">
        <f t="shared" ca="1" si="6"/>
        <v/>
      </c>
      <c r="V22" s="45" t="str">
        <f t="shared" ca="1" si="6"/>
        <v/>
      </c>
      <c r="W22" s="45" t="str">
        <f t="shared" ca="1" si="12"/>
        <v/>
      </c>
      <c r="X22" s="45" t="str">
        <f t="shared" ca="1" si="10"/>
        <v/>
      </c>
      <c r="Y22" s="45" t="str">
        <f t="shared" ca="1" si="10"/>
        <v/>
      </c>
      <c r="Z22" s="45" t="str">
        <f t="shared" ca="1" si="10"/>
        <v/>
      </c>
      <c r="AA22" s="45" t="str">
        <f t="shared" ca="1" si="10"/>
        <v/>
      </c>
      <c r="AB22" s="45" t="str">
        <f t="shared" ca="1" si="10"/>
        <v/>
      </c>
      <c r="AC22" s="45" t="str">
        <f t="shared" ca="1" si="10"/>
        <v/>
      </c>
      <c r="AD22" s="45" t="str">
        <f t="shared" ca="1" si="10"/>
        <v/>
      </c>
      <c r="AE22" s="45" t="str">
        <f t="shared" ca="1" si="10"/>
        <v/>
      </c>
      <c r="AF22" s="45" t="str">
        <f t="shared" ca="1" si="10"/>
        <v/>
      </c>
      <c r="AG22" s="45" t="str">
        <f t="shared" ca="1" si="10"/>
        <v/>
      </c>
      <c r="AH22" s="45" t="str">
        <f t="shared" ca="1" si="10"/>
        <v/>
      </c>
      <c r="AI22" s="45" t="str">
        <f t="shared" ca="1" si="10"/>
        <v/>
      </c>
      <c r="AJ22" s="45" t="str">
        <f t="shared" ca="1" si="10"/>
        <v/>
      </c>
      <c r="AK22" s="45" t="str">
        <f t="shared" ca="1" si="10"/>
        <v/>
      </c>
      <c r="AL22" s="45" t="str">
        <f t="shared" ca="1" si="10"/>
        <v/>
      </c>
      <c r="AM22" s="45" t="str">
        <f t="shared" ca="1" si="10"/>
        <v/>
      </c>
      <c r="AN22" s="45" t="str">
        <f t="shared" ca="1" si="10"/>
        <v/>
      </c>
      <c r="AO22" s="45" t="str">
        <f t="shared" ca="1" si="10"/>
        <v/>
      </c>
      <c r="AP22" s="45" t="str">
        <f t="shared" ca="1" si="10"/>
        <v/>
      </c>
      <c r="AQ22" s="45" t="str">
        <f t="shared" ca="1" si="10"/>
        <v/>
      </c>
      <c r="AR22" s="45" t="str">
        <f t="shared" ca="1" si="10"/>
        <v/>
      </c>
      <c r="AS22" s="45" t="str">
        <f t="shared" ca="1" si="10"/>
        <v/>
      </c>
      <c r="AT22" s="45" t="str">
        <f t="shared" ca="1" si="10"/>
        <v/>
      </c>
      <c r="AU22" s="45" t="str">
        <f t="shared" ca="1" si="10"/>
        <v/>
      </c>
      <c r="AV22" s="45" t="str">
        <f t="shared" ca="1" si="10"/>
        <v/>
      </c>
      <c r="AW22" s="45" t="str">
        <f t="shared" ca="1" si="10"/>
        <v/>
      </c>
      <c r="AX22" s="45" t="str">
        <f t="shared" ca="1" si="10"/>
        <v/>
      </c>
      <c r="AY22" s="45" t="str">
        <f t="shared" ca="1" si="10"/>
        <v/>
      </c>
      <c r="AZ22" s="45" t="str">
        <f t="shared" ca="1" si="10"/>
        <v/>
      </c>
      <c r="BA22" s="45" t="str">
        <f t="shared" ca="1" si="10"/>
        <v/>
      </c>
      <c r="BB22" s="45" t="str">
        <f t="shared" ca="1" si="10"/>
        <v/>
      </c>
      <c r="BC22" s="45" t="str">
        <f t="shared" ca="1" si="10"/>
        <v/>
      </c>
      <c r="BD22" s="45" t="str">
        <f t="shared" ca="1" si="10"/>
        <v/>
      </c>
      <c r="BE22" s="45" t="str">
        <f t="shared" ca="1" si="10"/>
        <v/>
      </c>
      <c r="BF22" s="45" t="str">
        <f t="shared" ca="1" si="10"/>
        <v/>
      </c>
      <c r="BG22" s="45" t="str">
        <f t="shared" ca="1" si="10"/>
        <v/>
      </c>
      <c r="BH22" s="45" t="str">
        <f t="shared" ca="1" si="10"/>
        <v/>
      </c>
      <c r="BI22" s="45" t="str">
        <f t="shared" ca="1" si="10"/>
        <v/>
      </c>
      <c r="BJ22" s="45" t="str">
        <f t="shared" ca="1" si="10"/>
        <v/>
      </c>
      <c r="BK22" s="45" t="str">
        <f t="shared" ca="1" si="10"/>
        <v/>
      </c>
      <c r="BL22" s="45" t="str">
        <f t="shared" ca="1" si="10"/>
        <v/>
      </c>
      <c r="BM22" s="45"/>
    </row>
    <row r="23" spans="1:65" s="1" customFormat="1" ht="18" customHeight="1" x14ac:dyDescent="0.25">
      <c r="A23" s="102"/>
      <c r="B23" s="65" t="s">
        <v>38</v>
      </c>
      <c r="C23" s="56"/>
      <c r="D23" s="57"/>
      <c r="E23" s="58"/>
      <c r="F23" s="71">
        <f>H23-Plan_Weihnachten[[#This Row],[Dauer
in Tage]]</f>
        <v>46686</v>
      </c>
      <c r="G23" s="72">
        <v>14</v>
      </c>
      <c r="H23" s="73">
        <f>F24</f>
        <v>46700</v>
      </c>
      <c r="I23" s="45" t="str">
        <f t="shared" ca="1" si="6"/>
        <v/>
      </c>
      <c r="J23" s="45" t="str">
        <f t="shared" ca="1" si="6"/>
        <v/>
      </c>
      <c r="K23" s="45" t="str">
        <f t="shared" ca="1" si="6"/>
        <v/>
      </c>
      <c r="L23" s="45" t="str">
        <f t="shared" ca="1" si="6"/>
        <v/>
      </c>
      <c r="M23" s="45" t="str">
        <f t="shared" ca="1" si="6"/>
        <v/>
      </c>
      <c r="N23" s="45" t="str">
        <f t="shared" ca="1" si="6"/>
        <v/>
      </c>
      <c r="O23" s="45" t="str">
        <f t="shared" ca="1" si="6"/>
        <v/>
      </c>
      <c r="P23" s="45" t="str">
        <f t="shared" ca="1" si="6"/>
        <v/>
      </c>
      <c r="Q23" s="45" t="str">
        <f t="shared" ca="1" si="6"/>
        <v/>
      </c>
      <c r="R23" s="45" t="str">
        <f t="shared" ca="1" si="6"/>
        <v/>
      </c>
      <c r="S23" s="45" t="str">
        <f t="shared" ca="1" si="6"/>
        <v/>
      </c>
      <c r="T23" s="45" t="str">
        <f t="shared" ca="1" si="6"/>
        <v/>
      </c>
      <c r="U23" s="45" t="str">
        <f t="shared" ca="1" si="6"/>
        <v/>
      </c>
      <c r="V23" s="45" t="str">
        <f t="shared" ca="1" si="6"/>
        <v/>
      </c>
      <c r="W23" s="45" t="str">
        <f t="shared" ca="1" si="12"/>
        <v/>
      </c>
      <c r="X23" s="45" t="str">
        <f t="shared" ca="1" si="10"/>
        <v/>
      </c>
      <c r="Y23" s="45" t="str">
        <f t="shared" ca="1" si="10"/>
        <v/>
      </c>
      <c r="Z23" s="45" t="str">
        <f t="shared" ca="1" si="10"/>
        <v/>
      </c>
      <c r="AA23" s="45" t="str">
        <f t="shared" ca="1" si="10"/>
        <v/>
      </c>
      <c r="AB23" s="45" t="str">
        <f t="shared" ca="1" si="10"/>
        <v/>
      </c>
      <c r="AC23" s="45" t="str">
        <f t="shared" ca="1" si="10"/>
        <v/>
      </c>
      <c r="AD23" s="45" t="str">
        <f t="shared" ca="1" si="10"/>
        <v/>
      </c>
      <c r="AE23" s="45" t="str">
        <f t="shared" ca="1" si="10"/>
        <v/>
      </c>
      <c r="AF23" s="45" t="str">
        <f t="shared" ca="1" si="10"/>
        <v/>
      </c>
      <c r="AG23" s="45" t="str">
        <f t="shared" ca="1" si="10"/>
        <v/>
      </c>
      <c r="AH23" s="45" t="str">
        <f t="shared" ca="1" si="10"/>
        <v/>
      </c>
      <c r="AI23" s="45" t="str">
        <f t="shared" ca="1" si="10"/>
        <v/>
      </c>
      <c r="AJ23" s="45" t="str">
        <f t="shared" ca="1" si="10"/>
        <v/>
      </c>
      <c r="AK23" s="45" t="str">
        <f t="shared" ca="1" si="10"/>
        <v/>
      </c>
      <c r="AL23" s="45" t="str">
        <f t="shared" ca="1" si="10"/>
        <v/>
      </c>
      <c r="AM23" s="45" t="str">
        <f t="shared" ca="1" si="10"/>
        <v/>
      </c>
      <c r="AN23" s="45" t="str">
        <f t="shared" ca="1" si="10"/>
        <v/>
      </c>
      <c r="AO23" s="45" t="str">
        <f t="shared" ca="1" si="10"/>
        <v/>
      </c>
      <c r="AP23" s="45" t="str">
        <f t="shared" ca="1" si="10"/>
        <v/>
      </c>
      <c r="AQ23" s="45" t="str">
        <f t="shared" ca="1" si="10"/>
        <v/>
      </c>
      <c r="AR23" s="45" t="str">
        <f t="shared" ca="1" si="10"/>
        <v/>
      </c>
      <c r="AS23" s="45" t="str">
        <f t="shared" ca="1" si="10"/>
        <v/>
      </c>
      <c r="AT23" s="45" t="str">
        <f t="shared" ca="1" si="10"/>
        <v/>
      </c>
      <c r="AU23" s="45" t="str">
        <f t="shared" ca="1" si="10"/>
        <v/>
      </c>
      <c r="AV23" s="45" t="str">
        <f t="shared" ca="1" si="10"/>
        <v/>
      </c>
      <c r="AW23" s="45" t="str">
        <f t="shared" ca="1" si="10"/>
        <v/>
      </c>
      <c r="AX23" s="45" t="str">
        <f t="shared" ca="1" si="10"/>
        <v/>
      </c>
      <c r="AY23" s="45" t="str">
        <f t="shared" ca="1" si="10"/>
        <v/>
      </c>
      <c r="AZ23" s="45" t="str">
        <f t="shared" ca="1" si="10"/>
        <v/>
      </c>
      <c r="BA23" s="45" t="str">
        <f t="shared" ca="1" si="10"/>
        <v/>
      </c>
      <c r="BB23" s="45" t="str">
        <f t="shared" ca="1" si="10"/>
        <v/>
      </c>
      <c r="BC23" s="45" t="str">
        <f t="shared" ca="1" si="10"/>
        <v/>
      </c>
      <c r="BD23" s="45" t="str">
        <f t="shared" ca="1" si="10"/>
        <v/>
      </c>
      <c r="BE23" s="45" t="str">
        <f t="shared" ca="1" si="10"/>
        <v/>
      </c>
      <c r="BF23" s="45" t="str">
        <f t="shared" ca="1" si="10"/>
        <v/>
      </c>
      <c r="BG23" s="45" t="str">
        <f t="shared" ca="1" si="10"/>
        <v/>
      </c>
      <c r="BH23" s="45" t="str">
        <f t="shared" ca="1" si="10"/>
        <v/>
      </c>
      <c r="BI23" s="45" t="str">
        <f t="shared" ca="1" si="10"/>
        <v/>
      </c>
      <c r="BJ23" s="45" t="str">
        <f t="shared" ca="1" si="10"/>
        <v/>
      </c>
      <c r="BK23" s="45" t="str">
        <f t="shared" ca="1" si="10"/>
        <v/>
      </c>
      <c r="BL23" s="45" t="str">
        <f t="shared" ca="1" si="10"/>
        <v/>
      </c>
      <c r="BM23" s="45"/>
    </row>
    <row r="24" spans="1:65" s="1" customFormat="1" ht="18" customHeight="1" x14ac:dyDescent="0.25">
      <c r="A24" s="102"/>
      <c r="B24" s="66" t="s">
        <v>39</v>
      </c>
      <c r="C24" s="91" t="s">
        <v>9</v>
      </c>
      <c r="D24" s="57"/>
      <c r="E24" s="58"/>
      <c r="F24" s="71">
        <f t="shared" ref="F24" si="13">H27-G26</f>
        <v>46700</v>
      </c>
      <c r="G24" s="72"/>
      <c r="H24" s="74">
        <f>F26</f>
        <v>46700</v>
      </c>
      <c r="I24" s="45" t="str">
        <f t="shared" ca="1" si="6"/>
        <v/>
      </c>
      <c r="J24" s="45" t="str">
        <f t="shared" ca="1" si="6"/>
        <v/>
      </c>
      <c r="K24" s="45" t="str">
        <f t="shared" ca="1" si="6"/>
        <v/>
      </c>
      <c r="L24" s="45" t="str">
        <f t="shared" ca="1" si="6"/>
        <v/>
      </c>
      <c r="M24" s="45" t="str">
        <f t="shared" ca="1" si="6"/>
        <v/>
      </c>
      <c r="N24" s="45" t="str">
        <f t="shared" ca="1" si="6"/>
        <v/>
      </c>
      <c r="O24" s="45" t="str">
        <f t="shared" ca="1" si="6"/>
        <v/>
      </c>
      <c r="P24" s="45" t="str">
        <f t="shared" ca="1" si="6"/>
        <v/>
      </c>
      <c r="Q24" s="45" t="str">
        <f t="shared" ca="1" si="6"/>
        <v/>
      </c>
      <c r="R24" s="45" t="str">
        <f t="shared" ca="1" si="6"/>
        <v/>
      </c>
      <c r="S24" s="45" t="str">
        <f t="shared" ca="1" si="6"/>
        <v/>
      </c>
      <c r="T24" s="45" t="str">
        <f t="shared" ca="1" si="6"/>
        <v/>
      </c>
      <c r="U24" s="45" t="str">
        <f t="shared" ca="1" si="6"/>
        <v/>
      </c>
      <c r="V24" s="45" t="str">
        <f t="shared" ca="1" si="6"/>
        <v/>
      </c>
      <c r="W24" s="45" t="str">
        <f t="shared" ca="1" si="12"/>
        <v/>
      </c>
      <c r="X24" s="45" t="str">
        <f t="shared" ca="1" si="10"/>
        <v/>
      </c>
      <c r="Y24" s="45" t="str">
        <f t="shared" ca="1" si="10"/>
        <v/>
      </c>
      <c r="Z24" s="45" t="str">
        <f t="shared" ca="1" si="10"/>
        <v/>
      </c>
      <c r="AA24" s="45" t="str">
        <f t="shared" ca="1" si="10"/>
        <v/>
      </c>
      <c r="AB24" s="45" t="str">
        <f t="shared" ca="1" si="10"/>
        <v/>
      </c>
      <c r="AC24" s="45" t="str">
        <f t="shared" ca="1" si="10"/>
        <v/>
      </c>
      <c r="AD24" s="45" t="str">
        <f t="shared" ca="1" si="10"/>
        <v/>
      </c>
      <c r="AE24" s="45" t="str">
        <f t="shared" ref="X24:BL31" ca="1" si="14">IF(AND($C24="Ziel",$H24=AE$7),2,IF(AND($C24="Meilenstein",$H24=AE$7),1,""))</f>
        <v/>
      </c>
      <c r="AF24" s="45" t="str">
        <f t="shared" ca="1" si="14"/>
        <v/>
      </c>
      <c r="AG24" s="45" t="str">
        <f t="shared" ca="1" si="14"/>
        <v/>
      </c>
      <c r="AH24" s="45" t="str">
        <f t="shared" ca="1" si="14"/>
        <v/>
      </c>
      <c r="AI24" s="45" t="str">
        <f t="shared" ca="1" si="14"/>
        <v/>
      </c>
      <c r="AJ24" s="45" t="str">
        <f t="shared" ca="1" si="14"/>
        <v/>
      </c>
      <c r="AK24" s="45" t="str">
        <f t="shared" ca="1" si="14"/>
        <v/>
      </c>
      <c r="AL24" s="45" t="str">
        <f t="shared" ca="1" si="14"/>
        <v/>
      </c>
      <c r="AM24" s="45" t="str">
        <f t="shared" ca="1" si="14"/>
        <v/>
      </c>
      <c r="AN24" s="45" t="str">
        <f t="shared" ca="1" si="14"/>
        <v/>
      </c>
      <c r="AO24" s="45" t="str">
        <f t="shared" ca="1" si="14"/>
        <v/>
      </c>
      <c r="AP24" s="45" t="str">
        <f t="shared" ca="1" si="14"/>
        <v/>
      </c>
      <c r="AQ24" s="45" t="str">
        <f t="shared" ca="1" si="14"/>
        <v/>
      </c>
      <c r="AR24" s="45" t="str">
        <f t="shared" ca="1" si="14"/>
        <v/>
      </c>
      <c r="AS24" s="45" t="str">
        <f t="shared" ca="1" si="14"/>
        <v/>
      </c>
      <c r="AT24" s="45" t="str">
        <f t="shared" ca="1" si="14"/>
        <v/>
      </c>
      <c r="AU24" s="45" t="str">
        <f t="shared" ca="1" si="14"/>
        <v/>
      </c>
      <c r="AV24" s="45" t="str">
        <f t="shared" ca="1" si="14"/>
        <v/>
      </c>
      <c r="AW24" s="45" t="str">
        <f t="shared" ca="1" si="14"/>
        <v/>
      </c>
      <c r="AX24" s="45" t="str">
        <f t="shared" ca="1" si="14"/>
        <v/>
      </c>
      <c r="AY24" s="45" t="str">
        <f t="shared" ca="1" si="14"/>
        <v/>
      </c>
      <c r="AZ24" s="45" t="str">
        <f t="shared" ca="1" si="14"/>
        <v/>
      </c>
      <c r="BA24" s="45" t="str">
        <f t="shared" ca="1" si="14"/>
        <v/>
      </c>
      <c r="BB24" s="45" t="str">
        <f t="shared" ca="1" si="14"/>
        <v/>
      </c>
      <c r="BC24" s="45" t="str">
        <f t="shared" ca="1" si="14"/>
        <v/>
      </c>
      <c r="BD24" s="45" t="str">
        <f t="shared" ca="1" si="14"/>
        <v/>
      </c>
      <c r="BE24" s="45" t="str">
        <f t="shared" ca="1" si="14"/>
        <v/>
      </c>
      <c r="BF24" s="45" t="str">
        <f t="shared" ca="1" si="14"/>
        <v/>
      </c>
      <c r="BG24" s="45" t="str">
        <f t="shared" ca="1" si="14"/>
        <v/>
      </c>
      <c r="BH24" s="45" t="str">
        <f t="shared" ca="1" si="14"/>
        <v/>
      </c>
      <c r="BI24" s="45" t="str">
        <f t="shared" ca="1" si="14"/>
        <v/>
      </c>
      <c r="BJ24" s="45" t="str">
        <f t="shared" ca="1" si="14"/>
        <v/>
      </c>
      <c r="BK24" s="45" t="str">
        <f t="shared" ca="1" si="14"/>
        <v/>
      </c>
      <c r="BL24" s="45" t="str">
        <f t="shared" ca="1" si="14"/>
        <v/>
      </c>
      <c r="BM24" s="45"/>
    </row>
    <row r="25" spans="1:65" s="1" customFormat="1" ht="18" customHeight="1" x14ac:dyDescent="0.25">
      <c r="A25" s="102"/>
      <c r="B25" s="65" t="s">
        <v>40</v>
      </c>
      <c r="C25" s="95"/>
      <c r="D25" s="57"/>
      <c r="E25" s="58"/>
      <c r="F25" s="71">
        <f>H27-Plan_Weihnachten[[#This Row],[Dauer
in Tage]]</f>
        <v>46676</v>
      </c>
      <c r="G25" s="72">
        <v>41</v>
      </c>
      <c r="H25" s="73">
        <f>$F25+$G25</f>
        <v>46717</v>
      </c>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K25" s="45"/>
      <c r="BL25" s="45"/>
      <c r="BM25" s="45"/>
    </row>
    <row r="26" spans="1:65" s="1" customFormat="1" ht="18" customHeight="1" x14ac:dyDescent="0.25">
      <c r="A26" s="102"/>
      <c r="B26" s="65" t="s">
        <v>41</v>
      </c>
      <c r="C26" s="56"/>
      <c r="D26" s="57"/>
      <c r="E26" s="58"/>
      <c r="F26" s="71">
        <f>H27-Plan_Weihnachten[[#This Row],[Dauer
in Tage]]</f>
        <v>46700</v>
      </c>
      <c r="G26" s="72">
        <v>17</v>
      </c>
      <c r="H26" s="73"/>
      <c r="I26" s="45" t="str">
        <f t="shared" ca="1" si="6"/>
        <v/>
      </c>
      <c r="J26" s="45" t="str">
        <f t="shared" ca="1" si="6"/>
        <v/>
      </c>
      <c r="K26" s="45" t="str">
        <f t="shared" ca="1" si="6"/>
        <v/>
      </c>
      <c r="L26" s="45" t="str">
        <f t="shared" ca="1" si="6"/>
        <v/>
      </c>
      <c r="M26" s="45" t="str">
        <f t="shared" ca="1" si="6"/>
        <v/>
      </c>
      <c r="N26" s="45" t="str">
        <f t="shared" ca="1" si="6"/>
        <v/>
      </c>
      <c r="O26" s="45" t="str">
        <f t="shared" ca="1" si="6"/>
        <v/>
      </c>
      <c r="P26" s="45" t="str">
        <f t="shared" ca="1" si="6"/>
        <v/>
      </c>
      <c r="Q26" s="45" t="str">
        <f t="shared" ca="1" si="6"/>
        <v/>
      </c>
      <c r="R26" s="45" t="str">
        <f t="shared" ca="1" si="6"/>
        <v/>
      </c>
      <c r="S26" s="45" t="str">
        <f t="shared" ca="1" si="6"/>
        <v/>
      </c>
      <c r="T26" s="45" t="str">
        <f t="shared" ca="1" si="6"/>
        <v/>
      </c>
      <c r="U26" s="45" t="str">
        <f t="shared" ca="1" si="6"/>
        <v/>
      </c>
      <c r="V26" s="45" t="str">
        <f t="shared" ca="1" si="6"/>
        <v/>
      </c>
      <c r="W26" s="45" t="str">
        <f t="shared" ca="1" si="12"/>
        <v/>
      </c>
      <c r="X26" s="45" t="str">
        <f t="shared" ca="1" si="14"/>
        <v/>
      </c>
      <c r="Y26" s="45" t="str">
        <f t="shared" ca="1" si="14"/>
        <v/>
      </c>
      <c r="Z26" s="45" t="str">
        <f t="shared" ca="1" si="14"/>
        <v/>
      </c>
      <c r="AA26" s="45" t="str">
        <f t="shared" ca="1" si="14"/>
        <v/>
      </c>
      <c r="AB26" s="45" t="str">
        <f t="shared" ca="1" si="14"/>
        <v/>
      </c>
      <c r="AC26" s="45" t="str">
        <f t="shared" ca="1" si="14"/>
        <v/>
      </c>
      <c r="AD26" s="45" t="str">
        <f t="shared" ca="1" si="14"/>
        <v/>
      </c>
      <c r="AE26" s="45" t="str">
        <f t="shared" ca="1" si="14"/>
        <v/>
      </c>
      <c r="AF26" s="45" t="str">
        <f t="shared" ca="1" si="14"/>
        <v/>
      </c>
      <c r="AG26" s="45" t="str">
        <f t="shared" ca="1" si="14"/>
        <v/>
      </c>
      <c r="AH26" s="45" t="str">
        <f t="shared" ca="1" si="14"/>
        <v/>
      </c>
      <c r="AI26" s="45" t="str">
        <f t="shared" ca="1" si="14"/>
        <v/>
      </c>
      <c r="AJ26" s="45" t="str">
        <f t="shared" ca="1" si="14"/>
        <v/>
      </c>
      <c r="AK26" s="45" t="str">
        <f t="shared" ca="1" si="14"/>
        <v/>
      </c>
      <c r="AL26" s="45" t="str">
        <f t="shared" ca="1" si="14"/>
        <v/>
      </c>
      <c r="AM26" s="45" t="str">
        <f t="shared" ca="1" si="14"/>
        <v/>
      </c>
      <c r="AN26" s="45" t="str">
        <f t="shared" ca="1" si="14"/>
        <v/>
      </c>
      <c r="AO26" s="45" t="str">
        <f t="shared" ca="1" si="14"/>
        <v/>
      </c>
      <c r="AP26" s="45" t="str">
        <f t="shared" ca="1" si="14"/>
        <v/>
      </c>
      <c r="AQ26" s="45" t="str">
        <f t="shared" ca="1" si="14"/>
        <v/>
      </c>
      <c r="AR26" s="45" t="str">
        <f t="shared" ca="1" si="14"/>
        <v/>
      </c>
      <c r="AS26" s="45" t="str">
        <f t="shared" ca="1" si="14"/>
        <v/>
      </c>
      <c r="AT26" s="45" t="str">
        <f t="shared" ca="1" si="14"/>
        <v/>
      </c>
      <c r="AU26" s="45" t="str">
        <f t="shared" ca="1" si="14"/>
        <v/>
      </c>
      <c r="AV26" s="45" t="str">
        <f t="shared" ca="1" si="14"/>
        <v/>
      </c>
      <c r="AW26" s="45" t="str">
        <f t="shared" ca="1" si="14"/>
        <v/>
      </c>
      <c r="AX26" s="45" t="str">
        <f t="shared" ca="1" si="14"/>
        <v/>
      </c>
      <c r="AY26" s="45" t="str">
        <f t="shared" ca="1" si="14"/>
        <v/>
      </c>
      <c r="AZ26" s="45" t="str">
        <f t="shared" ca="1" si="14"/>
        <v/>
      </c>
      <c r="BA26" s="45" t="str">
        <f t="shared" ca="1" si="14"/>
        <v/>
      </c>
      <c r="BB26" s="45" t="str">
        <f t="shared" ca="1" si="14"/>
        <v/>
      </c>
      <c r="BC26" s="45" t="str">
        <f t="shared" ca="1" si="14"/>
        <v/>
      </c>
      <c r="BD26" s="45" t="str">
        <f t="shared" ca="1" si="14"/>
        <v/>
      </c>
      <c r="BE26" s="45" t="str">
        <f t="shared" ca="1" si="14"/>
        <v/>
      </c>
      <c r="BF26" s="45" t="str">
        <f t="shared" ca="1" si="14"/>
        <v/>
      </c>
      <c r="BG26" s="45" t="str">
        <f t="shared" ca="1" si="14"/>
        <v/>
      </c>
      <c r="BH26" s="45" t="str">
        <f t="shared" ca="1" si="14"/>
        <v/>
      </c>
      <c r="BI26" s="45" t="str">
        <f t="shared" ca="1" si="14"/>
        <v/>
      </c>
      <c r="BJ26" s="45" t="str">
        <f t="shared" ca="1" si="14"/>
        <v/>
      </c>
      <c r="BK26" s="45" t="str">
        <f t="shared" ca="1" si="14"/>
        <v/>
      </c>
      <c r="BL26" s="45" t="str">
        <f t="shared" ca="1" si="14"/>
        <v/>
      </c>
      <c r="BM26" s="70"/>
    </row>
    <row r="27" spans="1:65" s="1" customFormat="1" ht="18" customHeight="1" x14ac:dyDescent="0.25">
      <c r="A27" s="102"/>
      <c r="B27" s="94" t="s">
        <v>42</v>
      </c>
      <c r="C27" s="90" t="s">
        <v>10</v>
      </c>
      <c r="D27" s="79"/>
      <c r="E27" s="80"/>
      <c r="F27" s="81"/>
      <c r="G27" s="85"/>
      <c r="H27" s="88">
        <f>C4</f>
        <v>46717</v>
      </c>
      <c r="I27" s="86" t="str">
        <f t="shared" ca="1" si="6"/>
        <v/>
      </c>
      <c r="J27" s="84" t="str">
        <f t="shared" ca="1" si="6"/>
        <v/>
      </c>
      <c r="K27" s="84" t="str">
        <f t="shared" ca="1" si="6"/>
        <v/>
      </c>
      <c r="L27" s="84" t="str">
        <f t="shared" ca="1" si="6"/>
        <v/>
      </c>
      <c r="M27" s="84" t="str">
        <f t="shared" ca="1" si="6"/>
        <v/>
      </c>
      <c r="N27" s="84" t="str">
        <f t="shared" ca="1" si="6"/>
        <v/>
      </c>
      <c r="O27" s="84" t="str">
        <f t="shared" ca="1" si="6"/>
        <v/>
      </c>
      <c r="P27" s="84" t="str">
        <f t="shared" ca="1" si="6"/>
        <v/>
      </c>
      <c r="Q27" s="84" t="str">
        <f t="shared" ca="1" si="6"/>
        <v/>
      </c>
      <c r="R27" s="84" t="str">
        <f t="shared" ca="1" si="6"/>
        <v/>
      </c>
      <c r="S27" s="84" t="str">
        <f t="shared" ca="1" si="6"/>
        <v/>
      </c>
      <c r="T27" s="84" t="str">
        <f t="shared" ca="1" si="6"/>
        <v/>
      </c>
      <c r="U27" s="84" t="str">
        <f t="shared" ca="1" si="6"/>
        <v/>
      </c>
      <c r="V27" s="84" t="str">
        <f t="shared" ca="1" si="6"/>
        <v/>
      </c>
      <c r="W27" s="84" t="str">
        <f t="shared" ca="1" si="12"/>
        <v/>
      </c>
      <c r="X27" s="84" t="str">
        <f t="shared" ca="1" si="14"/>
        <v/>
      </c>
      <c r="Y27" s="84" t="str">
        <f t="shared" ca="1" si="14"/>
        <v/>
      </c>
      <c r="Z27" s="84" t="str">
        <f t="shared" ca="1" si="14"/>
        <v/>
      </c>
      <c r="AA27" s="84" t="str">
        <f t="shared" ca="1" si="14"/>
        <v/>
      </c>
      <c r="AB27" s="84" t="str">
        <f t="shared" ca="1" si="14"/>
        <v/>
      </c>
      <c r="AC27" s="84" t="str">
        <f t="shared" ca="1" si="14"/>
        <v/>
      </c>
      <c r="AD27" s="84" t="str">
        <f t="shared" ca="1" si="14"/>
        <v/>
      </c>
      <c r="AE27" s="84" t="str">
        <f t="shared" ca="1" si="14"/>
        <v/>
      </c>
      <c r="AF27" s="84" t="str">
        <f t="shared" ca="1" si="14"/>
        <v/>
      </c>
      <c r="AG27" s="84" t="str">
        <f t="shared" ca="1" si="14"/>
        <v/>
      </c>
      <c r="AH27" s="84" t="str">
        <f t="shared" ca="1" si="14"/>
        <v/>
      </c>
      <c r="AI27" s="84" t="str">
        <f t="shared" ca="1" si="14"/>
        <v/>
      </c>
      <c r="AJ27" s="84" t="str">
        <f t="shared" ca="1" si="14"/>
        <v/>
      </c>
      <c r="AK27" s="84" t="str">
        <f t="shared" ca="1" si="14"/>
        <v/>
      </c>
      <c r="AL27" s="84" t="str">
        <f t="shared" ca="1" si="14"/>
        <v/>
      </c>
      <c r="AM27" s="84" t="str">
        <f t="shared" ca="1" si="14"/>
        <v/>
      </c>
      <c r="AN27" s="84" t="str">
        <f t="shared" ca="1" si="14"/>
        <v/>
      </c>
      <c r="AO27" s="84" t="str">
        <f t="shared" ca="1" si="14"/>
        <v/>
      </c>
      <c r="AP27" s="84" t="str">
        <f t="shared" ca="1" si="14"/>
        <v/>
      </c>
      <c r="AQ27" s="84" t="str">
        <f t="shared" ca="1" si="14"/>
        <v/>
      </c>
      <c r="AR27" s="84" t="str">
        <f t="shared" ca="1" si="14"/>
        <v/>
      </c>
      <c r="AS27" s="84" t="str">
        <f t="shared" ca="1" si="14"/>
        <v/>
      </c>
      <c r="AT27" s="84" t="str">
        <f t="shared" ca="1" si="14"/>
        <v/>
      </c>
      <c r="AU27" s="84" t="str">
        <f t="shared" ca="1" si="14"/>
        <v/>
      </c>
      <c r="AV27" s="84" t="str">
        <f t="shared" ca="1" si="14"/>
        <v/>
      </c>
      <c r="AW27" s="84" t="str">
        <f t="shared" ca="1" si="14"/>
        <v/>
      </c>
      <c r="AX27" s="84" t="str">
        <f t="shared" ca="1" si="14"/>
        <v/>
      </c>
      <c r="AY27" s="84" t="str">
        <f t="shared" ca="1" si="14"/>
        <v/>
      </c>
      <c r="AZ27" s="84" t="str">
        <f t="shared" ca="1" si="14"/>
        <v/>
      </c>
      <c r="BA27" s="84" t="str">
        <f t="shared" ca="1" si="14"/>
        <v/>
      </c>
      <c r="BB27" s="84" t="str">
        <f t="shared" ca="1" si="14"/>
        <v/>
      </c>
      <c r="BC27" s="84" t="str">
        <f t="shared" ca="1" si="14"/>
        <v/>
      </c>
      <c r="BD27" s="84" t="str">
        <f t="shared" ca="1" si="14"/>
        <v/>
      </c>
      <c r="BE27" s="84" t="str">
        <f t="shared" ca="1" si="14"/>
        <v/>
      </c>
      <c r="BF27" s="84" t="str">
        <f t="shared" ca="1" si="14"/>
        <v/>
      </c>
      <c r="BG27" s="84" t="str">
        <f t="shared" ca="1" si="14"/>
        <v/>
      </c>
      <c r="BH27" s="84" t="str">
        <f t="shared" ca="1" si="14"/>
        <v/>
      </c>
      <c r="BI27" s="84" t="str">
        <f t="shared" ca="1" si="14"/>
        <v/>
      </c>
      <c r="BJ27" s="84" t="str">
        <f t="shared" ca="1" si="14"/>
        <v/>
      </c>
      <c r="BK27" s="84" t="str">
        <f t="shared" ca="1" si="14"/>
        <v/>
      </c>
      <c r="BL27" s="84" t="str">
        <f t="shared" ca="1" si="14"/>
        <v/>
      </c>
      <c r="BM27" s="84"/>
    </row>
    <row r="28" spans="1:65" s="1" customFormat="1" ht="18" customHeight="1" x14ac:dyDescent="0.25">
      <c r="A28" s="96" t="s">
        <v>43</v>
      </c>
      <c r="B28" s="66" t="s">
        <v>44</v>
      </c>
      <c r="C28" s="56"/>
      <c r="D28" s="64"/>
      <c r="E28" s="58"/>
      <c r="F28" s="71"/>
      <c r="G28" s="72"/>
      <c r="H28" s="77"/>
      <c r="I28" s="69" t="str">
        <f t="shared" ca="1" si="6"/>
        <v/>
      </c>
      <c r="J28" s="69" t="str">
        <f t="shared" ca="1" si="6"/>
        <v/>
      </c>
      <c r="K28" s="69" t="str">
        <f t="shared" ca="1" si="6"/>
        <v/>
      </c>
      <c r="L28" s="69" t="str">
        <f t="shared" ca="1" si="6"/>
        <v/>
      </c>
      <c r="M28" s="69" t="str">
        <f t="shared" ca="1" si="6"/>
        <v/>
      </c>
      <c r="N28" s="69" t="str">
        <f t="shared" ca="1" si="6"/>
        <v/>
      </c>
      <c r="O28" s="69" t="str">
        <f t="shared" ca="1" si="6"/>
        <v/>
      </c>
      <c r="P28" s="69" t="str">
        <f t="shared" ca="1" si="6"/>
        <v/>
      </c>
      <c r="Q28" s="69" t="str">
        <f t="shared" ca="1" si="6"/>
        <v/>
      </c>
      <c r="R28" s="69" t="str">
        <f t="shared" ca="1" si="6"/>
        <v/>
      </c>
      <c r="S28" s="69" t="str">
        <f t="shared" ca="1" si="6"/>
        <v/>
      </c>
      <c r="T28" s="69" t="str">
        <f t="shared" ca="1" si="6"/>
        <v/>
      </c>
      <c r="U28" s="69" t="str">
        <f t="shared" ca="1" si="6"/>
        <v/>
      </c>
      <c r="V28" s="69" t="str">
        <f t="shared" ca="1" si="6"/>
        <v/>
      </c>
      <c r="W28" s="69" t="str">
        <f t="shared" ca="1" si="12"/>
        <v/>
      </c>
      <c r="X28" s="69" t="str">
        <f t="shared" ca="1" si="14"/>
        <v/>
      </c>
      <c r="Y28" s="69" t="str">
        <f t="shared" ca="1" si="14"/>
        <v/>
      </c>
      <c r="Z28" s="69" t="str">
        <f t="shared" ca="1" si="14"/>
        <v/>
      </c>
      <c r="AA28" s="69" t="str">
        <f t="shared" ca="1" si="14"/>
        <v/>
      </c>
      <c r="AB28" s="69" t="str">
        <f t="shared" ca="1" si="14"/>
        <v/>
      </c>
      <c r="AC28" s="69" t="str">
        <f t="shared" ca="1" si="14"/>
        <v/>
      </c>
      <c r="AD28" s="69" t="str">
        <f t="shared" ca="1" si="14"/>
        <v/>
      </c>
      <c r="AE28" s="69" t="str">
        <f t="shared" ca="1" si="14"/>
        <v/>
      </c>
      <c r="AF28" s="69" t="str">
        <f t="shared" ca="1" si="14"/>
        <v/>
      </c>
      <c r="AG28" s="69" t="str">
        <f t="shared" ca="1" si="14"/>
        <v/>
      </c>
      <c r="AH28" s="69" t="str">
        <f t="shared" ca="1" si="14"/>
        <v/>
      </c>
      <c r="AI28" s="69" t="str">
        <f t="shared" ca="1" si="14"/>
        <v/>
      </c>
      <c r="AJ28" s="69" t="str">
        <f t="shared" ca="1" si="14"/>
        <v/>
      </c>
      <c r="AK28" s="69" t="str">
        <f t="shared" ca="1" si="14"/>
        <v/>
      </c>
      <c r="AL28" s="69" t="str">
        <f t="shared" ca="1" si="14"/>
        <v/>
      </c>
      <c r="AM28" s="69" t="str">
        <f t="shared" ca="1" si="14"/>
        <v/>
      </c>
      <c r="AN28" s="69" t="str">
        <f t="shared" ca="1" si="14"/>
        <v/>
      </c>
      <c r="AO28" s="69" t="str">
        <f t="shared" ca="1" si="14"/>
        <v/>
      </c>
      <c r="AP28" s="69" t="str">
        <f t="shared" ca="1" si="14"/>
        <v/>
      </c>
      <c r="AQ28" s="69" t="str">
        <f t="shared" ca="1" si="14"/>
        <v/>
      </c>
      <c r="AR28" s="69" t="str">
        <f t="shared" ca="1" si="14"/>
        <v/>
      </c>
      <c r="AS28" s="69" t="str">
        <f t="shared" ca="1" si="14"/>
        <v/>
      </c>
      <c r="AT28" s="69" t="str">
        <f t="shared" ca="1" si="14"/>
        <v/>
      </c>
      <c r="AU28" s="69" t="str">
        <f t="shared" ca="1" si="14"/>
        <v/>
      </c>
      <c r="AV28" s="69" t="str">
        <f t="shared" ca="1" si="14"/>
        <v/>
      </c>
      <c r="AW28" s="69" t="str">
        <f t="shared" ca="1" si="14"/>
        <v/>
      </c>
      <c r="AX28" s="69" t="str">
        <f t="shared" ca="1" si="14"/>
        <v/>
      </c>
      <c r="AY28" s="69" t="str">
        <f t="shared" ca="1" si="14"/>
        <v/>
      </c>
      <c r="AZ28" s="69" t="str">
        <f t="shared" ca="1" si="14"/>
        <v/>
      </c>
      <c r="BA28" s="69" t="str">
        <f t="shared" ca="1" si="14"/>
        <v/>
      </c>
      <c r="BB28" s="69" t="str">
        <f t="shared" ca="1" si="14"/>
        <v/>
      </c>
      <c r="BC28" s="69" t="str">
        <f t="shared" ca="1" si="14"/>
        <v/>
      </c>
      <c r="BD28" s="69" t="str">
        <f t="shared" ca="1" si="14"/>
        <v/>
      </c>
      <c r="BE28" s="69" t="str">
        <f t="shared" ca="1" si="14"/>
        <v/>
      </c>
      <c r="BF28" s="69" t="str">
        <f t="shared" ca="1" si="14"/>
        <v/>
      </c>
      <c r="BG28" s="69" t="str">
        <f t="shared" ca="1" si="14"/>
        <v/>
      </c>
      <c r="BH28" s="69" t="str">
        <f t="shared" ca="1" si="14"/>
        <v/>
      </c>
      <c r="BI28" s="69" t="str">
        <f t="shared" ca="1" si="14"/>
        <v/>
      </c>
      <c r="BJ28" s="69" t="str">
        <f t="shared" ca="1" si="14"/>
        <v/>
      </c>
      <c r="BK28" s="69" t="str">
        <f t="shared" ca="1" si="14"/>
        <v/>
      </c>
      <c r="BL28" s="69" t="str">
        <f t="shared" ca="1" si="14"/>
        <v/>
      </c>
      <c r="BM28" s="69"/>
    </row>
    <row r="29" spans="1:65" s="1" customFormat="1" ht="18" customHeight="1" x14ac:dyDescent="0.25">
      <c r="A29" s="96"/>
      <c r="B29" s="65" t="s">
        <v>33</v>
      </c>
      <c r="C29" s="56" t="s">
        <v>6</v>
      </c>
      <c r="D29" s="57" t="s">
        <v>45</v>
      </c>
      <c r="E29" s="58"/>
      <c r="F29" s="71">
        <f>Plan_Weihnachten[[#This Row],[Ende]]-Plan_Weihnachten[[#This Row],[Dauer
in Tage]]</f>
        <v>-3</v>
      </c>
      <c r="G29" s="72">
        <v>3</v>
      </c>
      <c r="H29" s="73">
        <f>H30</f>
        <v>0</v>
      </c>
      <c r="I29" s="45" t="str">
        <f t="shared" ref="I29:X44" ca="1" si="15">IF(AND($C29="Ziel",$H29=I$7),2,IF(AND($C29="Meilenstein",$H29=I$7),1,""))</f>
        <v/>
      </c>
      <c r="J29" s="45" t="str">
        <f t="shared" ca="1" si="15"/>
        <v/>
      </c>
      <c r="K29" s="45" t="str">
        <f t="shared" ca="1" si="15"/>
        <v/>
      </c>
      <c r="L29" s="45" t="str">
        <f t="shared" ca="1" si="15"/>
        <v/>
      </c>
      <c r="M29" s="45" t="str">
        <f t="shared" ca="1" si="15"/>
        <v/>
      </c>
      <c r="N29" s="45" t="str">
        <f t="shared" ca="1" si="15"/>
        <v/>
      </c>
      <c r="O29" s="45" t="str">
        <f t="shared" ca="1" si="15"/>
        <v/>
      </c>
      <c r="P29" s="45" t="str">
        <f t="shared" ca="1" si="15"/>
        <v/>
      </c>
      <c r="Q29" s="45" t="str">
        <f t="shared" ca="1" si="15"/>
        <v/>
      </c>
      <c r="R29" s="45" t="str">
        <f t="shared" ca="1" si="15"/>
        <v/>
      </c>
      <c r="S29" s="45" t="str">
        <f t="shared" ca="1" si="15"/>
        <v/>
      </c>
      <c r="T29" s="45" t="str">
        <f t="shared" ca="1" si="15"/>
        <v/>
      </c>
      <c r="U29" s="45" t="str">
        <f t="shared" ca="1" si="15"/>
        <v/>
      </c>
      <c r="V29" s="45" t="str">
        <f t="shared" ca="1" si="15"/>
        <v/>
      </c>
      <c r="W29" s="45" t="str">
        <f t="shared" ca="1" si="12"/>
        <v/>
      </c>
      <c r="X29" s="45" t="str">
        <f t="shared" ca="1" si="15"/>
        <v/>
      </c>
      <c r="Y29" s="45" t="str">
        <f t="shared" ca="1" si="14"/>
        <v/>
      </c>
      <c r="Z29" s="45" t="str">
        <f t="shared" ca="1" si="14"/>
        <v/>
      </c>
      <c r="AA29" s="45" t="str">
        <f t="shared" ca="1" si="14"/>
        <v/>
      </c>
      <c r="AB29" s="45" t="str">
        <f t="shared" ca="1" si="14"/>
        <v/>
      </c>
      <c r="AC29" s="45" t="str">
        <f t="shared" ca="1" si="14"/>
        <v/>
      </c>
      <c r="AD29" s="45" t="str">
        <f t="shared" ca="1" si="14"/>
        <v/>
      </c>
      <c r="AE29" s="45" t="str">
        <f t="shared" ca="1" si="14"/>
        <v/>
      </c>
      <c r="AF29" s="45" t="str">
        <f t="shared" ca="1" si="14"/>
        <v/>
      </c>
      <c r="AG29" s="45" t="str">
        <f t="shared" ca="1" si="14"/>
        <v/>
      </c>
      <c r="AH29" s="45" t="str">
        <f t="shared" ca="1" si="14"/>
        <v/>
      </c>
      <c r="AI29" s="45" t="str">
        <f t="shared" ca="1" si="14"/>
        <v/>
      </c>
      <c r="AJ29" s="45" t="str">
        <f t="shared" ca="1" si="14"/>
        <v/>
      </c>
      <c r="AK29" s="45" t="str">
        <f t="shared" ca="1" si="14"/>
        <v/>
      </c>
      <c r="AL29" s="45" t="str">
        <f t="shared" ca="1" si="14"/>
        <v/>
      </c>
      <c r="AM29" s="45" t="str">
        <f t="shared" ca="1" si="14"/>
        <v/>
      </c>
      <c r="AN29" s="45" t="str">
        <f t="shared" ca="1" si="14"/>
        <v/>
      </c>
      <c r="AO29" s="45" t="str">
        <f t="shared" ca="1" si="14"/>
        <v/>
      </c>
      <c r="AP29" s="45" t="str">
        <f t="shared" ca="1" si="14"/>
        <v/>
      </c>
      <c r="AQ29" s="45" t="str">
        <f t="shared" ca="1" si="14"/>
        <v/>
      </c>
      <c r="AR29" s="45" t="str">
        <f t="shared" ca="1" si="14"/>
        <v/>
      </c>
      <c r="AS29" s="45" t="str">
        <f t="shared" ca="1" si="14"/>
        <v/>
      </c>
      <c r="AT29" s="45" t="str">
        <f t="shared" ca="1" si="14"/>
        <v/>
      </c>
      <c r="AU29" s="45" t="str">
        <f t="shared" ca="1" si="14"/>
        <v/>
      </c>
      <c r="AV29" s="45" t="str">
        <f t="shared" ca="1" si="14"/>
        <v/>
      </c>
      <c r="AW29" s="45" t="str">
        <f t="shared" ca="1" si="14"/>
        <v/>
      </c>
      <c r="AX29" s="45" t="str">
        <f t="shared" ca="1" si="14"/>
        <v/>
      </c>
      <c r="AY29" s="45" t="str">
        <f t="shared" ca="1" si="14"/>
        <v/>
      </c>
      <c r="AZ29" s="45" t="str">
        <f t="shared" ca="1" si="14"/>
        <v/>
      </c>
      <c r="BA29" s="45" t="str">
        <f t="shared" ca="1" si="14"/>
        <v/>
      </c>
      <c r="BB29" s="45" t="str">
        <f t="shared" ca="1" si="14"/>
        <v/>
      </c>
      <c r="BC29" s="45" t="str">
        <f t="shared" ca="1" si="14"/>
        <v/>
      </c>
      <c r="BD29" s="45" t="str">
        <f t="shared" ca="1" si="14"/>
        <v/>
      </c>
      <c r="BE29" s="45" t="str">
        <f t="shared" ca="1" si="14"/>
        <v/>
      </c>
      <c r="BF29" s="45" t="str">
        <f t="shared" ca="1" si="14"/>
        <v/>
      </c>
      <c r="BG29" s="45" t="str">
        <f t="shared" ca="1" si="14"/>
        <v/>
      </c>
      <c r="BH29" s="45" t="str">
        <f t="shared" ca="1" si="14"/>
        <v/>
      </c>
      <c r="BI29" s="45" t="str">
        <f t="shared" ca="1" si="14"/>
        <v/>
      </c>
      <c r="BJ29" s="45" t="str">
        <f t="shared" ca="1" si="14"/>
        <v/>
      </c>
      <c r="BK29" s="45" t="str">
        <f t="shared" ca="1" si="14"/>
        <v/>
      </c>
      <c r="BL29" s="45" t="str">
        <f t="shared" ca="1" si="14"/>
        <v/>
      </c>
      <c r="BM29" s="45"/>
    </row>
    <row r="30" spans="1:65" s="1" customFormat="1" ht="18" customHeight="1" x14ac:dyDescent="0.25">
      <c r="A30" s="96"/>
      <c r="B30" s="65" t="s">
        <v>46</v>
      </c>
      <c r="C30" s="56" t="s">
        <v>6</v>
      </c>
      <c r="D30" s="57"/>
      <c r="E30" s="58"/>
      <c r="F30" s="71">
        <f>Plan_Weihnachten[[#This Row],[Ende]]-Plan_Weihnachten[[#This Row],[Dauer
in Tage]]</f>
        <v>-3</v>
      </c>
      <c r="G30" s="72">
        <v>3</v>
      </c>
      <c r="H30" s="73">
        <f>H31</f>
        <v>0</v>
      </c>
      <c r="I30" s="45" t="str">
        <f t="shared" ca="1" si="15"/>
        <v/>
      </c>
      <c r="J30" s="45" t="str">
        <f t="shared" ca="1" si="15"/>
        <v/>
      </c>
      <c r="K30" s="45" t="str">
        <f t="shared" ca="1" si="15"/>
        <v/>
      </c>
      <c r="L30" s="45" t="str">
        <f t="shared" ca="1" si="15"/>
        <v/>
      </c>
      <c r="M30" s="45" t="str">
        <f t="shared" ca="1" si="15"/>
        <v/>
      </c>
      <c r="N30" s="45" t="str">
        <f t="shared" ca="1" si="15"/>
        <v/>
      </c>
      <c r="O30" s="45" t="str">
        <f t="shared" ca="1" si="15"/>
        <v/>
      </c>
      <c r="P30" s="45" t="str">
        <f t="shared" ca="1" si="15"/>
        <v/>
      </c>
      <c r="Q30" s="45" t="str">
        <f t="shared" ca="1" si="15"/>
        <v/>
      </c>
      <c r="R30" s="45" t="str">
        <f t="shared" ca="1" si="15"/>
        <v/>
      </c>
      <c r="S30" s="45" t="str">
        <f t="shared" ca="1" si="15"/>
        <v/>
      </c>
      <c r="T30" s="45" t="str">
        <f t="shared" ca="1" si="15"/>
        <v/>
      </c>
      <c r="U30" s="45" t="str">
        <f t="shared" ca="1" si="15"/>
        <v/>
      </c>
      <c r="V30" s="45" t="str">
        <f t="shared" ca="1" si="15"/>
        <v/>
      </c>
      <c r="W30" s="45" t="str">
        <f t="shared" ca="1" si="12"/>
        <v/>
      </c>
      <c r="X30" s="45" t="str">
        <f t="shared" ca="1" si="14"/>
        <v/>
      </c>
      <c r="Y30" s="45" t="str">
        <f t="shared" ca="1" si="14"/>
        <v/>
      </c>
      <c r="Z30" s="45" t="str">
        <f t="shared" ca="1" si="14"/>
        <v/>
      </c>
      <c r="AA30" s="45" t="str">
        <f t="shared" ca="1" si="14"/>
        <v/>
      </c>
      <c r="AB30" s="45" t="str">
        <f t="shared" ca="1" si="14"/>
        <v/>
      </c>
      <c r="AC30" s="45" t="str">
        <f t="shared" ca="1" si="14"/>
        <v/>
      </c>
      <c r="AD30" s="45" t="str">
        <f t="shared" ca="1" si="14"/>
        <v/>
      </c>
      <c r="AE30" s="45" t="str">
        <f t="shared" ca="1" si="14"/>
        <v/>
      </c>
      <c r="AF30" s="45" t="str">
        <f t="shared" ca="1" si="14"/>
        <v/>
      </c>
      <c r="AG30" s="45" t="str">
        <f t="shared" ca="1" si="14"/>
        <v/>
      </c>
      <c r="AH30" s="45" t="str">
        <f t="shared" ca="1" si="14"/>
        <v/>
      </c>
      <c r="AI30" s="45" t="str">
        <f t="shared" ca="1" si="14"/>
        <v/>
      </c>
      <c r="AJ30" s="45" t="str">
        <f t="shared" ca="1" si="14"/>
        <v/>
      </c>
      <c r="AK30" s="45" t="str">
        <f t="shared" ca="1" si="14"/>
        <v/>
      </c>
      <c r="AL30" s="45" t="str">
        <f t="shared" ca="1" si="14"/>
        <v/>
      </c>
      <c r="AM30" s="45" t="str">
        <f t="shared" ca="1" si="14"/>
        <v/>
      </c>
      <c r="AN30" s="45" t="str">
        <f t="shared" ca="1" si="14"/>
        <v/>
      </c>
      <c r="AO30" s="45" t="str">
        <f t="shared" ca="1" si="14"/>
        <v/>
      </c>
      <c r="AP30" s="45" t="str">
        <f t="shared" ca="1" si="14"/>
        <v/>
      </c>
      <c r="AQ30" s="45" t="str">
        <f t="shared" ca="1" si="14"/>
        <v/>
      </c>
      <c r="AR30" s="45" t="str">
        <f t="shared" ca="1" si="14"/>
        <v/>
      </c>
      <c r="AS30" s="45" t="str">
        <f t="shared" ca="1" si="14"/>
        <v/>
      </c>
      <c r="AT30" s="45" t="str">
        <f t="shared" ca="1" si="14"/>
        <v/>
      </c>
      <c r="AU30" s="45" t="str">
        <f t="shared" ca="1" si="14"/>
        <v/>
      </c>
      <c r="AV30" s="45" t="str">
        <f t="shared" ca="1" si="14"/>
        <v/>
      </c>
      <c r="AW30" s="45" t="str">
        <f t="shared" ca="1" si="14"/>
        <v/>
      </c>
      <c r="AX30" s="45" t="str">
        <f t="shared" ca="1" si="14"/>
        <v/>
      </c>
      <c r="AY30" s="45" t="str">
        <f t="shared" ca="1" si="14"/>
        <v/>
      </c>
      <c r="AZ30" s="45" t="str">
        <f t="shared" ca="1" si="14"/>
        <v/>
      </c>
      <c r="BA30" s="45" t="str">
        <f t="shared" ca="1" si="14"/>
        <v/>
      </c>
      <c r="BB30" s="45" t="str">
        <f t="shared" ca="1" si="14"/>
        <v/>
      </c>
      <c r="BC30" s="45" t="str">
        <f t="shared" ca="1" si="14"/>
        <v/>
      </c>
      <c r="BD30" s="45" t="str">
        <f t="shared" ca="1" si="14"/>
        <v/>
      </c>
      <c r="BE30" s="45" t="str">
        <f t="shared" ca="1" si="14"/>
        <v/>
      </c>
      <c r="BF30" s="45" t="str">
        <f t="shared" ca="1" si="14"/>
        <v/>
      </c>
      <c r="BG30" s="45" t="str">
        <f t="shared" ca="1" si="14"/>
        <v/>
      </c>
      <c r="BH30" s="45" t="str">
        <f t="shared" ca="1" si="14"/>
        <v/>
      </c>
      <c r="BI30" s="45" t="str">
        <f t="shared" ca="1" si="14"/>
        <v/>
      </c>
      <c r="BJ30" s="45" t="str">
        <f t="shared" ca="1" si="14"/>
        <v/>
      </c>
      <c r="BK30" s="45" t="str">
        <f t="shared" ca="1" si="14"/>
        <v/>
      </c>
      <c r="BL30" s="45" t="str">
        <f t="shared" ca="1" si="14"/>
        <v/>
      </c>
      <c r="BM30" s="45"/>
    </row>
    <row r="31" spans="1:65" s="1" customFormat="1" ht="18" customHeight="1" x14ac:dyDescent="0.25">
      <c r="A31" s="96"/>
      <c r="B31" s="92" t="s">
        <v>47</v>
      </c>
      <c r="C31" s="91" t="s">
        <v>9</v>
      </c>
      <c r="D31" s="57">
        <v>1</v>
      </c>
      <c r="E31" s="58"/>
      <c r="F31" s="71"/>
      <c r="G31" s="75"/>
      <c r="H31" s="76"/>
      <c r="I31" s="45" t="str">
        <f t="shared" ca="1" si="15"/>
        <v/>
      </c>
      <c r="J31" s="45" t="str">
        <f t="shared" ca="1" si="15"/>
        <v/>
      </c>
      <c r="K31" s="45" t="str">
        <f t="shared" ca="1" si="15"/>
        <v/>
      </c>
      <c r="L31" s="45" t="str">
        <f t="shared" ca="1" si="15"/>
        <v/>
      </c>
      <c r="M31" s="45" t="str">
        <f t="shared" ca="1" si="15"/>
        <v/>
      </c>
      <c r="N31" s="45" t="str">
        <f t="shared" ca="1" si="15"/>
        <v/>
      </c>
      <c r="O31" s="45" t="str">
        <f t="shared" ca="1" si="15"/>
        <v/>
      </c>
      <c r="P31" s="45" t="str">
        <f t="shared" ca="1" si="15"/>
        <v/>
      </c>
      <c r="Q31" s="45" t="str">
        <f t="shared" ca="1" si="15"/>
        <v/>
      </c>
      <c r="R31" s="45" t="str">
        <f t="shared" ca="1" si="15"/>
        <v/>
      </c>
      <c r="S31" s="45" t="str">
        <f t="shared" ca="1" si="15"/>
        <v/>
      </c>
      <c r="T31" s="45" t="str">
        <f t="shared" ca="1" si="15"/>
        <v/>
      </c>
      <c r="U31" s="45" t="str">
        <f t="shared" ca="1" si="15"/>
        <v/>
      </c>
      <c r="V31" s="45" t="str">
        <f t="shared" ca="1" si="15"/>
        <v/>
      </c>
      <c r="W31" s="45" t="str">
        <f t="shared" ca="1" si="12"/>
        <v/>
      </c>
      <c r="X31" s="45" t="str">
        <f t="shared" ca="1" si="14"/>
        <v/>
      </c>
      <c r="Y31" s="45" t="str">
        <f t="shared" ca="1" si="14"/>
        <v/>
      </c>
      <c r="Z31" s="45" t="str">
        <f t="shared" ca="1" si="14"/>
        <v/>
      </c>
      <c r="AA31" s="45" t="str">
        <f t="shared" ca="1" si="14"/>
        <v/>
      </c>
      <c r="AB31" s="45" t="str">
        <f t="shared" ca="1" si="14"/>
        <v/>
      </c>
      <c r="AC31" s="45" t="str">
        <f t="shared" ca="1" si="14"/>
        <v/>
      </c>
      <c r="AD31" s="45" t="str">
        <f t="shared" ca="1" si="14"/>
        <v/>
      </c>
      <c r="AE31" s="45" t="str">
        <f t="shared" ca="1" si="14"/>
        <v/>
      </c>
      <c r="AF31" s="45" t="str">
        <f t="shared" ca="1" si="14"/>
        <v/>
      </c>
      <c r="AG31" s="45" t="str">
        <f t="shared" ca="1" si="14"/>
        <v/>
      </c>
      <c r="AH31" s="45" t="str">
        <f t="shared" ca="1" si="14"/>
        <v/>
      </c>
      <c r="AI31" s="45" t="str">
        <f t="shared" ref="X31:BL37" ca="1" si="16">IF(AND($C31="Ziel",$H31=AI$7),2,IF(AND($C31="Meilenstein",$H31=AI$7),1,""))</f>
        <v/>
      </c>
      <c r="AJ31" s="45" t="str">
        <f t="shared" ca="1" si="16"/>
        <v/>
      </c>
      <c r="AK31" s="45" t="str">
        <f t="shared" ca="1" si="16"/>
        <v/>
      </c>
      <c r="AL31" s="45" t="str">
        <f t="shared" ca="1" si="16"/>
        <v/>
      </c>
      <c r="AM31" s="45" t="str">
        <f t="shared" ca="1" si="16"/>
        <v/>
      </c>
      <c r="AN31" s="45" t="str">
        <f t="shared" ca="1" si="16"/>
        <v/>
      </c>
      <c r="AO31" s="45" t="str">
        <f t="shared" ca="1" si="16"/>
        <v/>
      </c>
      <c r="AP31" s="45" t="str">
        <f t="shared" ca="1" si="16"/>
        <v/>
      </c>
      <c r="AQ31" s="45" t="str">
        <f t="shared" ca="1" si="16"/>
        <v/>
      </c>
      <c r="AR31" s="45" t="str">
        <f t="shared" ca="1" si="16"/>
        <v/>
      </c>
      <c r="AS31" s="45" t="str">
        <f t="shared" ca="1" si="16"/>
        <v/>
      </c>
      <c r="AT31" s="45" t="str">
        <f t="shared" ca="1" si="16"/>
        <v/>
      </c>
      <c r="AU31" s="45" t="str">
        <f t="shared" ca="1" si="16"/>
        <v/>
      </c>
      <c r="AV31" s="45" t="str">
        <f t="shared" ca="1" si="16"/>
        <v/>
      </c>
      <c r="AW31" s="45" t="str">
        <f t="shared" ca="1" si="16"/>
        <v/>
      </c>
      <c r="AX31" s="45" t="str">
        <f t="shared" ca="1" si="16"/>
        <v/>
      </c>
      <c r="AY31" s="45" t="str">
        <f t="shared" ca="1" si="16"/>
        <v/>
      </c>
      <c r="AZ31" s="45" t="str">
        <f t="shared" ca="1" si="16"/>
        <v/>
      </c>
      <c r="BA31" s="45" t="str">
        <f t="shared" ca="1" si="16"/>
        <v/>
      </c>
      <c r="BB31" s="45" t="str">
        <f t="shared" ca="1" si="16"/>
        <v/>
      </c>
      <c r="BC31" s="45" t="str">
        <f t="shared" ca="1" si="16"/>
        <v/>
      </c>
      <c r="BD31" s="45" t="str">
        <f t="shared" ca="1" si="16"/>
        <v/>
      </c>
      <c r="BE31" s="45" t="str">
        <f t="shared" ca="1" si="16"/>
        <v/>
      </c>
      <c r="BF31" s="45" t="str">
        <f t="shared" ca="1" si="16"/>
        <v/>
      </c>
      <c r="BG31" s="45" t="str">
        <f t="shared" ca="1" si="16"/>
        <v/>
      </c>
      <c r="BH31" s="45" t="str">
        <f t="shared" ca="1" si="16"/>
        <v/>
      </c>
      <c r="BI31" s="45" t="str">
        <f t="shared" ca="1" si="16"/>
        <v/>
      </c>
      <c r="BJ31" s="45" t="str">
        <f t="shared" ca="1" si="16"/>
        <v/>
      </c>
      <c r="BK31" s="45" t="str">
        <f t="shared" ca="1" si="16"/>
        <v/>
      </c>
      <c r="BL31" s="45" t="str">
        <f t="shared" ca="1" si="16"/>
        <v/>
      </c>
      <c r="BM31" s="45"/>
    </row>
    <row r="32" spans="1:65" s="1" customFormat="1" ht="18" customHeight="1" x14ac:dyDescent="0.25">
      <c r="A32" s="96"/>
      <c r="B32" s="92" t="s">
        <v>47</v>
      </c>
      <c r="C32" s="91" t="s">
        <v>9</v>
      </c>
      <c r="D32" s="57">
        <v>2</v>
      </c>
      <c r="E32" s="58"/>
      <c r="F32" s="71"/>
      <c r="G32" s="75"/>
      <c r="H32" s="76"/>
      <c r="I32" s="45" t="str">
        <f t="shared" ca="1" si="15"/>
        <v/>
      </c>
      <c r="J32" s="45" t="str">
        <f t="shared" ca="1" si="15"/>
        <v/>
      </c>
      <c r="K32" s="45" t="str">
        <f t="shared" ca="1" si="15"/>
        <v/>
      </c>
      <c r="L32" s="45" t="str">
        <f t="shared" ca="1" si="15"/>
        <v/>
      </c>
      <c r="M32" s="45" t="str">
        <f t="shared" ca="1" si="15"/>
        <v/>
      </c>
      <c r="N32" s="45" t="str">
        <f t="shared" ca="1" si="15"/>
        <v/>
      </c>
      <c r="O32" s="45" t="str">
        <f t="shared" ca="1" si="15"/>
        <v/>
      </c>
      <c r="P32" s="45" t="str">
        <f t="shared" ca="1" si="15"/>
        <v/>
      </c>
      <c r="Q32" s="45" t="str">
        <f t="shared" ca="1" si="15"/>
        <v/>
      </c>
      <c r="R32" s="45" t="str">
        <f t="shared" ca="1" si="15"/>
        <v/>
      </c>
      <c r="S32" s="45" t="str">
        <f t="shared" ca="1" si="15"/>
        <v/>
      </c>
      <c r="T32" s="45" t="str">
        <f t="shared" ca="1" si="15"/>
        <v/>
      </c>
      <c r="U32" s="45" t="str">
        <f t="shared" ca="1" si="15"/>
        <v/>
      </c>
      <c r="V32" s="45" t="str">
        <f t="shared" ca="1" si="15"/>
        <v/>
      </c>
      <c r="W32" s="45" t="str">
        <f t="shared" ca="1" si="12"/>
        <v/>
      </c>
      <c r="X32" s="45" t="str">
        <f t="shared" ca="1" si="16"/>
        <v/>
      </c>
      <c r="Y32" s="45" t="str">
        <f t="shared" ca="1" si="16"/>
        <v/>
      </c>
      <c r="Z32" s="45" t="str">
        <f t="shared" ca="1" si="16"/>
        <v/>
      </c>
      <c r="AA32" s="45" t="str">
        <f t="shared" ca="1" si="16"/>
        <v/>
      </c>
      <c r="AB32" s="45" t="str">
        <f t="shared" ca="1" si="16"/>
        <v/>
      </c>
      <c r="AC32" s="45" t="str">
        <f t="shared" ca="1" si="16"/>
        <v/>
      </c>
      <c r="AD32" s="45" t="str">
        <f t="shared" ca="1" si="16"/>
        <v/>
      </c>
      <c r="AE32" s="45" t="str">
        <f t="shared" ca="1" si="16"/>
        <v/>
      </c>
      <c r="AF32" s="45" t="str">
        <f t="shared" ca="1" si="16"/>
        <v/>
      </c>
      <c r="AG32" s="45" t="str">
        <f t="shared" ca="1" si="16"/>
        <v/>
      </c>
      <c r="AH32" s="45" t="str">
        <f t="shared" ca="1" si="16"/>
        <v/>
      </c>
      <c r="AI32" s="45" t="str">
        <f t="shared" ca="1" si="16"/>
        <v/>
      </c>
      <c r="AJ32" s="45" t="str">
        <f t="shared" ca="1" si="16"/>
        <v/>
      </c>
      <c r="AK32" s="45" t="str">
        <f t="shared" ca="1" si="16"/>
        <v/>
      </c>
      <c r="AL32" s="45" t="str">
        <f t="shared" ca="1" si="16"/>
        <v/>
      </c>
      <c r="AM32" s="45" t="str">
        <f t="shared" ca="1" si="16"/>
        <v/>
      </c>
      <c r="AN32" s="45" t="str">
        <f t="shared" ca="1" si="16"/>
        <v/>
      </c>
      <c r="AO32" s="45" t="str">
        <f t="shared" ca="1" si="16"/>
        <v/>
      </c>
      <c r="AP32" s="45" t="str">
        <f t="shared" ca="1" si="16"/>
        <v/>
      </c>
      <c r="AQ32" s="45" t="str">
        <f t="shared" ca="1" si="16"/>
        <v/>
      </c>
      <c r="AR32" s="45" t="str">
        <f t="shared" ca="1" si="16"/>
        <v/>
      </c>
      <c r="AS32" s="45" t="str">
        <f t="shared" ca="1" si="16"/>
        <v/>
      </c>
      <c r="AT32" s="45" t="str">
        <f t="shared" ca="1" si="16"/>
        <v/>
      </c>
      <c r="AU32" s="45" t="str">
        <f t="shared" ca="1" si="16"/>
        <v/>
      </c>
      <c r="AV32" s="45" t="str">
        <f t="shared" ca="1" si="16"/>
        <v/>
      </c>
      <c r="AW32" s="45" t="str">
        <f t="shared" ca="1" si="16"/>
        <v/>
      </c>
      <c r="AX32" s="45" t="str">
        <f t="shared" ca="1" si="16"/>
        <v/>
      </c>
      <c r="AY32" s="45" t="str">
        <f t="shared" ca="1" si="16"/>
        <v/>
      </c>
      <c r="AZ32" s="45" t="str">
        <f t="shared" ca="1" si="16"/>
        <v/>
      </c>
      <c r="BA32" s="45" t="str">
        <f t="shared" ca="1" si="16"/>
        <v/>
      </c>
      <c r="BB32" s="45" t="str">
        <f t="shared" ca="1" si="16"/>
        <v/>
      </c>
      <c r="BC32" s="45" t="str">
        <f t="shared" ca="1" si="16"/>
        <v/>
      </c>
      <c r="BD32" s="45" t="str">
        <f t="shared" ca="1" si="16"/>
        <v/>
      </c>
      <c r="BE32" s="45" t="str">
        <f t="shared" ca="1" si="16"/>
        <v/>
      </c>
      <c r="BF32" s="45" t="str">
        <f t="shared" ca="1" si="16"/>
        <v/>
      </c>
      <c r="BG32" s="45" t="str">
        <f t="shared" ca="1" si="16"/>
        <v/>
      </c>
      <c r="BH32" s="45" t="str">
        <f t="shared" ca="1" si="16"/>
        <v/>
      </c>
      <c r="BI32" s="45" t="str">
        <f t="shared" ca="1" si="16"/>
        <v/>
      </c>
      <c r="BJ32" s="45" t="str">
        <f t="shared" ca="1" si="16"/>
        <v/>
      </c>
      <c r="BK32" s="45" t="str">
        <f t="shared" ca="1" si="16"/>
        <v/>
      </c>
      <c r="BL32" s="45" t="str">
        <f t="shared" ca="1" si="16"/>
        <v/>
      </c>
      <c r="BM32" s="45"/>
    </row>
    <row r="33" spans="1:65" s="1" customFormat="1" ht="18" customHeight="1" x14ac:dyDescent="0.25">
      <c r="A33" s="96"/>
      <c r="B33" s="92" t="s">
        <v>47</v>
      </c>
      <c r="C33" s="91" t="s">
        <v>9</v>
      </c>
      <c r="D33" s="57">
        <v>3</v>
      </c>
      <c r="E33" s="58"/>
      <c r="F33" s="71"/>
      <c r="G33" s="75"/>
      <c r="H33" s="76"/>
      <c r="I33" s="45" t="str">
        <f t="shared" ca="1" si="15"/>
        <v/>
      </c>
      <c r="J33" s="45" t="str">
        <f t="shared" ca="1" si="15"/>
        <v/>
      </c>
      <c r="K33" s="45" t="str">
        <f t="shared" ca="1" si="15"/>
        <v/>
      </c>
      <c r="L33" s="45" t="str">
        <f t="shared" ca="1" si="15"/>
        <v/>
      </c>
      <c r="M33" s="45" t="str">
        <f t="shared" ca="1" si="15"/>
        <v/>
      </c>
      <c r="N33" s="45" t="str">
        <f t="shared" ca="1" si="15"/>
        <v/>
      </c>
      <c r="O33" s="45" t="str">
        <f t="shared" ca="1" si="15"/>
        <v/>
      </c>
      <c r="P33" s="45" t="str">
        <f t="shared" ca="1" si="15"/>
        <v/>
      </c>
      <c r="Q33" s="45" t="str">
        <f t="shared" ca="1" si="15"/>
        <v/>
      </c>
      <c r="R33" s="45" t="str">
        <f t="shared" ca="1" si="15"/>
        <v/>
      </c>
      <c r="S33" s="45" t="str">
        <f t="shared" ca="1" si="15"/>
        <v/>
      </c>
      <c r="T33" s="45" t="str">
        <f t="shared" ca="1" si="15"/>
        <v/>
      </c>
      <c r="U33" s="45" t="str">
        <f t="shared" ca="1" si="15"/>
        <v/>
      </c>
      <c r="V33" s="45" t="str">
        <f t="shared" ca="1" si="15"/>
        <v/>
      </c>
      <c r="W33" s="45" t="str">
        <f t="shared" ca="1" si="12"/>
        <v/>
      </c>
      <c r="X33" s="45" t="str">
        <f t="shared" ca="1" si="16"/>
        <v/>
      </c>
      <c r="Y33" s="45" t="str">
        <f t="shared" ca="1" si="16"/>
        <v/>
      </c>
      <c r="Z33" s="45" t="str">
        <f t="shared" ca="1" si="16"/>
        <v/>
      </c>
      <c r="AA33" s="45" t="str">
        <f t="shared" ca="1" si="16"/>
        <v/>
      </c>
      <c r="AB33" s="45" t="str">
        <f t="shared" ca="1" si="16"/>
        <v/>
      </c>
      <c r="AC33" s="45" t="str">
        <f t="shared" ca="1" si="16"/>
        <v/>
      </c>
      <c r="AD33" s="45" t="str">
        <f t="shared" ca="1" si="16"/>
        <v/>
      </c>
      <c r="AE33" s="45" t="str">
        <f t="shared" ca="1" si="16"/>
        <v/>
      </c>
      <c r="AF33" s="45" t="str">
        <f t="shared" ca="1" si="16"/>
        <v/>
      </c>
      <c r="AG33" s="45" t="str">
        <f t="shared" ca="1" si="16"/>
        <v/>
      </c>
      <c r="AH33" s="45" t="str">
        <f t="shared" ca="1" si="16"/>
        <v/>
      </c>
      <c r="AI33" s="45" t="str">
        <f t="shared" ca="1" si="16"/>
        <v/>
      </c>
      <c r="AJ33" s="45" t="str">
        <f t="shared" ca="1" si="16"/>
        <v/>
      </c>
      <c r="AK33" s="45" t="str">
        <f t="shared" ca="1" si="16"/>
        <v/>
      </c>
      <c r="AL33" s="45" t="str">
        <f t="shared" ca="1" si="16"/>
        <v/>
      </c>
      <c r="AM33" s="45" t="str">
        <f t="shared" ca="1" si="16"/>
        <v/>
      </c>
      <c r="AN33" s="45" t="str">
        <f t="shared" ca="1" si="16"/>
        <v/>
      </c>
      <c r="AO33" s="45" t="str">
        <f t="shared" ca="1" si="16"/>
        <v/>
      </c>
      <c r="AP33" s="45" t="str">
        <f t="shared" ca="1" si="16"/>
        <v/>
      </c>
      <c r="AQ33" s="45" t="str">
        <f t="shared" ca="1" si="16"/>
        <v/>
      </c>
      <c r="AR33" s="45" t="str">
        <f t="shared" ca="1" si="16"/>
        <v/>
      </c>
      <c r="AS33" s="45" t="str">
        <f t="shared" ca="1" si="16"/>
        <v/>
      </c>
      <c r="AT33" s="45" t="str">
        <f t="shared" ca="1" si="16"/>
        <v/>
      </c>
      <c r="AU33" s="45" t="str">
        <f t="shared" ca="1" si="16"/>
        <v/>
      </c>
      <c r="AV33" s="45" t="str">
        <f t="shared" ca="1" si="16"/>
        <v/>
      </c>
      <c r="AW33" s="45" t="str">
        <f t="shared" ca="1" si="16"/>
        <v/>
      </c>
      <c r="AX33" s="45" t="str">
        <f t="shared" ca="1" si="16"/>
        <v/>
      </c>
      <c r="AY33" s="45" t="str">
        <f t="shared" ca="1" si="16"/>
        <v/>
      </c>
      <c r="AZ33" s="45" t="str">
        <f t="shared" ca="1" si="16"/>
        <v/>
      </c>
      <c r="BA33" s="45" t="str">
        <f t="shared" ca="1" si="16"/>
        <v/>
      </c>
      <c r="BB33" s="45" t="str">
        <f t="shared" ca="1" si="16"/>
        <v/>
      </c>
      <c r="BC33" s="45" t="str">
        <f t="shared" ca="1" si="16"/>
        <v/>
      </c>
      <c r="BD33" s="45" t="str">
        <f t="shared" ca="1" si="16"/>
        <v/>
      </c>
      <c r="BE33" s="45" t="str">
        <f t="shared" ca="1" si="16"/>
        <v/>
      </c>
      <c r="BF33" s="45" t="str">
        <f t="shared" ca="1" si="16"/>
        <v/>
      </c>
      <c r="BG33" s="45" t="str">
        <f t="shared" ca="1" si="16"/>
        <v/>
      </c>
      <c r="BH33" s="45" t="str">
        <f t="shared" ca="1" si="16"/>
        <v/>
      </c>
      <c r="BI33" s="45" t="str">
        <f t="shared" ca="1" si="16"/>
        <v/>
      </c>
      <c r="BJ33" s="45" t="str">
        <f t="shared" ca="1" si="16"/>
        <v/>
      </c>
      <c r="BK33" s="45" t="str">
        <f t="shared" ca="1" si="16"/>
        <v/>
      </c>
      <c r="BL33" s="45" t="str">
        <f t="shared" ca="1" si="16"/>
        <v/>
      </c>
      <c r="BM33" s="45"/>
    </row>
    <row r="34" spans="1:65" s="1" customFormat="1" ht="18" customHeight="1" x14ac:dyDescent="0.25">
      <c r="A34" s="96"/>
      <c r="B34" s="93" t="s">
        <v>47</v>
      </c>
      <c r="C34" s="90" t="s">
        <v>9</v>
      </c>
      <c r="D34" s="79">
        <v>4</v>
      </c>
      <c r="E34" s="80"/>
      <c r="F34" s="81"/>
      <c r="G34" s="85"/>
      <c r="H34" s="87"/>
      <c r="I34" s="84" t="str">
        <f t="shared" ca="1" si="15"/>
        <v/>
      </c>
      <c r="J34" s="84" t="str">
        <f t="shared" ca="1" si="15"/>
        <v/>
      </c>
      <c r="K34" s="84" t="str">
        <f t="shared" ca="1" si="15"/>
        <v/>
      </c>
      <c r="L34" s="84" t="str">
        <f t="shared" ca="1" si="15"/>
        <v/>
      </c>
      <c r="M34" s="84" t="str">
        <f t="shared" ca="1" si="15"/>
        <v/>
      </c>
      <c r="N34" s="84" t="str">
        <f t="shared" ca="1" si="15"/>
        <v/>
      </c>
      <c r="O34" s="84" t="str">
        <f t="shared" ca="1" si="15"/>
        <v/>
      </c>
      <c r="P34" s="84" t="str">
        <f t="shared" ca="1" si="15"/>
        <v/>
      </c>
      <c r="Q34" s="84" t="str">
        <f t="shared" ca="1" si="15"/>
        <v/>
      </c>
      <c r="R34" s="84" t="str">
        <f t="shared" ca="1" si="15"/>
        <v/>
      </c>
      <c r="S34" s="84" t="str">
        <f t="shared" ca="1" si="15"/>
        <v/>
      </c>
      <c r="T34" s="84" t="str">
        <f t="shared" ca="1" si="15"/>
        <v/>
      </c>
      <c r="U34" s="84" t="str">
        <f t="shared" ca="1" si="15"/>
        <v/>
      </c>
      <c r="V34" s="84" t="str">
        <f t="shared" ca="1" si="15"/>
        <v/>
      </c>
      <c r="W34" s="84" t="str">
        <f t="shared" ca="1" si="12"/>
        <v/>
      </c>
      <c r="X34" s="84" t="str">
        <f t="shared" ca="1" si="16"/>
        <v/>
      </c>
      <c r="Y34" s="84" t="str">
        <f t="shared" ca="1" si="16"/>
        <v/>
      </c>
      <c r="Z34" s="84" t="str">
        <f t="shared" ca="1" si="16"/>
        <v/>
      </c>
      <c r="AA34" s="84" t="str">
        <f t="shared" ca="1" si="16"/>
        <v/>
      </c>
      <c r="AB34" s="84" t="str">
        <f t="shared" ca="1" si="16"/>
        <v/>
      </c>
      <c r="AC34" s="84" t="str">
        <f t="shared" ca="1" si="16"/>
        <v/>
      </c>
      <c r="AD34" s="84" t="str">
        <f t="shared" ca="1" si="16"/>
        <v/>
      </c>
      <c r="AE34" s="84" t="str">
        <f t="shared" ca="1" si="16"/>
        <v/>
      </c>
      <c r="AF34" s="84" t="str">
        <f t="shared" ca="1" si="16"/>
        <v/>
      </c>
      <c r="AG34" s="84" t="str">
        <f t="shared" ca="1" si="16"/>
        <v/>
      </c>
      <c r="AH34" s="84" t="str">
        <f t="shared" ca="1" si="16"/>
        <v/>
      </c>
      <c r="AI34" s="84" t="str">
        <f t="shared" ca="1" si="16"/>
        <v/>
      </c>
      <c r="AJ34" s="84" t="str">
        <f t="shared" ca="1" si="16"/>
        <v/>
      </c>
      <c r="AK34" s="84" t="str">
        <f t="shared" ca="1" si="16"/>
        <v/>
      </c>
      <c r="AL34" s="84" t="str">
        <f t="shared" ca="1" si="16"/>
        <v/>
      </c>
      <c r="AM34" s="84" t="str">
        <f t="shared" ca="1" si="16"/>
        <v/>
      </c>
      <c r="AN34" s="84" t="str">
        <f t="shared" ca="1" si="16"/>
        <v/>
      </c>
      <c r="AO34" s="84" t="str">
        <f t="shared" ca="1" si="16"/>
        <v/>
      </c>
      <c r="AP34" s="84" t="str">
        <f t="shared" ca="1" si="16"/>
        <v/>
      </c>
      <c r="AQ34" s="84" t="str">
        <f t="shared" ca="1" si="16"/>
        <v/>
      </c>
      <c r="AR34" s="84" t="str">
        <f t="shared" ca="1" si="16"/>
        <v/>
      </c>
      <c r="AS34" s="84" t="str">
        <f t="shared" ca="1" si="16"/>
        <v/>
      </c>
      <c r="AT34" s="84" t="str">
        <f t="shared" ca="1" si="16"/>
        <v/>
      </c>
      <c r="AU34" s="84" t="str">
        <f t="shared" ca="1" si="16"/>
        <v/>
      </c>
      <c r="AV34" s="84" t="str">
        <f t="shared" ca="1" si="16"/>
        <v/>
      </c>
      <c r="AW34" s="84" t="str">
        <f t="shared" ca="1" si="16"/>
        <v/>
      </c>
      <c r="AX34" s="84" t="str">
        <f t="shared" ca="1" si="16"/>
        <v/>
      </c>
      <c r="AY34" s="84" t="str">
        <f t="shared" ca="1" si="16"/>
        <v/>
      </c>
      <c r="AZ34" s="84" t="str">
        <f t="shared" ca="1" si="16"/>
        <v/>
      </c>
      <c r="BA34" s="84" t="str">
        <f t="shared" ca="1" si="16"/>
        <v/>
      </c>
      <c r="BB34" s="84" t="str">
        <f t="shared" ca="1" si="16"/>
        <v/>
      </c>
      <c r="BC34" s="84" t="str">
        <f t="shared" ca="1" si="16"/>
        <v/>
      </c>
      <c r="BD34" s="84" t="str">
        <f t="shared" ca="1" si="16"/>
        <v/>
      </c>
      <c r="BE34" s="84" t="str">
        <f t="shared" ca="1" si="16"/>
        <v/>
      </c>
      <c r="BF34" s="84" t="str">
        <f t="shared" ca="1" si="16"/>
        <v/>
      </c>
      <c r="BG34" s="84" t="str">
        <f t="shared" ca="1" si="16"/>
        <v/>
      </c>
      <c r="BH34" s="84" t="str">
        <f t="shared" ca="1" si="16"/>
        <v/>
      </c>
      <c r="BI34" s="84" t="str">
        <f t="shared" ca="1" si="16"/>
        <v/>
      </c>
      <c r="BJ34" s="84" t="str">
        <f t="shared" ca="1" si="16"/>
        <v/>
      </c>
      <c r="BK34" s="84" t="str">
        <f t="shared" ca="1" si="16"/>
        <v/>
      </c>
      <c r="BL34" s="84" t="str">
        <f t="shared" ca="1" si="16"/>
        <v/>
      </c>
      <c r="BM34" s="84"/>
    </row>
    <row r="35" spans="1:65" s="1" customFormat="1" ht="18" customHeight="1" x14ac:dyDescent="0.25">
      <c r="A35" s="96"/>
      <c r="B35" s="66" t="s">
        <v>48</v>
      </c>
      <c r="C35" s="56"/>
      <c r="D35" s="57"/>
      <c r="E35" s="58"/>
      <c r="F35" s="71"/>
      <c r="G35" s="72"/>
      <c r="H35" s="73"/>
      <c r="I35" s="69" t="str">
        <f t="shared" ca="1" si="15"/>
        <v/>
      </c>
      <c r="J35" s="69" t="str">
        <f t="shared" ca="1" si="15"/>
        <v/>
      </c>
      <c r="K35" s="69" t="str">
        <f t="shared" ca="1" si="15"/>
        <v/>
      </c>
      <c r="L35" s="69" t="str">
        <f t="shared" ca="1" si="15"/>
        <v/>
      </c>
      <c r="M35" s="69" t="str">
        <f t="shared" ca="1" si="15"/>
        <v/>
      </c>
      <c r="N35" s="69" t="str">
        <f t="shared" ca="1" si="15"/>
        <v/>
      </c>
      <c r="O35" s="69" t="str">
        <f t="shared" ca="1" si="15"/>
        <v/>
      </c>
      <c r="P35" s="69" t="str">
        <f t="shared" ca="1" si="15"/>
        <v/>
      </c>
      <c r="Q35" s="69" t="str">
        <f t="shared" ca="1" si="15"/>
        <v/>
      </c>
      <c r="R35" s="69" t="str">
        <f t="shared" ca="1" si="15"/>
        <v/>
      </c>
      <c r="S35" s="69" t="str">
        <f t="shared" ca="1" si="15"/>
        <v/>
      </c>
      <c r="T35" s="69" t="str">
        <f t="shared" ca="1" si="15"/>
        <v/>
      </c>
      <c r="U35" s="69" t="str">
        <f t="shared" ca="1" si="15"/>
        <v/>
      </c>
      <c r="V35" s="69" t="str">
        <f t="shared" ca="1" si="15"/>
        <v/>
      </c>
      <c r="W35" s="69" t="str">
        <f t="shared" ca="1" si="12"/>
        <v/>
      </c>
      <c r="X35" s="69" t="str">
        <f t="shared" ca="1" si="16"/>
        <v/>
      </c>
      <c r="Y35" s="69" t="str">
        <f t="shared" ca="1" si="16"/>
        <v/>
      </c>
      <c r="Z35" s="69" t="str">
        <f t="shared" ca="1" si="16"/>
        <v/>
      </c>
      <c r="AA35" s="69" t="str">
        <f t="shared" ca="1" si="16"/>
        <v/>
      </c>
      <c r="AB35" s="69" t="str">
        <f t="shared" ca="1" si="16"/>
        <v/>
      </c>
      <c r="AC35" s="69" t="str">
        <f t="shared" ca="1" si="16"/>
        <v/>
      </c>
      <c r="AD35" s="69" t="str">
        <f t="shared" ca="1" si="16"/>
        <v/>
      </c>
      <c r="AE35" s="69" t="str">
        <f t="shared" ca="1" si="16"/>
        <v/>
      </c>
      <c r="AF35" s="69" t="str">
        <f t="shared" ca="1" si="16"/>
        <v/>
      </c>
      <c r="AG35" s="69" t="str">
        <f t="shared" ca="1" si="16"/>
        <v/>
      </c>
      <c r="AH35" s="69" t="str">
        <f t="shared" ca="1" si="16"/>
        <v/>
      </c>
      <c r="AI35" s="69" t="str">
        <f t="shared" ca="1" si="16"/>
        <v/>
      </c>
      <c r="AJ35" s="69" t="str">
        <f t="shared" ca="1" si="16"/>
        <v/>
      </c>
      <c r="AK35" s="69" t="str">
        <f t="shared" ca="1" si="16"/>
        <v/>
      </c>
      <c r="AL35" s="69" t="str">
        <f t="shared" ca="1" si="16"/>
        <v/>
      </c>
      <c r="AM35" s="69" t="str">
        <f t="shared" ca="1" si="16"/>
        <v/>
      </c>
      <c r="AN35" s="69" t="str">
        <f t="shared" ca="1" si="16"/>
        <v/>
      </c>
      <c r="AO35" s="69" t="str">
        <f t="shared" ca="1" si="16"/>
        <v/>
      </c>
      <c r="AP35" s="69" t="str">
        <f t="shared" ca="1" si="16"/>
        <v/>
      </c>
      <c r="AQ35" s="69" t="str">
        <f t="shared" ca="1" si="16"/>
        <v/>
      </c>
      <c r="AR35" s="69" t="str">
        <f t="shared" ca="1" si="16"/>
        <v/>
      </c>
      <c r="AS35" s="69" t="str">
        <f t="shared" ca="1" si="16"/>
        <v/>
      </c>
      <c r="AT35" s="69" t="str">
        <f t="shared" ca="1" si="16"/>
        <v/>
      </c>
      <c r="AU35" s="69" t="str">
        <f t="shared" ca="1" si="16"/>
        <v/>
      </c>
      <c r="AV35" s="69" t="str">
        <f t="shared" ca="1" si="16"/>
        <v/>
      </c>
      <c r="AW35" s="69" t="str">
        <f t="shared" ca="1" si="16"/>
        <v/>
      </c>
      <c r="AX35" s="69" t="str">
        <f t="shared" ca="1" si="16"/>
        <v/>
      </c>
      <c r="AY35" s="69" t="str">
        <f t="shared" ca="1" si="16"/>
        <v/>
      </c>
      <c r="AZ35" s="69" t="str">
        <f t="shared" ca="1" si="16"/>
        <v/>
      </c>
      <c r="BA35" s="69" t="str">
        <f t="shared" ca="1" si="16"/>
        <v/>
      </c>
      <c r="BB35" s="69" t="str">
        <f t="shared" ca="1" si="16"/>
        <v/>
      </c>
      <c r="BC35" s="69" t="str">
        <f t="shared" ca="1" si="16"/>
        <v/>
      </c>
      <c r="BD35" s="69" t="str">
        <f t="shared" ca="1" si="16"/>
        <v/>
      </c>
      <c r="BE35" s="69" t="str">
        <f t="shared" ca="1" si="16"/>
        <v/>
      </c>
      <c r="BF35" s="69" t="str">
        <f t="shared" ca="1" si="16"/>
        <v/>
      </c>
      <c r="BG35" s="69" t="str">
        <f t="shared" ca="1" si="16"/>
        <v/>
      </c>
      <c r="BH35" s="69" t="str">
        <f t="shared" ca="1" si="16"/>
        <v/>
      </c>
      <c r="BI35" s="69" t="str">
        <f t="shared" ca="1" si="16"/>
        <v/>
      </c>
      <c r="BJ35" s="69" t="str">
        <f t="shared" ca="1" si="16"/>
        <v/>
      </c>
      <c r="BK35" s="69" t="str">
        <f t="shared" ca="1" si="16"/>
        <v/>
      </c>
      <c r="BL35" s="69" t="str">
        <f t="shared" ca="1" si="16"/>
        <v/>
      </c>
      <c r="BM35" s="69"/>
    </row>
    <row r="36" spans="1:65" s="1" customFormat="1" ht="18" customHeight="1" x14ac:dyDescent="0.25">
      <c r="A36" s="96"/>
      <c r="B36" s="65" t="s">
        <v>49</v>
      </c>
      <c r="C36" s="56" t="s">
        <v>6</v>
      </c>
      <c r="D36" s="57"/>
      <c r="E36" s="58"/>
      <c r="F36" s="71">
        <f>Plan_Weihnachten[[#This Row],[Ende]]-Plan_Weihnachten[[#This Row],[Dauer
in Tage]]</f>
        <v>-3</v>
      </c>
      <c r="G36" s="72">
        <v>3</v>
      </c>
      <c r="H36" s="73">
        <f>H38</f>
        <v>0</v>
      </c>
      <c r="I36" s="45" t="str">
        <f t="shared" ca="1" si="15"/>
        <v/>
      </c>
      <c r="J36" s="45" t="str">
        <f t="shared" ca="1" si="15"/>
        <v/>
      </c>
      <c r="K36" s="45" t="str">
        <f t="shared" ca="1" si="15"/>
        <v/>
      </c>
      <c r="L36" s="45" t="str">
        <f t="shared" ca="1" si="15"/>
        <v/>
      </c>
      <c r="M36" s="45" t="str">
        <f t="shared" ca="1" si="15"/>
        <v/>
      </c>
      <c r="N36" s="45" t="str">
        <f t="shared" ca="1" si="15"/>
        <v/>
      </c>
      <c r="O36" s="45" t="str">
        <f t="shared" ca="1" si="15"/>
        <v/>
      </c>
      <c r="P36" s="45" t="str">
        <f t="shared" ca="1" si="15"/>
        <v/>
      </c>
      <c r="Q36" s="45" t="str">
        <f t="shared" ca="1" si="15"/>
        <v/>
      </c>
      <c r="R36" s="45" t="str">
        <f t="shared" ca="1" si="15"/>
        <v/>
      </c>
      <c r="S36" s="45" t="str">
        <f t="shared" ca="1" si="15"/>
        <v/>
      </c>
      <c r="T36" s="45" t="str">
        <f t="shared" ca="1" si="15"/>
        <v/>
      </c>
      <c r="U36" s="45" t="str">
        <f t="shared" ca="1" si="15"/>
        <v/>
      </c>
      <c r="V36" s="45" t="str">
        <f t="shared" ca="1" si="15"/>
        <v/>
      </c>
      <c r="W36" s="45" t="str">
        <f t="shared" ca="1" si="12"/>
        <v/>
      </c>
      <c r="X36" s="45" t="str">
        <f t="shared" ca="1" si="16"/>
        <v/>
      </c>
      <c r="Y36" s="45" t="str">
        <f t="shared" ca="1" si="16"/>
        <v/>
      </c>
      <c r="Z36" s="45" t="str">
        <f t="shared" ca="1" si="16"/>
        <v/>
      </c>
      <c r="AA36" s="45" t="str">
        <f t="shared" ca="1" si="16"/>
        <v/>
      </c>
      <c r="AB36" s="45" t="str">
        <f t="shared" ca="1" si="16"/>
        <v/>
      </c>
      <c r="AC36" s="45" t="str">
        <f t="shared" ca="1" si="16"/>
        <v/>
      </c>
      <c r="AD36" s="45" t="str">
        <f t="shared" ca="1" si="16"/>
        <v/>
      </c>
      <c r="AE36" s="45" t="str">
        <f t="shared" ca="1" si="16"/>
        <v/>
      </c>
      <c r="AF36" s="45" t="str">
        <f t="shared" ca="1" si="16"/>
        <v/>
      </c>
      <c r="AG36" s="45" t="str">
        <f t="shared" ca="1" si="16"/>
        <v/>
      </c>
      <c r="AH36" s="45" t="str">
        <f t="shared" ca="1" si="16"/>
        <v/>
      </c>
      <c r="AI36" s="45" t="str">
        <f t="shared" ca="1" si="16"/>
        <v/>
      </c>
      <c r="AJ36" s="45" t="str">
        <f t="shared" ca="1" si="16"/>
        <v/>
      </c>
      <c r="AK36" s="45" t="str">
        <f t="shared" ca="1" si="16"/>
        <v/>
      </c>
      <c r="AL36" s="45" t="str">
        <f t="shared" ca="1" si="16"/>
        <v/>
      </c>
      <c r="AM36" s="45" t="str">
        <f t="shared" ca="1" si="16"/>
        <v/>
      </c>
      <c r="AN36" s="45" t="str">
        <f t="shared" ca="1" si="16"/>
        <v/>
      </c>
      <c r="AO36" s="45" t="str">
        <f t="shared" ca="1" si="16"/>
        <v/>
      </c>
      <c r="AP36" s="45" t="str">
        <f t="shared" ca="1" si="16"/>
        <v/>
      </c>
      <c r="AQ36" s="45" t="str">
        <f t="shared" ca="1" si="16"/>
        <v/>
      </c>
      <c r="AR36" s="45" t="str">
        <f t="shared" ca="1" si="16"/>
        <v/>
      </c>
      <c r="AS36" s="45" t="str">
        <f t="shared" ca="1" si="16"/>
        <v/>
      </c>
      <c r="AT36" s="45" t="str">
        <f t="shared" ca="1" si="16"/>
        <v/>
      </c>
      <c r="AU36" s="45" t="str">
        <f t="shared" ca="1" si="16"/>
        <v/>
      </c>
      <c r="AV36" s="45" t="str">
        <f t="shared" ca="1" si="16"/>
        <v/>
      </c>
      <c r="AW36" s="45" t="str">
        <f t="shared" ca="1" si="16"/>
        <v/>
      </c>
      <c r="AX36" s="45" t="str">
        <f t="shared" ca="1" si="16"/>
        <v/>
      </c>
      <c r="AY36" s="45" t="str">
        <f t="shared" ca="1" si="16"/>
        <v/>
      </c>
      <c r="AZ36" s="45" t="str">
        <f t="shared" ca="1" si="16"/>
        <v/>
      </c>
      <c r="BA36" s="45" t="str">
        <f t="shared" ca="1" si="16"/>
        <v/>
      </c>
      <c r="BB36" s="45" t="str">
        <f t="shared" ca="1" si="16"/>
        <v/>
      </c>
      <c r="BC36" s="45" t="str">
        <f t="shared" ca="1" si="16"/>
        <v/>
      </c>
      <c r="BD36" s="45" t="str">
        <f t="shared" ca="1" si="16"/>
        <v/>
      </c>
      <c r="BE36" s="45" t="str">
        <f t="shared" ca="1" si="16"/>
        <v/>
      </c>
      <c r="BF36" s="45" t="str">
        <f t="shared" ca="1" si="16"/>
        <v/>
      </c>
      <c r="BG36" s="45" t="str">
        <f t="shared" ca="1" si="16"/>
        <v/>
      </c>
      <c r="BH36" s="45" t="str">
        <f t="shared" ca="1" si="16"/>
        <v/>
      </c>
      <c r="BI36" s="45" t="str">
        <f t="shared" ca="1" si="16"/>
        <v/>
      </c>
      <c r="BJ36" s="45" t="str">
        <f t="shared" ca="1" si="16"/>
        <v/>
      </c>
      <c r="BK36" s="45" t="str">
        <f t="shared" ca="1" si="16"/>
        <v/>
      </c>
      <c r="BL36" s="45" t="str">
        <f t="shared" ca="1" si="16"/>
        <v/>
      </c>
      <c r="BM36" s="45"/>
    </row>
    <row r="37" spans="1:65" s="1" customFormat="1" ht="18" customHeight="1" x14ac:dyDescent="0.25">
      <c r="A37" s="96"/>
      <c r="B37" s="65" t="s">
        <v>37</v>
      </c>
      <c r="C37" s="56" t="s">
        <v>6</v>
      </c>
      <c r="D37" s="57"/>
      <c r="E37" s="58"/>
      <c r="F37" s="71">
        <f>Plan_Weihnachten[[#This Row],[Ende]]-Plan_Weihnachten[[#This Row],[Dauer
in Tage]]</f>
        <v>-3</v>
      </c>
      <c r="G37" s="72">
        <v>3</v>
      </c>
      <c r="H37" s="73">
        <f>H38</f>
        <v>0</v>
      </c>
      <c r="I37" s="45" t="str">
        <f t="shared" ca="1" si="15"/>
        <v/>
      </c>
      <c r="J37" s="45" t="str">
        <f t="shared" ca="1" si="15"/>
        <v/>
      </c>
      <c r="K37" s="45" t="str">
        <f t="shared" ca="1" si="15"/>
        <v/>
      </c>
      <c r="L37" s="45" t="str">
        <f t="shared" ca="1" si="15"/>
        <v/>
      </c>
      <c r="M37" s="45" t="str">
        <f t="shared" ca="1" si="15"/>
        <v/>
      </c>
      <c r="N37" s="45" t="str">
        <f t="shared" ca="1" si="15"/>
        <v/>
      </c>
      <c r="O37" s="45" t="str">
        <f t="shared" ca="1" si="15"/>
        <v/>
      </c>
      <c r="P37" s="45" t="str">
        <f t="shared" ca="1" si="15"/>
        <v/>
      </c>
      <c r="Q37" s="45" t="str">
        <f t="shared" ca="1" si="15"/>
        <v/>
      </c>
      <c r="R37" s="45" t="str">
        <f t="shared" ca="1" si="15"/>
        <v/>
      </c>
      <c r="S37" s="45" t="str">
        <f t="shared" ca="1" si="15"/>
        <v/>
      </c>
      <c r="T37" s="45" t="str">
        <f t="shared" ca="1" si="15"/>
        <v/>
      </c>
      <c r="U37" s="45" t="str">
        <f t="shared" ca="1" si="15"/>
        <v/>
      </c>
      <c r="V37" s="45" t="str">
        <f t="shared" ca="1" si="15"/>
        <v/>
      </c>
      <c r="W37" s="45" t="str">
        <f t="shared" ca="1" si="12"/>
        <v/>
      </c>
      <c r="X37" s="45" t="str">
        <f t="shared" ca="1" si="16"/>
        <v/>
      </c>
      <c r="Y37" s="45" t="str">
        <f t="shared" ca="1" si="16"/>
        <v/>
      </c>
      <c r="Z37" s="45" t="str">
        <f t="shared" ca="1" si="16"/>
        <v/>
      </c>
      <c r="AA37" s="45" t="str">
        <f t="shared" ca="1" si="16"/>
        <v/>
      </c>
      <c r="AB37" s="45" t="str">
        <f t="shared" ca="1" si="16"/>
        <v/>
      </c>
      <c r="AC37" s="45" t="str">
        <f t="shared" ca="1" si="16"/>
        <v/>
      </c>
      <c r="AD37" s="45" t="str">
        <f t="shared" ca="1" si="16"/>
        <v/>
      </c>
      <c r="AE37" s="45" t="str">
        <f t="shared" ca="1" si="16"/>
        <v/>
      </c>
      <c r="AF37" s="45" t="str">
        <f t="shared" ca="1" si="16"/>
        <v/>
      </c>
      <c r="AG37" s="45" t="str">
        <f t="shared" ca="1" si="16"/>
        <v/>
      </c>
      <c r="AH37" s="45" t="str">
        <f t="shared" ca="1" si="16"/>
        <v/>
      </c>
      <c r="AI37" s="45" t="str">
        <f t="shared" ca="1" si="16"/>
        <v/>
      </c>
      <c r="AJ37" s="45" t="str">
        <f t="shared" ca="1" si="16"/>
        <v/>
      </c>
      <c r="AK37" s="45" t="str">
        <f t="shared" ca="1" si="16"/>
        <v/>
      </c>
      <c r="AL37" s="45" t="str">
        <f t="shared" ref="X37:BL43" ca="1" si="17">IF(AND($C37="Ziel",$H37=AL$7),2,IF(AND($C37="Meilenstein",$H37=AL$7),1,""))</f>
        <v/>
      </c>
      <c r="AM37" s="45" t="str">
        <f t="shared" ca="1" si="17"/>
        <v/>
      </c>
      <c r="AN37" s="45" t="str">
        <f t="shared" ca="1" si="17"/>
        <v/>
      </c>
      <c r="AO37" s="45" t="str">
        <f t="shared" ca="1" si="17"/>
        <v/>
      </c>
      <c r="AP37" s="45" t="str">
        <f t="shared" ca="1" si="17"/>
        <v/>
      </c>
      <c r="AQ37" s="45" t="str">
        <f t="shared" ca="1" si="17"/>
        <v/>
      </c>
      <c r="AR37" s="45" t="str">
        <f t="shared" ca="1" si="17"/>
        <v/>
      </c>
      <c r="AS37" s="45" t="str">
        <f t="shared" ca="1" si="17"/>
        <v/>
      </c>
      <c r="AT37" s="45" t="str">
        <f t="shared" ca="1" si="17"/>
        <v/>
      </c>
      <c r="AU37" s="45" t="str">
        <f t="shared" ca="1" si="17"/>
        <v/>
      </c>
      <c r="AV37" s="45" t="str">
        <f t="shared" ca="1" si="17"/>
        <v/>
      </c>
      <c r="AW37" s="45" t="str">
        <f t="shared" ca="1" si="17"/>
        <v/>
      </c>
      <c r="AX37" s="45" t="str">
        <f t="shared" ca="1" si="17"/>
        <v/>
      </c>
      <c r="AY37" s="45" t="str">
        <f t="shared" ca="1" si="17"/>
        <v/>
      </c>
      <c r="AZ37" s="45" t="str">
        <f t="shared" ca="1" si="17"/>
        <v/>
      </c>
      <c r="BA37" s="45" t="str">
        <f t="shared" ca="1" si="17"/>
        <v/>
      </c>
      <c r="BB37" s="45" t="str">
        <f t="shared" ca="1" si="17"/>
        <v/>
      </c>
      <c r="BC37" s="45" t="str">
        <f t="shared" ca="1" si="17"/>
        <v/>
      </c>
      <c r="BD37" s="45" t="str">
        <f t="shared" ca="1" si="17"/>
        <v/>
      </c>
      <c r="BE37" s="45" t="str">
        <f t="shared" ca="1" si="17"/>
        <v/>
      </c>
      <c r="BF37" s="45" t="str">
        <f t="shared" ca="1" si="17"/>
        <v/>
      </c>
      <c r="BG37" s="45" t="str">
        <f t="shared" ca="1" si="17"/>
        <v/>
      </c>
      <c r="BH37" s="45" t="str">
        <f t="shared" ca="1" si="17"/>
        <v/>
      </c>
      <c r="BI37" s="45" t="str">
        <f t="shared" ca="1" si="17"/>
        <v/>
      </c>
      <c r="BJ37" s="45" t="str">
        <f t="shared" ca="1" si="17"/>
        <v/>
      </c>
      <c r="BK37" s="45" t="str">
        <f t="shared" ca="1" si="17"/>
        <v/>
      </c>
      <c r="BL37" s="45" t="str">
        <f t="shared" ca="1" si="17"/>
        <v/>
      </c>
      <c r="BM37" s="45"/>
    </row>
    <row r="38" spans="1:65" s="1" customFormat="1" ht="18" customHeight="1" x14ac:dyDescent="0.25">
      <c r="A38" s="96"/>
      <c r="B38" s="92" t="s">
        <v>47</v>
      </c>
      <c r="C38" s="91" t="s">
        <v>9</v>
      </c>
      <c r="D38" s="57">
        <v>1</v>
      </c>
      <c r="E38" s="58"/>
      <c r="F38" s="71"/>
      <c r="G38" s="75"/>
      <c r="H38" s="76"/>
      <c r="I38" s="45" t="str">
        <f t="shared" ca="1" si="15"/>
        <v/>
      </c>
      <c r="J38" s="45" t="str">
        <f t="shared" ca="1" si="15"/>
        <v/>
      </c>
      <c r="K38" s="45" t="str">
        <f t="shared" ca="1" si="15"/>
        <v/>
      </c>
      <c r="L38" s="45" t="str">
        <f t="shared" ca="1" si="15"/>
        <v/>
      </c>
      <c r="M38" s="45" t="str">
        <f t="shared" ca="1" si="15"/>
        <v/>
      </c>
      <c r="N38" s="45" t="str">
        <f t="shared" ca="1" si="15"/>
        <v/>
      </c>
      <c r="O38" s="45" t="str">
        <f t="shared" ca="1" si="15"/>
        <v/>
      </c>
      <c r="P38" s="45" t="str">
        <f t="shared" ca="1" si="15"/>
        <v/>
      </c>
      <c r="Q38" s="45" t="str">
        <f t="shared" ca="1" si="15"/>
        <v/>
      </c>
      <c r="R38" s="45" t="str">
        <f t="shared" ca="1" si="15"/>
        <v/>
      </c>
      <c r="S38" s="45" t="str">
        <f t="shared" ca="1" si="15"/>
        <v/>
      </c>
      <c r="T38" s="45" t="str">
        <f t="shared" ca="1" si="15"/>
        <v/>
      </c>
      <c r="U38" s="45" t="str">
        <f t="shared" ca="1" si="15"/>
        <v/>
      </c>
      <c r="V38" s="45" t="str">
        <f t="shared" ca="1" si="15"/>
        <v/>
      </c>
      <c r="W38" s="45" t="str">
        <f t="shared" ca="1" si="12"/>
        <v/>
      </c>
      <c r="X38" s="45" t="str">
        <f t="shared" ca="1" si="17"/>
        <v/>
      </c>
      <c r="Y38" s="45" t="str">
        <f t="shared" ca="1" si="17"/>
        <v/>
      </c>
      <c r="Z38" s="45" t="str">
        <f t="shared" ca="1" si="17"/>
        <v/>
      </c>
      <c r="AA38" s="45" t="str">
        <f t="shared" ca="1" si="17"/>
        <v/>
      </c>
      <c r="AB38" s="45" t="str">
        <f t="shared" ca="1" si="17"/>
        <v/>
      </c>
      <c r="AC38" s="45" t="str">
        <f t="shared" ca="1" si="17"/>
        <v/>
      </c>
      <c r="AD38" s="45" t="str">
        <f t="shared" ca="1" si="17"/>
        <v/>
      </c>
      <c r="AE38" s="45" t="str">
        <f t="shared" ca="1" si="17"/>
        <v/>
      </c>
      <c r="AF38" s="45" t="str">
        <f t="shared" ca="1" si="17"/>
        <v/>
      </c>
      <c r="AG38" s="45" t="str">
        <f t="shared" ca="1" si="17"/>
        <v/>
      </c>
      <c r="AH38" s="45" t="str">
        <f t="shared" ca="1" si="17"/>
        <v/>
      </c>
      <c r="AI38" s="45" t="str">
        <f t="shared" ca="1" si="17"/>
        <v/>
      </c>
      <c r="AJ38" s="45" t="str">
        <f t="shared" ca="1" si="17"/>
        <v/>
      </c>
      <c r="AK38" s="45" t="str">
        <f t="shared" ca="1" si="17"/>
        <v/>
      </c>
      <c r="AL38" s="45" t="str">
        <f t="shared" ca="1" si="17"/>
        <v/>
      </c>
      <c r="AM38" s="45" t="str">
        <f t="shared" ca="1" si="17"/>
        <v/>
      </c>
      <c r="AN38" s="45" t="str">
        <f t="shared" ca="1" si="17"/>
        <v/>
      </c>
      <c r="AO38" s="45" t="str">
        <f t="shared" ca="1" si="17"/>
        <v/>
      </c>
      <c r="AP38" s="45" t="str">
        <f t="shared" ca="1" si="17"/>
        <v/>
      </c>
      <c r="AQ38" s="45" t="str">
        <f t="shared" ca="1" si="17"/>
        <v/>
      </c>
      <c r="AR38" s="45" t="str">
        <f t="shared" ca="1" si="17"/>
        <v/>
      </c>
      <c r="AS38" s="45" t="str">
        <f t="shared" ca="1" si="17"/>
        <v/>
      </c>
      <c r="AT38" s="45" t="str">
        <f t="shared" ca="1" si="17"/>
        <v/>
      </c>
      <c r="AU38" s="45" t="str">
        <f t="shared" ca="1" si="17"/>
        <v/>
      </c>
      <c r="AV38" s="45" t="str">
        <f t="shared" ca="1" si="17"/>
        <v/>
      </c>
      <c r="AW38" s="45" t="str">
        <f t="shared" ca="1" si="17"/>
        <v/>
      </c>
      <c r="AX38" s="45" t="str">
        <f t="shared" ca="1" si="17"/>
        <v/>
      </c>
      <c r="AY38" s="45" t="str">
        <f t="shared" ca="1" si="17"/>
        <v/>
      </c>
      <c r="AZ38" s="45" t="str">
        <f t="shared" ca="1" si="17"/>
        <v/>
      </c>
      <c r="BA38" s="45" t="str">
        <f t="shared" ca="1" si="17"/>
        <v/>
      </c>
      <c r="BB38" s="45" t="str">
        <f t="shared" ca="1" si="17"/>
        <v/>
      </c>
      <c r="BC38" s="45" t="str">
        <f t="shared" ca="1" si="17"/>
        <v/>
      </c>
      <c r="BD38" s="45" t="str">
        <f t="shared" ca="1" si="17"/>
        <v/>
      </c>
      <c r="BE38" s="45" t="str">
        <f t="shared" ca="1" si="17"/>
        <v/>
      </c>
      <c r="BF38" s="45" t="str">
        <f t="shared" ca="1" si="17"/>
        <v/>
      </c>
      <c r="BG38" s="45" t="str">
        <f t="shared" ca="1" si="17"/>
        <v/>
      </c>
      <c r="BH38" s="45" t="str">
        <f t="shared" ca="1" si="17"/>
        <v/>
      </c>
      <c r="BI38" s="45" t="str">
        <f t="shared" ca="1" si="17"/>
        <v/>
      </c>
      <c r="BJ38" s="45" t="str">
        <f t="shared" ca="1" si="17"/>
        <v/>
      </c>
      <c r="BK38" s="45" t="str">
        <f t="shared" ca="1" si="17"/>
        <v/>
      </c>
      <c r="BL38" s="45" t="str">
        <f t="shared" ca="1" si="17"/>
        <v/>
      </c>
      <c r="BM38" s="45"/>
    </row>
    <row r="39" spans="1:65" s="1" customFormat="1" ht="18" customHeight="1" x14ac:dyDescent="0.25">
      <c r="A39" s="96"/>
      <c r="B39" s="92" t="s">
        <v>47</v>
      </c>
      <c r="C39" s="91" t="s">
        <v>9</v>
      </c>
      <c r="D39" s="57">
        <v>2</v>
      </c>
      <c r="E39" s="58"/>
      <c r="F39" s="71"/>
      <c r="G39" s="75"/>
      <c r="H39" s="76"/>
      <c r="I39" s="45" t="str">
        <f t="shared" ca="1" si="15"/>
        <v/>
      </c>
      <c r="J39" s="45" t="str">
        <f t="shared" ca="1" si="15"/>
        <v/>
      </c>
      <c r="K39" s="45" t="str">
        <f t="shared" ca="1" si="15"/>
        <v/>
      </c>
      <c r="L39" s="45" t="str">
        <f t="shared" ca="1" si="15"/>
        <v/>
      </c>
      <c r="M39" s="45" t="str">
        <f t="shared" ca="1" si="15"/>
        <v/>
      </c>
      <c r="N39" s="45" t="str">
        <f t="shared" ca="1" si="15"/>
        <v/>
      </c>
      <c r="O39" s="45" t="str">
        <f t="shared" ca="1" si="15"/>
        <v/>
      </c>
      <c r="P39" s="45" t="str">
        <f t="shared" ca="1" si="15"/>
        <v/>
      </c>
      <c r="Q39" s="45" t="str">
        <f t="shared" ca="1" si="15"/>
        <v/>
      </c>
      <c r="R39" s="45" t="str">
        <f t="shared" ca="1" si="15"/>
        <v/>
      </c>
      <c r="S39" s="45" t="str">
        <f t="shared" ca="1" si="15"/>
        <v/>
      </c>
      <c r="T39" s="45" t="str">
        <f t="shared" ca="1" si="15"/>
        <v/>
      </c>
      <c r="U39" s="45" t="str">
        <f t="shared" ca="1" si="15"/>
        <v/>
      </c>
      <c r="V39" s="45" t="str">
        <f t="shared" ca="1" si="15"/>
        <v/>
      </c>
      <c r="W39" s="45" t="str">
        <f t="shared" ca="1" si="12"/>
        <v/>
      </c>
      <c r="X39" s="45" t="str">
        <f t="shared" ca="1" si="17"/>
        <v/>
      </c>
      <c r="Y39" s="45" t="str">
        <f t="shared" ca="1" si="17"/>
        <v/>
      </c>
      <c r="Z39" s="45" t="str">
        <f t="shared" ca="1" si="17"/>
        <v/>
      </c>
      <c r="AA39" s="45" t="str">
        <f t="shared" ca="1" si="17"/>
        <v/>
      </c>
      <c r="AB39" s="45" t="str">
        <f t="shared" ca="1" si="17"/>
        <v/>
      </c>
      <c r="AC39" s="45" t="str">
        <f t="shared" ca="1" si="17"/>
        <v/>
      </c>
      <c r="AD39" s="45" t="str">
        <f t="shared" ca="1" si="17"/>
        <v/>
      </c>
      <c r="AE39" s="45" t="str">
        <f t="shared" ca="1" si="17"/>
        <v/>
      </c>
      <c r="AF39" s="45" t="str">
        <f t="shared" ca="1" si="17"/>
        <v/>
      </c>
      <c r="AG39" s="45" t="str">
        <f t="shared" ca="1" si="17"/>
        <v/>
      </c>
      <c r="AH39" s="45" t="str">
        <f t="shared" ca="1" si="17"/>
        <v/>
      </c>
      <c r="AI39" s="45" t="str">
        <f t="shared" ca="1" si="17"/>
        <v/>
      </c>
      <c r="AJ39" s="45" t="str">
        <f t="shared" ca="1" si="17"/>
        <v/>
      </c>
      <c r="AK39" s="45" t="str">
        <f t="shared" ca="1" si="17"/>
        <v/>
      </c>
      <c r="AL39" s="45" t="str">
        <f t="shared" ca="1" si="17"/>
        <v/>
      </c>
      <c r="AM39" s="45" t="str">
        <f t="shared" ca="1" si="17"/>
        <v/>
      </c>
      <c r="AN39" s="45" t="str">
        <f t="shared" ca="1" si="17"/>
        <v/>
      </c>
      <c r="AO39" s="45" t="str">
        <f t="shared" ca="1" si="17"/>
        <v/>
      </c>
      <c r="AP39" s="45" t="str">
        <f t="shared" ca="1" si="17"/>
        <v/>
      </c>
      <c r="AQ39" s="45" t="str">
        <f t="shared" ca="1" si="17"/>
        <v/>
      </c>
      <c r="AR39" s="45" t="str">
        <f t="shared" ca="1" si="17"/>
        <v/>
      </c>
      <c r="AS39" s="45" t="str">
        <f t="shared" ca="1" si="17"/>
        <v/>
      </c>
      <c r="AT39" s="45" t="str">
        <f t="shared" ca="1" si="17"/>
        <v/>
      </c>
      <c r="AU39" s="45" t="str">
        <f t="shared" ca="1" si="17"/>
        <v/>
      </c>
      <c r="AV39" s="45" t="str">
        <f t="shared" ca="1" si="17"/>
        <v/>
      </c>
      <c r="AW39" s="45" t="str">
        <f t="shared" ca="1" si="17"/>
        <v/>
      </c>
      <c r="AX39" s="45" t="str">
        <f t="shared" ca="1" si="17"/>
        <v/>
      </c>
      <c r="AY39" s="45" t="str">
        <f t="shared" ca="1" si="17"/>
        <v/>
      </c>
      <c r="AZ39" s="45" t="str">
        <f t="shared" ca="1" si="17"/>
        <v/>
      </c>
      <c r="BA39" s="45" t="str">
        <f t="shared" ca="1" si="17"/>
        <v/>
      </c>
      <c r="BB39" s="45" t="str">
        <f t="shared" ca="1" si="17"/>
        <v/>
      </c>
      <c r="BC39" s="45" t="str">
        <f t="shared" ca="1" si="17"/>
        <v/>
      </c>
      <c r="BD39" s="45" t="str">
        <f t="shared" ca="1" si="17"/>
        <v/>
      </c>
      <c r="BE39" s="45" t="str">
        <f t="shared" ca="1" si="17"/>
        <v/>
      </c>
      <c r="BF39" s="45" t="str">
        <f t="shared" ca="1" si="17"/>
        <v/>
      </c>
      <c r="BG39" s="45" t="str">
        <f t="shared" ca="1" si="17"/>
        <v/>
      </c>
      <c r="BH39" s="45" t="str">
        <f t="shared" ca="1" si="17"/>
        <v/>
      </c>
      <c r="BI39" s="45" t="str">
        <f t="shared" ca="1" si="17"/>
        <v/>
      </c>
      <c r="BJ39" s="45" t="str">
        <f t="shared" ca="1" si="17"/>
        <v/>
      </c>
      <c r="BK39" s="45" t="str">
        <f t="shared" ca="1" si="17"/>
        <v/>
      </c>
      <c r="BL39" s="45" t="str">
        <f t="shared" ca="1" si="17"/>
        <v/>
      </c>
      <c r="BM39" s="45"/>
    </row>
    <row r="40" spans="1:65" s="1" customFormat="1" ht="18" customHeight="1" x14ac:dyDescent="0.25">
      <c r="A40" s="96"/>
      <c r="B40" s="92" t="s">
        <v>47</v>
      </c>
      <c r="C40" s="91" t="s">
        <v>9</v>
      </c>
      <c r="D40" s="57">
        <v>3</v>
      </c>
      <c r="E40" s="58"/>
      <c r="F40" s="71"/>
      <c r="G40" s="75"/>
      <c r="H40" s="76"/>
      <c r="I40" s="45" t="str">
        <f t="shared" ca="1" si="15"/>
        <v/>
      </c>
      <c r="J40" s="45" t="str">
        <f t="shared" ca="1" si="15"/>
        <v/>
      </c>
      <c r="K40" s="45" t="str">
        <f t="shared" ca="1" si="15"/>
        <v/>
      </c>
      <c r="L40" s="45" t="str">
        <f t="shared" ca="1" si="15"/>
        <v/>
      </c>
      <c r="M40" s="45" t="str">
        <f t="shared" ca="1" si="15"/>
        <v/>
      </c>
      <c r="N40" s="45" t="str">
        <f t="shared" ca="1" si="15"/>
        <v/>
      </c>
      <c r="O40" s="45" t="str">
        <f t="shared" ca="1" si="15"/>
        <v/>
      </c>
      <c r="P40" s="45" t="str">
        <f t="shared" ca="1" si="15"/>
        <v/>
      </c>
      <c r="Q40" s="45" t="str">
        <f t="shared" ca="1" si="15"/>
        <v/>
      </c>
      <c r="R40" s="45" t="str">
        <f t="shared" ca="1" si="15"/>
        <v/>
      </c>
      <c r="S40" s="45" t="str">
        <f t="shared" ca="1" si="15"/>
        <v/>
      </c>
      <c r="T40" s="45" t="str">
        <f t="shared" ca="1" si="15"/>
        <v/>
      </c>
      <c r="U40" s="45" t="str">
        <f t="shared" ca="1" si="15"/>
        <v/>
      </c>
      <c r="V40" s="45" t="str">
        <f t="shared" ca="1" si="15"/>
        <v/>
      </c>
      <c r="W40" s="45" t="str">
        <f t="shared" ca="1" si="12"/>
        <v/>
      </c>
      <c r="X40" s="45" t="str">
        <f t="shared" ca="1" si="17"/>
        <v/>
      </c>
      <c r="Y40" s="45" t="str">
        <f t="shared" ca="1" si="17"/>
        <v/>
      </c>
      <c r="Z40" s="45" t="str">
        <f t="shared" ca="1" si="17"/>
        <v/>
      </c>
      <c r="AA40" s="45" t="str">
        <f t="shared" ca="1" si="17"/>
        <v/>
      </c>
      <c r="AB40" s="45" t="str">
        <f t="shared" ca="1" si="17"/>
        <v/>
      </c>
      <c r="AC40" s="45" t="str">
        <f t="shared" ca="1" si="17"/>
        <v/>
      </c>
      <c r="AD40" s="45" t="str">
        <f t="shared" ca="1" si="17"/>
        <v/>
      </c>
      <c r="AE40" s="45" t="str">
        <f t="shared" ca="1" si="17"/>
        <v/>
      </c>
      <c r="AF40" s="45" t="str">
        <f t="shared" ca="1" si="17"/>
        <v/>
      </c>
      <c r="AG40" s="45" t="str">
        <f t="shared" ca="1" si="17"/>
        <v/>
      </c>
      <c r="AH40" s="45" t="str">
        <f t="shared" ca="1" si="17"/>
        <v/>
      </c>
      <c r="AI40" s="45" t="str">
        <f t="shared" ca="1" si="17"/>
        <v/>
      </c>
      <c r="AJ40" s="45" t="str">
        <f t="shared" ca="1" si="17"/>
        <v/>
      </c>
      <c r="AK40" s="45" t="str">
        <f t="shared" ca="1" si="17"/>
        <v/>
      </c>
      <c r="AL40" s="45" t="str">
        <f t="shared" ca="1" si="17"/>
        <v/>
      </c>
      <c r="AM40" s="45" t="str">
        <f t="shared" ca="1" si="17"/>
        <v/>
      </c>
      <c r="AN40" s="45" t="str">
        <f t="shared" ca="1" si="17"/>
        <v/>
      </c>
      <c r="AO40" s="45" t="str">
        <f t="shared" ca="1" si="17"/>
        <v/>
      </c>
      <c r="AP40" s="45" t="str">
        <f t="shared" ca="1" si="17"/>
        <v/>
      </c>
      <c r="AQ40" s="45" t="str">
        <f t="shared" ca="1" si="17"/>
        <v/>
      </c>
      <c r="AR40" s="45" t="str">
        <f t="shared" ca="1" si="17"/>
        <v/>
      </c>
      <c r="AS40" s="45" t="str">
        <f t="shared" ca="1" si="17"/>
        <v/>
      </c>
      <c r="AT40" s="45" t="str">
        <f t="shared" ca="1" si="17"/>
        <v/>
      </c>
      <c r="AU40" s="45" t="str">
        <f t="shared" ca="1" si="17"/>
        <v/>
      </c>
      <c r="AV40" s="45" t="str">
        <f t="shared" ca="1" si="17"/>
        <v/>
      </c>
      <c r="AW40" s="45" t="str">
        <f t="shared" ca="1" si="17"/>
        <v/>
      </c>
      <c r="AX40" s="45" t="str">
        <f t="shared" ca="1" si="17"/>
        <v/>
      </c>
      <c r="AY40" s="45" t="str">
        <f t="shared" ca="1" si="17"/>
        <v/>
      </c>
      <c r="AZ40" s="45" t="str">
        <f t="shared" ca="1" si="17"/>
        <v/>
      </c>
      <c r="BA40" s="45" t="str">
        <f t="shared" ca="1" si="17"/>
        <v/>
      </c>
      <c r="BB40" s="45" t="str">
        <f t="shared" ca="1" si="17"/>
        <v/>
      </c>
      <c r="BC40" s="45" t="str">
        <f t="shared" ca="1" si="17"/>
        <v/>
      </c>
      <c r="BD40" s="45" t="str">
        <f t="shared" ca="1" si="17"/>
        <v/>
      </c>
      <c r="BE40" s="45" t="str">
        <f t="shared" ca="1" si="17"/>
        <v/>
      </c>
      <c r="BF40" s="45" t="str">
        <f t="shared" ca="1" si="17"/>
        <v/>
      </c>
      <c r="BG40" s="45" t="str">
        <f t="shared" ca="1" si="17"/>
        <v/>
      </c>
      <c r="BH40" s="45" t="str">
        <f t="shared" ca="1" si="17"/>
        <v/>
      </c>
      <c r="BI40" s="45" t="str">
        <f t="shared" ca="1" si="17"/>
        <v/>
      </c>
      <c r="BJ40" s="45" t="str">
        <f t="shared" ca="1" si="17"/>
        <v/>
      </c>
      <c r="BK40" s="45" t="str">
        <f t="shared" ca="1" si="17"/>
        <v/>
      </c>
      <c r="BL40" s="45" t="str">
        <f t="shared" ca="1" si="17"/>
        <v/>
      </c>
      <c r="BM40" s="45"/>
    </row>
    <row r="41" spans="1:65" s="1" customFormat="1" ht="18" customHeight="1" x14ac:dyDescent="0.25">
      <c r="A41" s="96"/>
      <c r="B41" s="93" t="s">
        <v>47</v>
      </c>
      <c r="C41" s="90" t="s">
        <v>9</v>
      </c>
      <c r="D41" s="79">
        <v>4</v>
      </c>
      <c r="E41" s="80"/>
      <c r="F41" s="81"/>
      <c r="G41" s="85"/>
      <c r="H41" s="87"/>
      <c r="I41" s="84" t="str">
        <f t="shared" ca="1" si="15"/>
        <v/>
      </c>
      <c r="J41" s="84" t="str">
        <f t="shared" ca="1" si="15"/>
        <v/>
      </c>
      <c r="K41" s="84" t="str">
        <f t="shared" ca="1" si="15"/>
        <v/>
      </c>
      <c r="L41" s="84" t="str">
        <f t="shared" ca="1" si="15"/>
        <v/>
      </c>
      <c r="M41" s="84" t="str">
        <f t="shared" ca="1" si="15"/>
        <v/>
      </c>
      <c r="N41" s="84" t="str">
        <f t="shared" ca="1" si="15"/>
        <v/>
      </c>
      <c r="O41" s="84" t="str">
        <f t="shared" ca="1" si="15"/>
        <v/>
      </c>
      <c r="P41" s="84" t="str">
        <f t="shared" ca="1" si="15"/>
        <v/>
      </c>
      <c r="Q41" s="84" t="str">
        <f t="shared" ca="1" si="15"/>
        <v/>
      </c>
      <c r="R41" s="84" t="str">
        <f t="shared" ca="1" si="15"/>
        <v/>
      </c>
      <c r="S41" s="84" t="str">
        <f t="shared" ca="1" si="15"/>
        <v/>
      </c>
      <c r="T41" s="84" t="str">
        <f t="shared" ca="1" si="15"/>
        <v/>
      </c>
      <c r="U41" s="84" t="str">
        <f t="shared" ca="1" si="15"/>
        <v/>
      </c>
      <c r="V41" s="84" t="str">
        <f t="shared" ca="1" si="15"/>
        <v/>
      </c>
      <c r="W41" s="84" t="str">
        <f t="shared" ca="1" si="12"/>
        <v/>
      </c>
      <c r="X41" s="84" t="str">
        <f t="shared" ca="1" si="17"/>
        <v/>
      </c>
      <c r="Y41" s="84" t="str">
        <f t="shared" ca="1" si="17"/>
        <v/>
      </c>
      <c r="Z41" s="84" t="str">
        <f t="shared" ca="1" si="17"/>
        <v/>
      </c>
      <c r="AA41" s="84" t="str">
        <f t="shared" ca="1" si="17"/>
        <v/>
      </c>
      <c r="AB41" s="84" t="str">
        <f t="shared" ca="1" si="17"/>
        <v/>
      </c>
      <c r="AC41" s="84" t="str">
        <f t="shared" ca="1" si="17"/>
        <v/>
      </c>
      <c r="AD41" s="84" t="str">
        <f t="shared" ca="1" si="17"/>
        <v/>
      </c>
      <c r="AE41" s="84" t="str">
        <f t="shared" ca="1" si="17"/>
        <v/>
      </c>
      <c r="AF41" s="84" t="str">
        <f t="shared" ca="1" si="17"/>
        <v/>
      </c>
      <c r="AG41" s="84" t="str">
        <f t="shared" ca="1" si="17"/>
        <v/>
      </c>
      <c r="AH41" s="84" t="str">
        <f t="shared" ca="1" si="17"/>
        <v/>
      </c>
      <c r="AI41" s="84" t="str">
        <f t="shared" ca="1" si="17"/>
        <v/>
      </c>
      <c r="AJ41" s="84" t="str">
        <f t="shared" ca="1" si="17"/>
        <v/>
      </c>
      <c r="AK41" s="84" t="str">
        <f t="shared" ca="1" si="17"/>
        <v/>
      </c>
      <c r="AL41" s="84" t="str">
        <f t="shared" ca="1" si="17"/>
        <v/>
      </c>
      <c r="AM41" s="84" t="str">
        <f t="shared" ca="1" si="17"/>
        <v/>
      </c>
      <c r="AN41" s="84" t="str">
        <f t="shared" ca="1" si="17"/>
        <v/>
      </c>
      <c r="AO41" s="84" t="str">
        <f t="shared" ca="1" si="17"/>
        <v/>
      </c>
      <c r="AP41" s="84" t="str">
        <f t="shared" ca="1" si="17"/>
        <v/>
      </c>
      <c r="AQ41" s="84" t="str">
        <f t="shared" ca="1" si="17"/>
        <v/>
      </c>
      <c r="AR41" s="84" t="str">
        <f t="shared" ca="1" si="17"/>
        <v/>
      </c>
      <c r="AS41" s="84" t="str">
        <f t="shared" ca="1" si="17"/>
        <v/>
      </c>
      <c r="AT41" s="84" t="str">
        <f t="shared" ca="1" si="17"/>
        <v/>
      </c>
      <c r="AU41" s="84" t="str">
        <f t="shared" ca="1" si="17"/>
        <v/>
      </c>
      <c r="AV41" s="84" t="str">
        <f t="shared" ca="1" si="17"/>
        <v/>
      </c>
      <c r="AW41" s="84" t="str">
        <f t="shared" ca="1" si="17"/>
        <v/>
      </c>
      <c r="AX41" s="84" t="str">
        <f t="shared" ca="1" si="17"/>
        <v/>
      </c>
      <c r="AY41" s="84" t="str">
        <f t="shared" ca="1" si="17"/>
        <v/>
      </c>
      <c r="AZ41" s="84" t="str">
        <f t="shared" ca="1" si="17"/>
        <v/>
      </c>
      <c r="BA41" s="84" t="str">
        <f t="shared" ca="1" si="17"/>
        <v/>
      </c>
      <c r="BB41" s="84" t="str">
        <f t="shared" ca="1" si="17"/>
        <v/>
      </c>
      <c r="BC41" s="84" t="str">
        <f t="shared" ca="1" si="17"/>
        <v/>
      </c>
      <c r="BD41" s="84" t="str">
        <f t="shared" ca="1" si="17"/>
        <v/>
      </c>
      <c r="BE41" s="84" t="str">
        <f t="shared" ca="1" si="17"/>
        <v/>
      </c>
      <c r="BF41" s="84" t="str">
        <f t="shared" ca="1" si="17"/>
        <v/>
      </c>
      <c r="BG41" s="84" t="str">
        <f t="shared" ca="1" si="17"/>
        <v/>
      </c>
      <c r="BH41" s="84" t="str">
        <f t="shared" ca="1" si="17"/>
        <v/>
      </c>
      <c r="BI41" s="84" t="str">
        <f t="shared" ca="1" si="17"/>
        <v/>
      </c>
      <c r="BJ41" s="84" t="str">
        <f t="shared" ca="1" si="17"/>
        <v/>
      </c>
      <c r="BK41" s="84" t="str">
        <f t="shared" ca="1" si="17"/>
        <v/>
      </c>
      <c r="BL41" s="84" t="str">
        <f t="shared" ca="1" si="17"/>
        <v/>
      </c>
      <c r="BM41" s="84"/>
    </row>
    <row r="42" spans="1:65" s="1" customFormat="1" ht="18" customHeight="1" x14ac:dyDescent="0.25">
      <c r="A42" s="96"/>
      <c r="B42" s="66" t="s">
        <v>50</v>
      </c>
      <c r="C42" s="56"/>
      <c r="D42" s="57"/>
      <c r="E42" s="58"/>
      <c r="F42" s="71"/>
      <c r="G42" s="72"/>
      <c r="H42" s="73"/>
      <c r="I42" s="69" t="str">
        <f t="shared" ca="1" si="15"/>
        <v/>
      </c>
      <c r="J42" s="69" t="str">
        <f t="shared" ca="1" si="15"/>
        <v/>
      </c>
      <c r="K42" s="69" t="str">
        <f t="shared" ca="1" si="15"/>
        <v/>
      </c>
      <c r="L42" s="69" t="str">
        <f t="shared" ca="1" si="15"/>
        <v/>
      </c>
      <c r="M42" s="69" t="str">
        <f t="shared" ca="1" si="15"/>
        <v/>
      </c>
      <c r="N42" s="69" t="str">
        <f t="shared" ca="1" si="15"/>
        <v/>
      </c>
      <c r="O42" s="69" t="str">
        <f t="shared" ca="1" si="15"/>
        <v/>
      </c>
      <c r="P42" s="69" t="str">
        <f t="shared" ca="1" si="15"/>
        <v/>
      </c>
      <c r="Q42" s="69" t="str">
        <f t="shared" ca="1" si="15"/>
        <v/>
      </c>
      <c r="R42" s="69" t="str">
        <f t="shared" ca="1" si="15"/>
        <v/>
      </c>
      <c r="S42" s="69" t="str">
        <f t="shared" ca="1" si="15"/>
        <v/>
      </c>
      <c r="T42" s="69" t="str">
        <f t="shared" ca="1" si="15"/>
        <v/>
      </c>
      <c r="U42" s="69" t="str">
        <f t="shared" ca="1" si="15"/>
        <v/>
      </c>
      <c r="V42" s="69" t="str">
        <f t="shared" ca="1" si="15"/>
        <v/>
      </c>
      <c r="W42" s="69" t="str">
        <f t="shared" ca="1" si="12"/>
        <v/>
      </c>
      <c r="X42" s="69" t="str">
        <f t="shared" ca="1" si="17"/>
        <v/>
      </c>
      <c r="Y42" s="69" t="str">
        <f t="shared" ca="1" si="17"/>
        <v/>
      </c>
      <c r="Z42" s="69" t="str">
        <f t="shared" ca="1" si="17"/>
        <v/>
      </c>
      <c r="AA42" s="69" t="str">
        <f t="shared" ca="1" si="17"/>
        <v/>
      </c>
      <c r="AB42" s="69" t="str">
        <f t="shared" ca="1" si="17"/>
        <v/>
      </c>
      <c r="AC42" s="69" t="str">
        <f t="shared" ca="1" si="17"/>
        <v/>
      </c>
      <c r="AD42" s="69" t="str">
        <f t="shared" ca="1" si="17"/>
        <v/>
      </c>
      <c r="AE42" s="69" t="str">
        <f t="shared" ca="1" si="17"/>
        <v/>
      </c>
      <c r="AF42" s="69" t="str">
        <f t="shared" ca="1" si="17"/>
        <v/>
      </c>
      <c r="AG42" s="69" t="str">
        <f t="shared" ca="1" si="17"/>
        <v/>
      </c>
      <c r="AH42" s="69" t="str">
        <f t="shared" ca="1" si="17"/>
        <v/>
      </c>
      <c r="AI42" s="69" t="str">
        <f t="shared" ca="1" si="17"/>
        <v/>
      </c>
      <c r="AJ42" s="69" t="str">
        <f t="shared" ca="1" si="17"/>
        <v/>
      </c>
      <c r="AK42" s="69" t="str">
        <f t="shared" ca="1" si="17"/>
        <v/>
      </c>
      <c r="AL42" s="69" t="str">
        <f t="shared" ca="1" si="17"/>
        <v/>
      </c>
      <c r="AM42" s="69" t="str">
        <f t="shared" ca="1" si="17"/>
        <v/>
      </c>
      <c r="AN42" s="69" t="str">
        <f t="shared" ca="1" si="17"/>
        <v/>
      </c>
      <c r="AO42" s="69" t="str">
        <f t="shared" ca="1" si="17"/>
        <v/>
      </c>
      <c r="AP42" s="69" t="str">
        <f t="shared" ca="1" si="17"/>
        <v/>
      </c>
      <c r="AQ42" s="69" t="str">
        <f t="shared" ca="1" si="17"/>
        <v/>
      </c>
      <c r="AR42" s="69" t="str">
        <f t="shared" ca="1" si="17"/>
        <v/>
      </c>
      <c r="AS42" s="69" t="str">
        <f t="shared" ca="1" si="17"/>
        <v/>
      </c>
      <c r="AT42" s="69" t="str">
        <f t="shared" ca="1" si="17"/>
        <v/>
      </c>
      <c r="AU42" s="69" t="str">
        <f t="shared" ca="1" si="17"/>
        <v/>
      </c>
      <c r="AV42" s="69" t="str">
        <f t="shared" ca="1" si="17"/>
        <v/>
      </c>
      <c r="AW42" s="69" t="str">
        <f t="shared" ca="1" si="17"/>
        <v/>
      </c>
      <c r="AX42" s="69" t="str">
        <f t="shared" ca="1" si="17"/>
        <v/>
      </c>
      <c r="AY42" s="69" t="str">
        <f t="shared" ca="1" si="17"/>
        <v/>
      </c>
      <c r="AZ42" s="69" t="str">
        <f t="shared" ca="1" si="17"/>
        <v/>
      </c>
      <c r="BA42" s="69" t="str">
        <f t="shared" ca="1" si="17"/>
        <v/>
      </c>
      <c r="BB42" s="69" t="str">
        <f t="shared" ca="1" si="17"/>
        <v/>
      </c>
      <c r="BC42" s="69" t="str">
        <f t="shared" ca="1" si="17"/>
        <v/>
      </c>
      <c r="BD42" s="69" t="str">
        <f t="shared" ca="1" si="17"/>
        <v/>
      </c>
      <c r="BE42" s="69" t="str">
        <f t="shared" ca="1" si="17"/>
        <v/>
      </c>
      <c r="BF42" s="69" t="str">
        <f t="shared" ca="1" si="17"/>
        <v/>
      </c>
      <c r="BG42" s="69" t="str">
        <f t="shared" ca="1" si="17"/>
        <v/>
      </c>
      <c r="BH42" s="69" t="str">
        <f t="shared" ca="1" si="17"/>
        <v/>
      </c>
      <c r="BI42" s="69" t="str">
        <f t="shared" ca="1" si="17"/>
        <v/>
      </c>
      <c r="BJ42" s="69" t="str">
        <f t="shared" ca="1" si="17"/>
        <v/>
      </c>
      <c r="BK42" s="69" t="str">
        <f t="shared" ca="1" si="17"/>
        <v/>
      </c>
      <c r="BL42" s="69" t="str">
        <f t="shared" ca="1" si="17"/>
        <v/>
      </c>
      <c r="BM42" s="69"/>
    </row>
    <row r="43" spans="1:65" s="1" customFormat="1" ht="18" customHeight="1" x14ac:dyDescent="0.25">
      <c r="A43" s="96"/>
      <c r="B43" s="65" t="s">
        <v>33</v>
      </c>
      <c r="C43" s="56"/>
      <c r="D43" s="57"/>
      <c r="E43" s="58"/>
      <c r="F43" s="71">
        <f>Plan_Weihnachten[[#This Row],[Ende]]-Plan_Weihnachten[[#This Row],[Dauer
in Tage]]</f>
        <v>46725</v>
      </c>
      <c r="G43" s="72">
        <v>5</v>
      </c>
      <c r="H43" s="73">
        <f>F45</f>
        <v>46730</v>
      </c>
      <c r="I43" s="45" t="str">
        <f t="shared" ca="1" si="15"/>
        <v/>
      </c>
      <c r="J43" s="45" t="str">
        <f t="shared" ca="1" si="15"/>
        <v/>
      </c>
      <c r="K43" s="45" t="str">
        <f t="shared" ca="1" si="15"/>
        <v/>
      </c>
      <c r="L43" s="45" t="str">
        <f t="shared" ca="1" si="15"/>
        <v/>
      </c>
      <c r="M43" s="45" t="str">
        <f t="shared" ca="1" si="15"/>
        <v/>
      </c>
      <c r="N43" s="45" t="str">
        <f t="shared" ca="1" si="15"/>
        <v/>
      </c>
      <c r="O43" s="45" t="str">
        <f t="shared" ca="1" si="15"/>
        <v/>
      </c>
      <c r="P43" s="45" t="str">
        <f t="shared" ca="1" si="15"/>
        <v/>
      </c>
      <c r="Q43" s="45" t="str">
        <f t="shared" ca="1" si="15"/>
        <v/>
      </c>
      <c r="R43" s="45" t="str">
        <f t="shared" ca="1" si="15"/>
        <v/>
      </c>
      <c r="S43" s="45" t="str">
        <f t="shared" ca="1" si="15"/>
        <v/>
      </c>
      <c r="T43" s="45" t="str">
        <f t="shared" ca="1" si="15"/>
        <v/>
      </c>
      <c r="U43" s="45" t="str">
        <f t="shared" ca="1" si="15"/>
        <v/>
      </c>
      <c r="V43" s="45" t="str">
        <f t="shared" ca="1" si="15"/>
        <v/>
      </c>
      <c r="W43" s="45" t="str">
        <f t="shared" ca="1" si="12"/>
        <v/>
      </c>
      <c r="X43" s="45" t="str">
        <f t="shared" ca="1" si="17"/>
        <v/>
      </c>
      <c r="Y43" s="45" t="str">
        <f t="shared" ca="1" si="17"/>
        <v/>
      </c>
      <c r="Z43" s="45" t="str">
        <f t="shared" ca="1" si="17"/>
        <v/>
      </c>
      <c r="AA43" s="45" t="str">
        <f t="shared" ca="1" si="17"/>
        <v/>
      </c>
      <c r="AB43" s="45" t="str">
        <f t="shared" ca="1" si="17"/>
        <v/>
      </c>
      <c r="AC43" s="45" t="str">
        <f t="shared" ca="1" si="17"/>
        <v/>
      </c>
      <c r="AD43" s="45" t="str">
        <f t="shared" ca="1" si="17"/>
        <v/>
      </c>
      <c r="AE43" s="45" t="str">
        <f t="shared" ca="1" si="17"/>
        <v/>
      </c>
      <c r="AF43" s="45" t="str">
        <f t="shared" ca="1" si="17"/>
        <v/>
      </c>
      <c r="AG43" s="45" t="str">
        <f t="shared" ca="1" si="17"/>
        <v/>
      </c>
      <c r="AH43" s="45" t="str">
        <f t="shared" ca="1" si="17"/>
        <v/>
      </c>
      <c r="AI43" s="45" t="str">
        <f t="shared" ca="1" si="17"/>
        <v/>
      </c>
      <c r="AJ43" s="45" t="str">
        <f t="shared" ca="1" si="17"/>
        <v/>
      </c>
      <c r="AK43" s="45" t="str">
        <f t="shared" ca="1" si="17"/>
        <v/>
      </c>
      <c r="AL43" s="45" t="str">
        <f t="shared" ca="1" si="17"/>
        <v/>
      </c>
      <c r="AM43" s="45" t="str">
        <f t="shared" ca="1" si="17"/>
        <v/>
      </c>
      <c r="AN43" s="45" t="str">
        <f t="shared" ca="1" si="17"/>
        <v/>
      </c>
      <c r="AO43" s="45" t="str">
        <f t="shared" ref="X43:BL45" ca="1" si="18">IF(AND($C43="Ziel",$H43=AO$7),2,IF(AND($C43="Meilenstein",$H43=AO$7),1,""))</f>
        <v/>
      </c>
      <c r="AP43" s="45" t="str">
        <f t="shared" ca="1" si="18"/>
        <v/>
      </c>
      <c r="AQ43" s="45" t="str">
        <f t="shared" ca="1" si="18"/>
        <v/>
      </c>
      <c r="AR43" s="45" t="str">
        <f t="shared" ca="1" si="18"/>
        <v/>
      </c>
      <c r="AS43" s="45" t="str">
        <f t="shared" ca="1" si="18"/>
        <v/>
      </c>
      <c r="AT43" s="45" t="str">
        <f t="shared" ca="1" si="18"/>
        <v/>
      </c>
      <c r="AU43" s="45" t="str">
        <f t="shared" ca="1" si="18"/>
        <v/>
      </c>
      <c r="AV43" s="45" t="str">
        <f t="shared" ca="1" si="18"/>
        <v/>
      </c>
      <c r="AW43" s="45" t="str">
        <f t="shared" ca="1" si="18"/>
        <v/>
      </c>
      <c r="AX43" s="45" t="str">
        <f t="shared" ca="1" si="18"/>
        <v/>
      </c>
      <c r="AY43" s="45" t="str">
        <f t="shared" ca="1" si="18"/>
        <v/>
      </c>
      <c r="AZ43" s="45" t="str">
        <f t="shared" ca="1" si="18"/>
        <v/>
      </c>
      <c r="BA43" s="45" t="str">
        <f t="shared" ca="1" si="18"/>
        <v/>
      </c>
      <c r="BB43" s="45" t="str">
        <f t="shared" ca="1" si="18"/>
        <v/>
      </c>
      <c r="BC43" s="45" t="str">
        <f t="shared" ca="1" si="18"/>
        <v/>
      </c>
      <c r="BD43" s="45" t="str">
        <f t="shared" ca="1" si="18"/>
        <v/>
      </c>
      <c r="BE43" s="45" t="str">
        <f t="shared" ca="1" si="18"/>
        <v/>
      </c>
      <c r="BF43" s="45" t="str">
        <f t="shared" ca="1" si="18"/>
        <v/>
      </c>
      <c r="BG43" s="45" t="str">
        <f t="shared" ca="1" si="18"/>
        <v/>
      </c>
      <c r="BH43" s="45" t="str">
        <f t="shared" ca="1" si="18"/>
        <v/>
      </c>
      <c r="BI43" s="45" t="str">
        <f t="shared" ca="1" si="18"/>
        <v/>
      </c>
      <c r="BJ43" s="45" t="str">
        <f t="shared" ca="1" si="18"/>
        <v/>
      </c>
      <c r="BK43" s="45" t="str">
        <f t="shared" ca="1" si="18"/>
        <v/>
      </c>
      <c r="BL43" s="45" t="str">
        <f t="shared" ca="1" si="18"/>
        <v/>
      </c>
      <c r="BM43" s="45"/>
    </row>
    <row r="44" spans="1:65" s="1" customFormat="1" ht="18" customHeight="1" x14ac:dyDescent="0.25">
      <c r="A44" s="96"/>
      <c r="B44" s="65" t="s">
        <v>35</v>
      </c>
      <c r="C44" s="56"/>
      <c r="D44" s="57"/>
      <c r="E44" s="58"/>
      <c r="F44" s="71">
        <f>Plan_Weihnachten[[#This Row],[Ende]]-Plan_Weihnachten[[#This Row],[Dauer
in Tage]]</f>
        <v>46725</v>
      </c>
      <c r="G44" s="72">
        <v>5</v>
      </c>
      <c r="H44" s="73">
        <f>F45</f>
        <v>46730</v>
      </c>
      <c r="I44" s="45" t="str">
        <f t="shared" ca="1" si="15"/>
        <v/>
      </c>
      <c r="J44" s="45" t="str">
        <f t="shared" ca="1" si="15"/>
        <v/>
      </c>
      <c r="K44" s="45" t="str">
        <f t="shared" ca="1" si="15"/>
        <v/>
      </c>
      <c r="L44" s="45" t="str">
        <f t="shared" ca="1" si="15"/>
        <v/>
      </c>
      <c r="M44" s="45" t="str">
        <f t="shared" ca="1" si="15"/>
        <v/>
      </c>
      <c r="N44" s="45" t="str">
        <f t="shared" ca="1" si="15"/>
        <v/>
      </c>
      <c r="O44" s="45" t="str">
        <f t="shared" ca="1" si="15"/>
        <v/>
      </c>
      <c r="P44" s="45" t="str">
        <f t="shared" ca="1" si="15"/>
        <v/>
      </c>
      <c r="Q44" s="45" t="str">
        <f t="shared" ca="1" si="15"/>
        <v/>
      </c>
      <c r="R44" s="45" t="str">
        <f t="shared" ca="1" si="15"/>
        <v/>
      </c>
      <c r="S44" s="45" t="str">
        <f t="shared" ca="1" si="15"/>
        <v/>
      </c>
      <c r="T44" s="45" t="str">
        <f t="shared" ca="1" si="15"/>
        <v/>
      </c>
      <c r="U44" s="45" t="str">
        <f t="shared" ca="1" si="15"/>
        <v/>
      </c>
      <c r="V44" s="45" t="str">
        <f t="shared" ca="1" si="15"/>
        <v/>
      </c>
      <c r="W44" s="45" t="str">
        <f t="shared" ca="1" si="12"/>
        <v/>
      </c>
      <c r="X44" s="45" t="str">
        <f t="shared" ca="1" si="18"/>
        <v/>
      </c>
      <c r="Y44" s="45" t="str">
        <f t="shared" ca="1" si="18"/>
        <v/>
      </c>
      <c r="Z44" s="45" t="str">
        <f t="shared" ca="1" si="18"/>
        <v/>
      </c>
      <c r="AA44" s="45" t="str">
        <f t="shared" ca="1" si="18"/>
        <v/>
      </c>
      <c r="AB44" s="45" t="str">
        <f t="shared" ca="1" si="18"/>
        <v/>
      </c>
      <c r="AC44" s="45" t="str">
        <f t="shared" ca="1" si="18"/>
        <v/>
      </c>
      <c r="AD44" s="45" t="str">
        <f t="shared" ca="1" si="18"/>
        <v/>
      </c>
      <c r="AE44" s="45" t="str">
        <f t="shared" ca="1" si="18"/>
        <v/>
      </c>
      <c r="AF44" s="45" t="str">
        <f t="shared" ca="1" si="18"/>
        <v/>
      </c>
      <c r="AG44" s="45" t="str">
        <f t="shared" ca="1" si="18"/>
        <v/>
      </c>
      <c r="AH44" s="45" t="str">
        <f t="shared" ca="1" si="18"/>
        <v/>
      </c>
      <c r="AI44" s="45" t="str">
        <f t="shared" ca="1" si="18"/>
        <v/>
      </c>
      <c r="AJ44" s="45" t="str">
        <f t="shared" ca="1" si="18"/>
        <v/>
      </c>
      <c r="AK44" s="45" t="str">
        <f t="shared" ca="1" si="18"/>
        <v/>
      </c>
      <c r="AL44" s="45" t="str">
        <f t="shared" ca="1" si="18"/>
        <v/>
      </c>
      <c r="AM44" s="45" t="str">
        <f t="shared" ca="1" si="18"/>
        <v/>
      </c>
      <c r="AN44" s="45" t="str">
        <f t="shared" ca="1" si="18"/>
        <v/>
      </c>
      <c r="AO44" s="45" t="str">
        <f t="shared" ca="1" si="18"/>
        <v/>
      </c>
      <c r="AP44" s="45" t="str">
        <f t="shared" ca="1" si="18"/>
        <v/>
      </c>
      <c r="AQ44" s="45" t="str">
        <f t="shared" ca="1" si="18"/>
        <v/>
      </c>
      <c r="AR44" s="45" t="str">
        <f t="shared" ca="1" si="18"/>
        <v/>
      </c>
      <c r="AS44" s="45" t="str">
        <f t="shared" ca="1" si="18"/>
        <v/>
      </c>
      <c r="AT44" s="45" t="str">
        <f t="shared" ca="1" si="18"/>
        <v/>
      </c>
      <c r="AU44" s="45" t="str">
        <f t="shared" ca="1" si="18"/>
        <v/>
      </c>
      <c r="AV44" s="45" t="str">
        <f t="shared" ca="1" si="18"/>
        <v/>
      </c>
      <c r="AW44" s="45" t="str">
        <f t="shared" ca="1" si="18"/>
        <v/>
      </c>
      <c r="AX44" s="45" t="str">
        <f t="shared" ca="1" si="18"/>
        <v/>
      </c>
      <c r="AY44" s="45" t="str">
        <f t="shared" ca="1" si="18"/>
        <v/>
      </c>
      <c r="AZ44" s="45" t="str">
        <f t="shared" ca="1" si="18"/>
        <v/>
      </c>
      <c r="BA44" s="45" t="str">
        <f t="shared" ca="1" si="18"/>
        <v/>
      </c>
      <c r="BB44" s="45" t="str">
        <f t="shared" ca="1" si="18"/>
        <v/>
      </c>
      <c r="BC44" s="45" t="str">
        <f t="shared" ca="1" si="18"/>
        <v/>
      </c>
      <c r="BD44" s="45" t="str">
        <f t="shared" ca="1" si="18"/>
        <v/>
      </c>
      <c r="BE44" s="45" t="str">
        <f t="shared" ca="1" si="18"/>
        <v/>
      </c>
      <c r="BF44" s="45" t="str">
        <f t="shared" ca="1" si="18"/>
        <v/>
      </c>
      <c r="BG44" s="45" t="str">
        <f t="shared" ca="1" si="18"/>
        <v/>
      </c>
      <c r="BH44" s="45" t="str">
        <f t="shared" ca="1" si="18"/>
        <v/>
      </c>
      <c r="BI44" s="45" t="str">
        <f t="shared" ca="1" si="18"/>
        <v/>
      </c>
      <c r="BJ44" s="45" t="str">
        <f t="shared" ca="1" si="18"/>
        <v/>
      </c>
      <c r="BK44" s="45" t="str">
        <f t="shared" ca="1" si="18"/>
        <v/>
      </c>
      <c r="BL44" s="45" t="str">
        <f t="shared" ca="1" si="18"/>
        <v/>
      </c>
      <c r="BM44" s="45"/>
    </row>
    <row r="45" spans="1:65" s="1" customFormat="1" ht="18" customHeight="1" x14ac:dyDescent="0.25">
      <c r="A45" s="96"/>
      <c r="B45" s="65" t="s">
        <v>51</v>
      </c>
      <c r="C45" s="56"/>
      <c r="D45" s="57" t="s">
        <v>52</v>
      </c>
      <c r="E45" s="58"/>
      <c r="F45" s="71">
        <f>Plan_Weihnachten[[#This Row],[Ende]]-Plan_Weihnachten[[#This Row],[Dauer
in Tage]]</f>
        <v>46730</v>
      </c>
      <c r="G45" s="72">
        <v>1</v>
      </c>
      <c r="H45" s="73">
        <f>H27+14</f>
        <v>46731</v>
      </c>
      <c r="I45" s="45" t="str">
        <f t="shared" ref="I45:BL45" ca="1" si="19">IF(AND($C45="Ziel",$H45=I$7),2,IF(AND($C45="Meilenstein",$H45=I$7),1,""))</f>
        <v/>
      </c>
      <c r="J45" s="45" t="str">
        <f t="shared" ca="1" si="19"/>
        <v/>
      </c>
      <c r="K45" s="45" t="str">
        <f t="shared" ca="1" si="19"/>
        <v/>
      </c>
      <c r="L45" s="45" t="str">
        <f t="shared" ca="1" si="19"/>
        <v/>
      </c>
      <c r="M45" s="45" t="str">
        <f t="shared" ca="1" si="19"/>
        <v/>
      </c>
      <c r="N45" s="45" t="str">
        <f t="shared" ca="1" si="19"/>
        <v/>
      </c>
      <c r="O45" s="45" t="str">
        <f t="shared" ca="1" si="19"/>
        <v/>
      </c>
      <c r="P45" s="45" t="str">
        <f t="shared" ca="1" si="19"/>
        <v/>
      </c>
      <c r="Q45" s="45" t="str">
        <f t="shared" ca="1" si="19"/>
        <v/>
      </c>
      <c r="R45" s="45" t="str">
        <f t="shared" ca="1" si="19"/>
        <v/>
      </c>
      <c r="S45" s="45" t="str">
        <f t="shared" ca="1" si="19"/>
        <v/>
      </c>
      <c r="T45" s="45" t="str">
        <f t="shared" ca="1" si="19"/>
        <v/>
      </c>
      <c r="U45" s="45" t="str">
        <f t="shared" ca="1" si="19"/>
        <v/>
      </c>
      <c r="V45" s="45" t="str">
        <f t="shared" ca="1" si="19"/>
        <v/>
      </c>
      <c r="W45" s="45" t="str">
        <f t="shared" ca="1" si="12"/>
        <v/>
      </c>
      <c r="X45" s="45" t="str">
        <f t="shared" ca="1" si="19"/>
        <v/>
      </c>
      <c r="Y45" s="45" t="str">
        <f t="shared" ca="1" si="19"/>
        <v/>
      </c>
      <c r="Z45" s="45" t="str">
        <f t="shared" ca="1" si="19"/>
        <v/>
      </c>
      <c r="AA45" s="45" t="str">
        <f t="shared" ca="1" si="19"/>
        <v/>
      </c>
      <c r="AB45" s="45" t="str">
        <f t="shared" ca="1" si="19"/>
        <v/>
      </c>
      <c r="AC45" s="45" t="str">
        <f t="shared" ca="1" si="19"/>
        <v/>
      </c>
      <c r="AD45" s="45" t="str">
        <f t="shared" ca="1" si="19"/>
        <v/>
      </c>
      <c r="AE45" s="45" t="str">
        <f t="shared" ca="1" si="19"/>
        <v/>
      </c>
      <c r="AF45" s="45" t="str">
        <f t="shared" ca="1" si="19"/>
        <v/>
      </c>
      <c r="AG45" s="45" t="str">
        <f t="shared" ca="1" si="19"/>
        <v/>
      </c>
      <c r="AH45" s="45" t="str">
        <f t="shared" ca="1" si="19"/>
        <v/>
      </c>
      <c r="AI45" s="45" t="str">
        <f t="shared" ca="1" si="19"/>
        <v/>
      </c>
      <c r="AJ45" s="45" t="str">
        <f t="shared" ca="1" si="19"/>
        <v/>
      </c>
      <c r="AK45" s="45" t="str">
        <f t="shared" ca="1" si="19"/>
        <v/>
      </c>
      <c r="AL45" s="45" t="str">
        <f t="shared" ca="1" si="18"/>
        <v/>
      </c>
      <c r="AM45" s="45" t="str">
        <f t="shared" ca="1" si="19"/>
        <v/>
      </c>
      <c r="AN45" s="45" t="str">
        <f t="shared" ca="1" si="19"/>
        <v/>
      </c>
      <c r="AO45" s="45" t="str">
        <f t="shared" ca="1" si="19"/>
        <v/>
      </c>
      <c r="AP45" s="45" t="str">
        <f t="shared" ca="1" si="19"/>
        <v/>
      </c>
      <c r="AQ45" s="45" t="str">
        <f t="shared" ca="1" si="19"/>
        <v/>
      </c>
      <c r="AR45" s="45" t="str">
        <f t="shared" ca="1" si="19"/>
        <v/>
      </c>
      <c r="AS45" s="45" t="str">
        <f t="shared" ca="1" si="19"/>
        <v/>
      </c>
      <c r="AT45" s="45" t="str">
        <f t="shared" ca="1" si="19"/>
        <v/>
      </c>
      <c r="AU45" s="45" t="str">
        <f t="shared" ca="1" si="19"/>
        <v/>
      </c>
      <c r="AV45" s="45" t="str">
        <f t="shared" ca="1" si="19"/>
        <v/>
      </c>
      <c r="AW45" s="45" t="str">
        <f t="shared" ca="1" si="19"/>
        <v/>
      </c>
      <c r="AX45" s="45" t="str">
        <f t="shared" ca="1" si="19"/>
        <v/>
      </c>
      <c r="AY45" s="45" t="str">
        <f t="shared" ca="1" si="19"/>
        <v/>
      </c>
      <c r="AZ45" s="45" t="str">
        <f t="shared" ca="1" si="19"/>
        <v/>
      </c>
      <c r="BA45" s="45" t="str">
        <f t="shared" ca="1" si="18"/>
        <v/>
      </c>
      <c r="BB45" s="45" t="str">
        <f t="shared" ca="1" si="19"/>
        <v/>
      </c>
      <c r="BC45" s="45" t="str">
        <f t="shared" ca="1" si="19"/>
        <v/>
      </c>
      <c r="BD45" s="45" t="str">
        <f t="shared" ca="1" si="19"/>
        <v/>
      </c>
      <c r="BE45" s="45" t="str">
        <f t="shared" ca="1" si="19"/>
        <v/>
      </c>
      <c r="BF45" s="45" t="str">
        <f t="shared" ca="1" si="19"/>
        <v/>
      </c>
      <c r="BG45" s="45" t="str">
        <f t="shared" ca="1" si="19"/>
        <v/>
      </c>
      <c r="BH45" s="45" t="str">
        <f t="shared" ca="1" si="19"/>
        <v/>
      </c>
      <c r="BI45" s="45" t="str">
        <f t="shared" ca="1" si="19"/>
        <v/>
      </c>
      <c r="BJ45" s="45" t="str">
        <f t="shared" ca="1" si="19"/>
        <v/>
      </c>
      <c r="BK45" s="45" t="str">
        <f t="shared" ca="1" si="19"/>
        <v/>
      </c>
      <c r="BL45" s="45" t="str">
        <f t="shared" ca="1" si="19"/>
        <v/>
      </c>
      <c r="BM45" s="45"/>
    </row>
    <row r="46" spans="1:65" s="1" customFormat="1" ht="40.15" customHeight="1" x14ac:dyDescent="0.25">
      <c r="A46" s="7"/>
      <c r="B46" s="41" t="s">
        <v>53</v>
      </c>
      <c r="C46" s="25"/>
      <c r="D46" s="25"/>
      <c r="E46" s="19"/>
      <c r="F46" s="26"/>
      <c r="G46" s="61"/>
      <c r="H46" s="62"/>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5" priority="1584">
      <formula>$C11:$C52=$E$5</formula>
    </cfRule>
    <cfRule type="expression" dxfId="64" priority="1585">
      <formula>$C11:$C52=$F$5</formula>
    </cfRule>
    <cfRule type="expression" dxfId="63" priority="1586">
      <formula>$C11:$C52=$D$5</formula>
    </cfRule>
    <cfRule type="expression" dxfId="62" priority="1587">
      <formula>$C11:$C52=$C$5</formula>
    </cfRule>
  </conditionalFormatting>
  <conditionalFormatting sqref="C13:C25">
    <cfRule type="expression" dxfId="61" priority="1580">
      <formula>$C13:$C53=$E$5</formula>
    </cfRule>
    <cfRule type="expression" dxfId="60" priority="1581">
      <formula>$C13:$C53=$F$5</formula>
    </cfRule>
    <cfRule type="expression" dxfId="59" priority="1582">
      <formula>$C13:$C53=$D$5</formula>
    </cfRule>
    <cfRule type="expression" dxfId="58" priority="1583">
      <formula>$C13:$C53=$C$5</formula>
    </cfRule>
  </conditionalFormatting>
  <conditionalFormatting sqref="C26:C43">
    <cfRule type="expression" dxfId="57" priority="1570">
      <formula>$C26:$C65=$E$5</formula>
    </cfRule>
    <cfRule type="expression" dxfId="56" priority="1571">
      <formula>$C26:$C65=$F$5</formula>
    </cfRule>
    <cfRule type="expression" dxfId="55" priority="1572">
      <formula>$C26:$C65=$D$5</formula>
    </cfRule>
    <cfRule type="expression" dxfId="54" priority="1573">
      <formula>$C26:$C65=$C$5</formula>
    </cfRule>
  </conditionalFormatting>
  <conditionalFormatting sqref="C44:C45">
    <cfRule type="expression" dxfId="53" priority="3">
      <formula>$C44:$C82=$E$5</formula>
    </cfRule>
    <cfRule type="expression" dxfId="52" priority="1536">
      <formula>$C44:$C82=$C$5</formula>
    </cfRule>
    <cfRule type="expression" dxfId="51" priority="1535">
      <formula>$C44:$C82=$D$5</formula>
    </cfRule>
    <cfRule type="expression" dxfId="50" priority="1534">
      <formula>$C44:$C82=$F$5</formula>
    </cfRule>
  </conditionalFormatting>
  <conditionalFormatting sqref="C47:C48">
    <cfRule type="expression" dxfId="49" priority="1600">
      <formula>$C15:$C47=$E$5</formula>
    </cfRule>
  </conditionalFormatting>
  <conditionalFormatting sqref="C49:C50">
    <cfRule type="expression" dxfId="48" priority="1579">
      <formula>$C18:$C49=$E$5</formula>
    </cfRule>
  </conditionalFormatting>
  <conditionalFormatting sqref="C51">
    <cfRule type="expression" dxfId="47"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6" priority="43" stopIfTrue="1">
      <formula>AND(LEN($C7)=0,E$7&gt;=$F7,E$7&lt;=$F7+$G7-1)</formula>
    </cfRule>
  </conditionalFormatting>
  <conditionalFormatting sqref="F7">
    <cfRule type="expression" dxfId="45" priority="37">
      <formula>AND(TODAY()&gt;=F$7,TODAY()&lt;G$7)</formula>
    </cfRule>
  </conditionalFormatting>
  <conditionalFormatting sqref="I6:AM6">
    <cfRule type="expression" dxfId="44" priority="54">
      <formula>I$7&lt;=EOMONTH($I$7,0)</formula>
    </cfRule>
  </conditionalFormatting>
  <conditionalFormatting sqref="I6:BL6">
    <cfRule type="expression" dxfId="43" priority="52">
      <formula>AND(I$7&lt;=EOMONTH($I$7,1),I$7&gt;EOMONTH($I$7,0))</formula>
    </cfRule>
  </conditionalFormatting>
  <conditionalFormatting sqref="I7:BL7">
    <cfRule type="expression" dxfId="42" priority="29">
      <formula>AND(TODAY()&gt;=I$7,TODAY()&lt;J$7)</formula>
    </cfRule>
  </conditionalFormatting>
  <conditionalFormatting sqref="I8:BL10 I11:BM45">
    <cfRule type="expression" dxfId="41" priority="60" stopIfTrue="1">
      <formula>AND($C8=$C$5,I$7&gt;=$F8,I$7&lt;=$F8+$G8-1)</formula>
    </cfRule>
    <cfRule type="expression" dxfId="40" priority="61" stopIfTrue="1">
      <formula>AND($C8=$D$5,I$7&gt;=$F8,I$7&lt;=$F8+$G8-1)</formula>
    </cfRule>
    <cfRule type="expression" dxfId="39" priority="62" stopIfTrue="1">
      <formula>AND($C8=$E$5,I$7&gt;=$F8,I$7&lt;=$F8+$G8-1)</formula>
    </cfRule>
    <cfRule type="expression" dxfId="38" priority="63" stopIfTrue="1">
      <formula>AND($C8=$F$5,I$7&gt;=$F8,I$7&lt;=$F8+$G8-1)</formula>
    </cfRule>
    <cfRule type="expression" dxfId="37" priority="64" stopIfTrue="1">
      <formula>AND(LEN($C8)=0,I$7&gt;=$F8,I$7&lt;=$F8+$G8-1)</formula>
    </cfRule>
  </conditionalFormatting>
  <conditionalFormatting sqref="I9:BL9">
    <cfRule type="expression" dxfId="36" priority="1">
      <formula>I$9="S"</formula>
    </cfRule>
  </conditionalFormatting>
  <conditionalFormatting sqref="I11:BM45 I8:BL10">
    <cfRule type="expression" dxfId="35" priority="30">
      <formula>AND(TODAY()&gt;=I$7,TODAY()&lt;J$7)</formula>
    </cfRule>
  </conditionalFormatting>
  <conditionalFormatting sqref="I11:BM45">
    <cfRule type="expression" dxfId="34" priority="2">
      <formula>I$9="S"</formula>
    </cfRule>
  </conditionalFormatting>
  <conditionalFormatting sqref="J6:BL6">
    <cfRule type="expression" dxfId="33" priority="53">
      <formula>AND(J$7&lt;=EOMONTH($I$7,2),J$7&gt;EOMONTH($I$7,0),J$7&gt;EOMONTH($I$7,1))</formula>
    </cfRule>
  </conditionalFormatting>
  <conditionalFormatting sqref="G14 G17">
    <cfRule type="cellIs" dxfId="103" priority="3000" operator="lessThan">
      <formula>1</formula>
    </cfRule>
  </conditionalFormatting>
  <dataValidations count="12">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en PAL, Start Selektion und Start inhaltliche Arbeit." sqref="E4">
      <formula1>JP_Massnahme</formula1>
    </dataValidation>
    <dataValidation allowBlank="1" showInputMessage="1" promptTitle="Briefkasten-Datum (PAL)" prompt="Wird aus Blatt „Jahresplanung“ übernommen – bitte dort ändern." sqref="C4"/>
    <dataValidation allowBlank="1" showInputMessage="1" promptTitle="Start Selektion" prompt="Kommt aus Blatt „Jahresplanung“ (PAL − Vorlauf Selektion). „Selektion erstellen“ füllt die Zeit bis zur Übergabe an den Lettershop." sqref="F11"/>
    <dataValidation allowBlank="1" showInputMessage="1" promptTitle="Start inhaltliche Arbeit" prompt="Kommt aus Blatt „Jahresplanung“ (PAL − Vorlauf Inhalt). „Thema definieren“ dauert bis zum Beginn der Texterstellung." sqref="F17"/>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sheetPr>
    <tabColor rgb="FFF8CBAD"/>
    <pageSetUpPr fitToPage="1"/>
  </sheetPr>
  <dimension ref="A1:H21"/>
  <sheetViews>
    <sheetView showGridLines="0" zoomScale="100" zoomScaleNormal="100" workbookViewId="0">
      <selection activeCell="B7" sqref="B7"/>
    </sheetView>
  </sheetViews>
  <sheetFormatPr defaultRowHeight="1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ht="10" customHeight="1"/>
    <row r="2" ht="30" customHeight="1">
      <c r="B2" s="152" t="str">
        <f>"Gesetzliche Feiertage NRW "&amp;Planungsjahr</f>
        <v>Gesetzliche Feiertage NRW 2027</v>
      </c>
      <c r="C2" s="153"/>
      <c r="D2" s="153"/>
      <c r="E2" s="153"/>
      <c r="F2" s="153"/>
      <c r="G2" s="153"/>
      <c r="H2" s="153"/>
    </row>
    <row r="3" ht="8" customHeight="1"/>
    <row r="4" ht="18" customHeight="1">
      <c r="B4" s="112" t="s">
        <v>59</v>
      </c>
      <c r="C4" s="160">
        <f>Planungsjahr</f>
        <v>2027</v>
      </c>
      <c r="D4" s="115" t="s">
        <v>110</v>
      </c>
    </row>
    <row r="5" ht="8" customHeight="1"/>
    <row r="6" ht="20" customHeight="1">
      <c r="B6" s="117" t="s">
        <v>111</v>
      </c>
      <c r="C6" s="117" t="s">
        <v>112</v>
      </c>
      <c r="D6" s="117" t="s">
        <v>113</v>
      </c>
      <c r="E6" s="117" t="s">
        <v>114</v>
      </c>
      <c r="G6" s="163" t="s">
        <v>115</v>
      </c>
      <c r="H6" s="163"/>
    </row>
    <row r="7" ht="18" customHeight="1">
      <c r="B7" s="154">
        <f>DATE(Planungsjahr,1,1)</f>
        <v>46388</v>
      </c>
      <c r="C7" s="155">
        <f>B7</f>
        <v>46388</v>
      </c>
      <c r="D7" s="156" t="s">
        <v>116</v>
      </c>
      <c r="E7" s="157" t="s">
        <v>117</v>
      </c>
      <c r="G7" s="161" t="s">
        <v>118</v>
      </c>
      <c r="H7" s="162">
        <f>MOD(Planungsjahr,19)</f>
        <v>13</v>
      </c>
    </row>
    <row r="8" ht="18" customHeight="1">
      <c r="B8" s="154">
        <f>$B$19-2</f>
        <v>46472</v>
      </c>
      <c r="C8" s="155">
        <f>B8</f>
        <v>46472</v>
      </c>
      <c r="D8" s="156" t="s">
        <v>119</v>
      </c>
      <c r="E8" s="157" t="s">
        <v>120</v>
      </c>
      <c r="G8" s="161" t="s">
        <v>121</v>
      </c>
      <c r="H8" s="162">
        <f>INT(Planungsjahr/100)</f>
        <v>20</v>
      </c>
    </row>
    <row r="9" ht="18" customHeight="1">
      <c r="B9" s="154">
        <f>$B$19+1</f>
        <v>46475</v>
      </c>
      <c r="C9" s="155">
        <f>B9</f>
        <v>46475</v>
      </c>
      <c r="D9" s="156" t="s">
        <v>122</v>
      </c>
      <c r="E9" s="157" t="s">
        <v>123</v>
      </c>
      <c r="G9" s="161" t="s">
        <v>124</v>
      </c>
      <c r="H9" s="162">
        <f>MOD(Planungsjahr,100)</f>
        <v>27</v>
      </c>
    </row>
    <row r="10" ht="18" customHeight="1">
      <c r="B10" s="154">
        <f>DATE(Planungsjahr,5,1)</f>
        <v>46508</v>
      </c>
      <c r="C10" s="155">
        <f>B10</f>
        <v>46508</v>
      </c>
      <c r="D10" s="156" t="s">
        <v>125</v>
      </c>
      <c r="E10" s="157" t="s">
        <v>126</v>
      </c>
      <c r="G10" s="161" t="s">
        <v>127</v>
      </c>
      <c r="H10" s="162">
        <f>INT(H8/4)</f>
        <v>5</v>
      </c>
    </row>
    <row r="11" ht="18" customHeight="1">
      <c r="B11" s="154">
        <f>$B$19+39</f>
        <v>46513</v>
      </c>
      <c r="C11" s="155">
        <f>B11</f>
        <v>46513</v>
      </c>
      <c r="D11" s="156" t="s">
        <v>128</v>
      </c>
      <c r="E11" s="157" t="s">
        <v>129</v>
      </c>
      <c r="G11" s="161" t="s">
        <v>130</v>
      </c>
      <c r="H11" s="162">
        <f>MOD(H8,4)</f>
        <v>0</v>
      </c>
    </row>
    <row r="12" ht="18" customHeight="1">
      <c r="B12" s="154">
        <f>$B$19+50</f>
        <v>46524</v>
      </c>
      <c r="C12" s="155">
        <f>B12</f>
        <v>46524</v>
      </c>
      <c r="D12" s="156" t="s">
        <v>131</v>
      </c>
      <c r="E12" s="157" t="s">
        <v>132</v>
      </c>
      <c r="G12" s="161" t="s">
        <v>133</v>
      </c>
      <c r="H12" s="162">
        <f>INT((H8+8)/25)</f>
        <v>1</v>
      </c>
    </row>
    <row r="13" ht="18" customHeight="1">
      <c r="B13" s="154">
        <f>$B$19+60</f>
        <v>46534</v>
      </c>
      <c r="C13" s="155">
        <f>B13</f>
        <v>46534</v>
      </c>
      <c r="D13" s="156" t="s">
        <v>134</v>
      </c>
      <c r="E13" s="157" t="s">
        <v>135</v>
      </c>
      <c r="G13" s="161" t="s">
        <v>136</v>
      </c>
      <c r="H13" s="162">
        <f>INT((H8-H12+1)/3)</f>
        <v>6</v>
      </c>
    </row>
    <row r="14" ht="18" customHeight="1">
      <c r="B14" s="154">
        <f>DATE(Planungsjahr,10,3)</f>
        <v>46663</v>
      </c>
      <c r="C14" s="155">
        <f>B14</f>
        <v>46663</v>
      </c>
      <c r="D14" s="156" t="s">
        <v>137</v>
      </c>
      <c r="E14" s="157" t="s">
        <v>138</v>
      </c>
      <c r="G14" s="161" t="s">
        <v>139</v>
      </c>
      <c r="H14" s="162">
        <f>MOD(19*H7+H8-H10-H13+15,30)</f>
        <v>1</v>
      </c>
    </row>
    <row r="15" ht="18" customHeight="1">
      <c r="B15" s="154">
        <f>DATE(Planungsjahr,11,1)</f>
        <v>46692</v>
      </c>
      <c r="C15" s="155">
        <f>B15</f>
        <v>46692</v>
      </c>
      <c r="D15" s="156" t="s">
        <v>140</v>
      </c>
      <c r="E15" s="157" t="s">
        <v>141</v>
      </c>
      <c r="G15" s="161" t="s">
        <v>142</v>
      </c>
      <c r="H15" s="162">
        <f>INT(H9/4)</f>
        <v>6</v>
      </c>
    </row>
    <row r="16" ht="18" customHeight="1">
      <c r="B16" s="154">
        <f>DATE(Planungsjahr,12,25)</f>
        <v>46746</v>
      </c>
      <c r="C16" s="155">
        <f>B16</f>
        <v>46746</v>
      </c>
      <c r="D16" s="156" t="s">
        <v>143</v>
      </c>
      <c r="E16" s="157" t="s">
        <v>144</v>
      </c>
      <c r="G16" s="161" t="s">
        <v>145</v>
      </c>
      <c r="H16" s="162">
        <f>MOD(H9,4)</f>
        <v>3</v>
      </c>
    </row>
    <row r="17" ht="18" customHeight="1">
      <c r="B17" s="154">
        <f>DATE(Planungsjahr,12,26)</f>
        <v>46747</v>
      </c>
      <c r="C17" s="155">
        <f>B17</f>
        <v>46747</v>
      </c>
      <c r="D17" s="156" t="s">
        <v>146</v>
      </c>
      <c r="E17" s="157" t="s">
        <v>147</v>
      </c>
      <c r="G17" s="161" t="s">
        <v>148</v>
      </c>
      <c r="H17" s="162">
        <f>MOD(32+2*H11+2*H15-H14-H16,7)</f>
        <v>5</v>
      </c>
    </row>
    <row r="18" ht="10" customHeight="1">
      <c r="G18" s="161" t="s">
        <v>149</v>
      </c>
      <c r="H18" s="162">
        <f>INT((H7+11*H14+22*H17)/451)</f>
        <v>0</v>
      </c>
    </row>
    <row r="19">
      <c r="B19" s="158">
        <f>DATE(Planungsjahr,INT($H$19/31),MOD($H$19,31)+1)</f>
        <v>46474</v>
      </c>
      <c r="C19" s="159">
        <f>$B$19</f>
        <v>46474</v>
      </c>
      <c r="D19" s="115" t="s">
        <v>150</v>
      </c>
      <c r="E19" s="115" t="s">
        <v>151</v>
      </c>
      <c r="G19" s="161" t="s">
        <v>152</v>
      </c>
      <c r="H19" s="162">
        <f>H14+H17-7*H18+114</f>
        <v>120</v>
      </c>
    </row>
    <row r="20">
      <c r="G20" s="161" t="s">
        <v>153</v>
      </c>
    </row>
    <row r="21">
      <c r="B21" s="115" t="s">
        <v>154</v>
      </c>
      <c r="C21" s="115"/>
      <c r="D21" s="115"/>
      <c r="E21" s="115"/>
    </row>
  </sheetData>
  <mergeCells count="2">
    <mergeCell ref="B2:H2"/>
    <mergeCell ref="B21:E21"/>
  </mergeCells>
  <printOptions horizontalCentered="1"/>
  <pageMargins left="0.3" right="0.3" top="0.4" bottom="0.4" header="0.2" footer="0.2"/>
  <pageSetup paperSize="9" orientation="portrait" fitToHeight="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Jahresplanung</vt:lpstr>
      <vt:lpstr>Sommermailing</vt:lpstr>
      <vt:lpstr>Weihnachtsmailing</vt:lpstr>
      <vt:lpstr>Feiertage NRW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2026-09-02T07:56:27Z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