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xr:revisionPtr revIDLastSave="0" documentId="13_ncr:1_{8EB38819-E3B9-4F5D-8BCB-CB0E8CAE359D}" xr6:coauthVersionLast="47" xr6:coauthVersionMax="47" xr10:uidLastSave="{00000000-0000-0000-0000-000000000000}"/>
  <bookViews>
    <workbookView xWindow="28680" yWindow="-1815" windowWidth="29040" windowHeight="17520" tabRatio="700" xr2:uid="{00000000-000D-0000-FFFF-FFFF00000000}"/>
  </bookViews>
  <sheets>
    <sheet name="Jahresplanung" sheetId="1" r:id="rId1"/>
    <sheet name="Sommermailing" sheetId="2" r:id="rId2"/>
    <sheet name="Weihnachtsmailing" sheetId="3" r:id="rId3"/>
    <sheet name="Feiertage NRW" sheetId="4" r:id="rId4"/>
  </sheets>
  <definedNames>
    <definedName name="_xlnm.Print_Area" localSheetId="0">Jahresplanung!$A$1:$CN$88</definedName>
    <definedName name="_xlnm.Print_Titles" localSheetId="1">Sommermailing!$6:$9</definedName>
    <definedName name="_xlnm.Print_Titles" localSheetId="2">Weihnachtsmailing!$6:$9</definedName>
    <definedName name="Feiertage">'Feiertage NRW'!$B$7:$B$17</definedName>
    <definedName name="Feiertage_Name">'Feiertage NRW'!$D$7:$D$17</definedName>
    <definedName name="Heute" localSheetId="1">TODAY()</definedName>
    <definedName name="Heute" localSheetId="2">TODAY()</definedName>
    <definedName name="JP_Auflage">Jahresplanung!$V$62:$V$81</definedName>
    <definedName name="JP_Massnahme">Jahresplanung!$B$62:$B$81</definedName>
    <definedName name="JP_PAL">Jahresplanung!$BD$62:$BD$81</definedName>
    <definedName name="JP_ShowInhalt">Jahresplanung!$T$62:$T$81</definedName>
    <definedName name="JP_ShowPAL">Jahresplanung!$U$62:$U$81</definedName>
    <definedName name="JP_ShowSel">Jahresplanung!$S$62:$S$81</definedName>
    <definedName name="JP_StartInhalt">Jahresplanung!$AP$62:$AP$81</definedName>
    <definedName name="JP_StartSel">Jahresplanung!$Z$62:$Z$81</definedName>
    <definedName name="JP_VorlaufInhalt">Jahresplanung!$AW$62:$AW$81</definedName>
    <definedName name="JP_VorlaufSel">Jahresplanung!$AI$62:$AI$81</definedName>
    <definedName name="Planungsjahr">Jahresplanung!$W$4</definedName>
    <definedName name="Projekt_Start" localSheetId="1">Sommermailing!$C$6</definedName>
    <definedName name="Projekt_Start" localSheetId="2">Weihnachtsmailing!$C$6</definedName>
    <definedName name="Scroll_Schrittweite" localSheetId="1">Sommermailing!$C$7</definedName>
    <definedName name="Scroll_Schrittweite" localSheetId="2">Weihnachtsmailing!$C$7</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<sst xmlns="http://schemas.openxmlformats.org/spreadsheetml/2006/main" count="361" uniqueCount="158">
  <si>
    <t xml:space="preserve">Erstellen eines Gantt-Diagramms
Geben Sie den Titel dieses Projekts in Zelle B2 ein.
Informationen zur Verwendung dieses Arbeitsblatts, einschließlich Anweisungen für Bildschirmleseprogramme und den Autor dieser Arbeitsmappe, finden Sie im Info-Arbeitsblatt.
Navigieren Sie weiter in Spalte A, um weitere Anweisungen zu erhalten. </t>
  </si>
  <si>
    <t>Briefkasten-Datum:</t>
  </si>
  <si>
    <t>Geben Sie den Namen des Projektleiters in Zelle B5 ein. Geben Sie das Projektstartdatum in Zelle C6 ein oder lassen Sie die Beispielformel den kleinsten Datumswert aus der Gantt-Datentabelle ermitteln.
Projektstartdatum: Die Bezeichnung befindet sich in Zelle B6.</t>
  </si>
  <si>
    <t>Projektteam:</t>
  </si>
  <si>
    <t>Martin</t>
  </si>
  <si>
    <t>P/Ö</t>
  </si>
  <si>
    <t>Eva</t>
  </si>
  <si>
    <t>Team</t>
  </si>
  <si>
    <t>Meilenstein</t>
  </si>
  <si>
    <t>Ziel</t>
  </si>
  <si>
    <t>Eine Scrollschrittweite befindet sich in Zelle C7.
Monate für die Daten in Zeile 7 werden beginnend in den Zellen I6 bis Zelle BL6 angezeigt.
Ändern Sie diese Zellen nicht. Sie werden basierend auf dem Projektstartdatum in Zelle F6 automatisch aktualisiert.</t>
  </si>
  <si>
    <t>Betrachtungszeitraum ab:</t>
  </si>
  <si>
    <t>Scrollschrittweite:</t>
  </si>
  <si>
    <t>Diese Zeile enthält Überschriften für den Projektplan. B9 bis G9 enthalten Zeitplaninformationen. Die Zellen I9 bis BL9 enthalten den ersten Buchstaben jedes Wochentags für das Datum über dieser Überschrift.
Alle Projektzeitplandiagramme werden automatisch generiert.</t>
  </si>
  <si>
    <t>Arbeitsschritte</t>
  </si>
  <si>
    <t>Zugeordnet</t>
  </si>
  <si>
    <t>Kommentar</t>
  </si>
  <si>
    <t>Fortschritt</t>
  </si>
  <si>
    <t>Start</t>
  </si>
  <si>
    <t>Dauer
in Tage</t>
  </si>
  <si>
    <t>Ende</t>
  </si>
  <si>
    <t>Selektion</t>
  </si>
  <si>
    <t>Selektion einleiten</t>
  </si>
  <si>
    <t>seitens Paderborn</t>
  </si>
  <si>
    <t>Interessensabwägung</t>
  </si>
  <si>
    <t>Freigabe Selektion Kati</t>
  </si>
  <si>
    <t>Selektion erstellen</t>
  </si>
  <si>
    <t>seitens Köln</t>
  </si>
  <si>
    <t>Selektion abgeschlossen</t>
  </si>
  <si>
    <t>Mailing</t>
  </si>
  <si>
    <t>Recherche</t>
  </si>
  <si>
    <t>Thema definieren</t>
  </si>
  <si>
    <t>Texte erstellen</t>
  </si>
  <si>
    <t>Bilder einholen</t>
  </si>
  <si>
    <t>Layoutphase</t>
  </si>
  <si>
    <t>Gestaltung</t>
  </si>
  <si>
    <t>Korrekturphase</t>
  </si>
  <si>
    <t>Freigaben einholen</t>
  </si>
  <si>
    <t>Übergabe an Lettershop</t>
  </si>
  <si>
    <t>Angebotsanfrage</t>
  </si>
  <si>
    <t>Produktion &amp; Versand</t>
  </si>
  <si>
    <t>Briefkasten-Termin</t>
  </si>
  <si>
    <t>Flankierung</t>
  </si>
  <si>
    <t>Social-Media</t>
  </si>
  <si>
    <t>Anke</t>
  </si>
  <si>
    <t>Grafik erstellen</t>
  </si>
  <si>
    <t>Veröffentlichung</t>
  </si>
  <si>
    <t>Pressearbeit</t>
  </si>
  <si>
    <t>Artikel erstellen</t>
  </si>
  <si>
    <t>Dankbrief</t>
  </si>
  <si>
    <t>Versand</t>
  </si>
  <si>
    <t>Briefkasten + 14 Tage</t>
  </si>
  <si>
    <t>Um weitere Daten hinzuzufügen, fügen Sie neue Zeilen ÜBER dieser ein.</t>
  </si>
  <si>
    <t>Verknüpft mit Maßnahme:</t>
  </si>
  <si>
    <t>Sommermailing</t>
  </si>
  <si>
    <t>Weihnachtsmailing</t>
  </si>
  <si>
    <t>Planungsjahr</t>
  </si>
  <si>
    <t>PAL = geplanter Eingang bei der Zielgruppe (Briefkasten-Termin)</t>
  </si>
  <si>
    <t>S</t>
  </si>
  <si>
    <t>Start Selektion</t>
  </si>
  <si>
    <t>Vorlauf Selektion – Standard (Tage)</t>
  </si>
  <si>
    <t>Start Selektion = PAL − Vorlauf Selektion</t>
  </si>
  <si>
    <t>I</t>
  </si>
  <si>
    <t>Start inhaltliche Arbeit</t>
  </si>
  <si>
    <t>Vorlauf Inhalt – Standard (Tage)</t>
  </si>
  <si>
    <t>Start inhaltliche Arbeit (Themendefinition) = PAL − Vorlauf Inhalt</t>
  </si>
  <si>
    <t>P</t>
  </si>
  <si>
    <t>PAL (Briefkasten-Termin)</t>
  </si>
  <si>
    <t>12</t>
  </si>
  <si>
    <t>Wochenende</t>
  </si>
  <si>
    <t>Feiertag NRW</t>
  </si>
  <si>
    <t>Der Kalender liest PAL, Start Selektion und Start inhaltliche Arbeit aller Maßnahmen aus der Tabelle unten – keine manuelle Pflege nötig. Mehrere Termine an einem Tag = mehrere Marker nebeneinander.</t>
  </si>
  <si>
    <t>KW</t>
  </si>
  <si>
    <t>Mo</t>
  </si>
  <si>
    <t>Di</t>
  </si>
  <si>
    <t>Mi</t>
  </si>
  <si>
    <t>Do</t>
  </si>
  <si>
    <t>Fr</t>
  </si>
  <si>
    <t>Sa</t>
  </si>
  <si>
    <t>So</t>
  </si>
  <si>
    <t>Weiß = Eingabe  ·  grau = berechnet  ·  kursiv = außerhalb des Planungsjahres  ·  orange = PAL prüfen  ·  rot = Reihenfolge prüfen</t>
  </si>
  <si>
    <t>Maßnahme</t>
  </si>
  <si>
    <t>Auflage</t>
  </si>
  <si>
    <t>PAL</t>
  </si>
  <si>
    <t>Art der Zuwendungs-/ Zuweisungsbitte</t>
  </si>
  <si>
    <t>Hinweis</t>
  </si>
  <si>
    <t>Jahres-ZWB mit Dank</t>
  </si>
  <si>
    <t>PAL-Platzhalter – bitte prüfen</t>
  </si>
  <si>
    <t>Bußgeldmailing 1: Jahresdank</t>
  </si>
  <si>
    <t>Projekt-Update 1</t>
  </si>
  <si>
    <t>aktiv</t>
  </si>
  <si>
    <t>PAL-Vorschlag (analog Vorjahr) – bitte prüfen</t>
  </si>
  <si>
    <t>Jahresbericht</t>
  </si>
  <si>
    <t>Projekt-Update 2 (optional)</t>
  </si>
  <si>
    <t>PAL-Vorschlag (Vorjahr 09.10.2026) – bitte prüfen</t>
  </si>
  <si>
    <t>PAL-Vorschlag (Vorjahr 27.11.2026) – bitte prüfen</t>
  </si>
  <si>
    <t>Weihnachtskarte</t>
  </si>
  <si>
    <t>So funktioniert es:</t>
  </si>
  <si>
    <t>• PAL, Vorläufe, Auflage, Art der Bitte und Hinweis werden hier gepflegt. Start Selektion und Start inhaltliche Arbeit berechnen sich automatisch (PAL minus Vorlauf, Kalendertage).</t>
  </si>
  <si>
    <t>• Die Vorlauf-Spalten übernehmen den Standardwert oben. Für einzelne Maßnahmen einfach eine eigene Zahl eintragen; Zelle leeren = kein Termin für diesen Schritt.</t>
  </si>
  <si>
    <t>• Sommer- und Weihnachtsmailing: PAL, Start Selektion und Start inhaltliche Arbeit steuern die gleichnamigen Detailblätter (Gantt). Die Verknüpfung läuft über den Namen in Spalte „Maßnahme“.</t>
  </si>
  <si>
    <t>• Neue Maßnahme: in die nächste freie Zeile schreiben. Steht eine PAL vor der darüberliegenden, wird sie rot markiert – dann Zeile an die passende Stelle verschieben (Zeile ausschneiden, „Ausgeschnittene Zellen einfügen“).</t>
  </si>
  <si>
    <t>← wird von Blatt „Jahresplanung“ übernommen</t>
  </si>
  <si>
    <t>Datum</t>
  </si>
  <si>
    <t>Wochentag</t>
  </si>
  <si>
    <t>Feiertag</t>
  </si>
  <si>
    <t>Berechnung</t>
  </si>
  <si>
    <t>Hilfsrechnung Ostersonntag</t>
  </si>
  <si>
    <t>Neujahr</t>
  </si>
  <si>
    <t>fest: 1. Januar</t>
  </si>
  <si>
    <t>a = Jahr mod 19</t>
  </si>
  <si>
    <t>Karfreitag</t>
  </si>
  <si>
    <t>Ostersonntag − 2 Tage</t>
  </si>
  <si>
    <t>b = Jahr div 100</t>
  </si>
  <si>
    <t>Ostermontag</t>
  </si>
  <si>
    <t>Ostersonntag + 1 Tag</t>
  </si>
  <si>
    <t>c = Jahr mod 100</t>
  </si>
  <si>
    <t>Tag der Arbeit</t>
  </si>
  <si>
    <t>fest: 1. Mai</t>
  </si>
  <si>
    <t>d = b div 4</t>
  </si>
  <si>
    <t>Christi Himmelfahrt</t>
  </si>
  <si>
    <t>Ostersonntag + 39 Tage</t>
  </si>
  <si>
    <t>e = b mod 4</t>
  </si>
  <si>
    <t>Pfingstmontag</t>
  </si>
  <si>
    <t>Ostersonntag + 50 Tage</t>
  </si>
  <si>
    <t>f = (b+8) div 25</t>
  </si>
  <si>
    <t>Fronleichnam</t>
  </si>
  <si>
    <t>Ostersonntag + 60 Tage</t>
  </si>
  <si>
    <t>g = (b−f+1) div 3</t>
  </si>
  <si>
    <t>Tag der Deutschen Einheit</t>
  </si>
  <si>
    <t>fest: 3. Oktober</t>
  </si>
  <si>
    <t>h = (19a+b−d−g+15) mod 30</t>
  </si>
  <si>
    <t>Allerheiligen</t>
  </si>
  <si>
    <t>fest: 1. November</t>
  </si>
  <si>
    <t>i = c div 4</t>
  </si>
  <si>
    <t>1. Weihnachtsfeiertag</t>
  </si>
  <si>
    <t>fest: 25. Dezember</t>
  </si>
  <si>
    <t>k = c mod 4</t>
  </si>
  <si>
    <t>2. Weihnachtsfeiertag</t>
  </si>
  <si>
    <t>fest: 26. Dezember</t>
  </si>
  <si>
    <t>l = (32+2e+2i−h−k) mod 7</t>
  </si>
  <si>
    <t>m = (a+11h+22l) div 451</t>
  </si>
  <si>
    <t>Ostersonntag (Hilfswert)</t>
  </si>
  <si>
    <t>Osterregel nach Gauß (Rechenweg rechts); kein gesetzlicher Feiertag in NRW</t>
  </si>
  <si>
    <t>n = h+l−7m+114</t>
  </si>
  <si>
    <t>Ostern: Monat = n div 31, Tag = n mod 31 + 1</t>
  </si>
  <si>
    <t>Die Termine werden automatisch aus dem Planungsjahr berechnet und im Kalender auf Blatt „Jahresplanung“ markiert.</t>
  </si>
  <si>
    <r>
      <rPr>
        <sz val="9.5"/>
        <color rgb="FF262626"/>
        <rFont val="Calibri"/>
        <family val="2"/>
        <scheme val="minor"/>
      </rPr>
      <t xml:space="preserve">Vorlauf </t>
    </r>
    <r>
      <rPr>
        <b/>
        <sz val="9.5"/>
        <color rgb="FF262626"/>
        <rFont val="Calibri"/>
        <family val="2"/>
        <scheme val="minor"/>
      </rPr>
      <t>Selektion</t>
    </r>
    <r>
      <rPr>
        <sz val="9.5"/>
        <color rgb="FF262626"/>
        <rFont val="Calibri"/>
        <family val="2"/>
        <scheme val="minor"/>
      </rPr>
      <t xml:space="preserve"> 
in Tagen</t>
    </r>
  </si>
  <si>
    <r>
      <rPr>
        <sz val="9.5"/>
        <color rgb="FF262626"/>
        <rFont val="Calibri"/>
        <family val="2"/>
        <scheme val="minor"/>
      </rPr>
      <t xml:space="preserve">Vorlauf 
</t>
    </r>
    <r>
      <rPr>
        <b/>
        <sz val="9.5"/>
        <color rgb="FF262626"/>
        <rFont val="Calibri"/>
        <family val="2"/>
        <scheme val="minor"/>
      </rPr>
      <t>Inhalt</t>
    </r>
    <r>
      <rPr>
        <sz val="9.5"/>
        <color rgb="FF262626"/>
        <rFont val="Calibri"/>
        <family val="2"/>
        <scheme val="minor"/>
      </rPr>
      <t xml:space="preserve"> 
in Tagen</t>
    </r>
  </si>
  <si>
    <t>Verknüpft mit</t>
  </si>
  <si>
    <t>Unternehmensmailing</t>
  </si>
  <si>
    <t>Bußgeldmailing 2</t>
  </si>
  <si>
    <t xml:space="preserve">• Vorlauf: Bei Sommer- und Weihnachtsmailing wird er automatisch aus dem Gantt übernommen (Summe der Arbeitsschritte bis zum PAL, graue Felder). Bei allen anderen Maßnahmen individuell eintragen; Zelle leeren = kein Termin.</t>
  </si>
  <si>
    <t xml:space="preserve">• Sommer- und Weihnachtsmailing: Der PAL hier steuert die gleichnamigen Detailblätter. Dauern der Arbeitsschritte im Gantt ändern = Vorlauf und Starttermine hier ändern sich mit. Verknüpfung über den Namen in Spalte „Maßnahme“.</t>
  </si>
  <si>
    <t xml:space="preserve">S</t>
  </si>
  <si>
    <t xml:space="preserve">I</t>
  </si>
  <si>
    <t xml:space="preserve">P</t>
  </si>
  <si>
    <t xml:space="preserve">• Häkchen S · I · P neben der Maßnahme: legt fest, ob Start Selektion, Start inhaltliche Arbeit und PAL im Kalender erscheinen. Häkchen entfernen blendet nur den Marker aus.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</si>
</sst>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_(* \(#,##0.00\);_(* &quot;-&quot;??_);_(@_)"/>
    <numFmt numFmtId="165" formatCode="d"/>
    <numFmt numFmtId="166" formatCode="#,##0_ ;\-#,##0\ "/>
    <numFmt numFmtId="167" formatCode="[$-407]mmmm\ yyyy"/>
    <numFmt numFmtId="168" formatCode="[$-407]ddd\ dd\.mm\.yyyy"/>
    <numFmt numFmtId="169" formatCode="dd\.mm\.yyyy"/>
    <numFmt numFmtId="170" formatCode="[$-407]dddd"/>
  </numFmts>
  <fonts count="74"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name val="Calibri"/>
      <family val="2"/>
      <scheme val="minor"/>
    </font>
    <font>
      <b/>
      <sz val="16"/>
      <color rgb="FF000000"/>
      <name val="Calibri"/>
      <family val="2"/>
      <scheme val="minor"/>
    </font>
    <font>
      <sz val="11"/>
      <color theme="0" tint="-0.14999847407452621"/>
      <name val="Calibri"/>
      <family val="2"/>
      <scheme val="minor"/>
    </font>
    <font>
      <i/>
      <sz val="11"/>
      <color theme="0" tint="-0.499984740745262"/>
      <name val="Calibri"/>
      <family val="2"/>
      <scheme val="minor"/>
    </font>
    <font>
      <b/>
      <sz val="11"/>
      <color theme="0" tint="-0.499984740745262"/>
      <name val="Calibri"/>
      <family val="2"/>
      <scheme val="minor"/>
    </font>
    <font>
      <sz val="11"/>
      <color theme="0" tint="-4.9989318521683403E-2"/>
      <name val="Calibri"/>
      <family val="2"/>
      <scheme val="minor"/>
    </font>
    <font>
      <b/>
      <sz val="12"/>
      <color theme="0"/>
      <name val="Aharoni"/>
      <charset val="177"/>
    </font>
    <font>
      <b/>
      <sz val="20"/>
      <color theme="0"/>
      <name val="Calibri"/>
      <family val="2"/>
      <scheme val="minor"/>
    </font>
    <font>
      <b/>
      <sz val="36"/>
      <color theme="0"/>
      <name val="Calibri"/>
      <family val="2"/>
      <scheme val="major"/>
    </font>
    <font>
      <b/>
      <sz val="12"/>
      <color theme="0"/>
      <name val="Aharoni"/>
    </font>
    <font>
      <b/>
      <sz val="13"/>
      <color theme="0" tint="-0.499984740745262"/>
      <name val="Calibri"/>
      <family val="2"/>
      <scheme val="minor"/>
    </font>
    <font>
      <b/>
      <sz val="25"/>
      <color theme="1"/>
      <name val="Calibri"/>
      <family val="2"/>
      <scheme val="minor"/>
    </font>
    <font>
      <sz val="25"/>
      <color theme="1"/>
      <name val="Calibri"/>
      <family val="2"/>
      <scheme val="minor"/>
    </font>
    <font>
      <b/>
      <sz val="11"/>
      <color theme="1"/>
      <name val="Calibri"/>
      <family val="2"/>
      <scheme val="minor"/>
    </font>
    <font>
      <sz val="11"/>
      <color theme="0" tint="-0.34998626667073579"/>
      <name val="Calibri"/>
      <family val="2"/>
      <scheme val="minor"/>
    </font>
    <font>
      <b/>
      <sz val="11"/>
      <color theme="0" tint="-0.34998626667073579"/>
      <name val="Calibri"/>
      <family val="2"/>
      <scheme val="minor"/>
    </font>
    <font>
      <i/>
      <sz val="11"/>
      <color theme="0" tint="-0.34998626667073579"/>
      <name val="Calibri"/>
      <family val="2"/>
      <scheme val="minor"/>
    </font>
    <font>
      <b/>
      <sz val="11"/>
      <color theme="1" tint="4.9989318521683403E-2"/>
      <name val="Calibri"/>
      <family val="2"/>
      <scheme val="minor"/>
    </font>
    <font>
      <sz val="11"/>
      <color theme="0" tint="-0.249977111117893"/>
      <name val="Calibri"/>
      <family val="2"/>
      <scheme val="minor"/>
    </font>
    <font>
      <i/>
      <sz val="11"/>
      <color theme="0" tint="-0.249977111117893"/>
      <name val="Calibri"/>
      <family val="2"/>
      <scheme val="minor"/>
    </font>
    <font>
      <sz val="11"/>
      <color theme="1" tint="0.249977111117893"/>
      <name val="Calibri"/>
      <family val="2"/>
      <scheme val="minor"/>
    </font>
    <font>
      <b/>
      <sz val="20"/>
      <color rgb="FFFFFFFF"/>
      <name val="Calibri"/>
      <family val="2"/>
      <scheme val="minor"/>
    </font>
    <font>
      <sz val="10"/>
      <color rgb="FF262626"/>
      <name val="Calibri"/>
      <family val="2"/>
      <scheme val="minor"/>
    </font>
    <font>
      <b/>
      <sz val="10"/>
      <color rgb="FF262626"/>
      <name val="Calibri"/>
      <family val="2"/>
      <scheme val="minor"/>
    </font>
    <font>
      <b/>
      <sz val="11"/>
      <color rgb="FF262626"/>
      <name val="Calibri"/>
      <family val="2"/>
      <scheme val="minor"/>
    </font>
    <font>
      <i/>
      <sz val="9"/>
      <color rgb="FF7F7F7F"/>
      <name val="Calibri"/>
      <family val="2"/>
      <scheme val="minor"/>
    </font>
    <font>
      <b/>
      <sz val="10"/>
      <color rgb="FF548235"/>
      <name val="Calibri"/>
      <family val="2"/>
      <scheme val="minor"/>
    </font>
    <font>
      <b/>
      <sz val="10"/>
      <color rgb="FFFFFFFF"/>
      <name val="Calibri"/>
      <family val="2"/>
      <scheme val="minor"/>
    </font>
    <font>
      <sz val="9"/>
      <color rgb="FF262626"/>
      <name val="Calibri"/>
      <family val="2"/>
      <scheme val="minor"/>
    </font>
    <font>
      <b/>
      <sz val="7"/>
      <color rgb="FFFFFFFF"/>
      <name val="Calibri"/>
      <family val="2"/>
      <scheme val="minor"/>
    </font>
    <font>
      <sz val="9"/>
      <color rgb="FF7F7F7F"/>
      <name val="Calibri"/>
      <family val="2"/>
      <scheme val="minor"/>
    </font>
    <font>
      <b/>
      <sz val="9"/>
      <color rgb="FFC00000"/>
      <name val="Calibri"/>
      <family val="2"/>
      <scheme val="minor"/>
    </font>
    <font>
      <b/>
      <sz val="11"/>
      <color rgb="FFFFFFFF"/>
      <name val="Calibri"/>
      <family val="2"/>
      <scheme val="minor"/>
    </font>
    <font>
      <b/>
      <sz val="8"/>
      <color rgb="FF7F7F7F"/>
      <name val="Calibri"/>
      <family val="2"/>
      <scheme val="minor"/>
    </font>
    <font>
      <b/>
      <sz val="7"/>
      <color rgb="FFBFBFBF"/>
      <name val="Calibri"/>
      <family val="2"/>
      <scheme val="minor"/>
    </font>
    <font>
      <sz val="7"/>
      <color rgb="FFBFBFBF"/>
      <name val="Calibri"/>
      <family val="2"/>
      <scheme val="minor"/>
    </font>
    <font>
      <b/>
      <sz val="13"/>
      <color rgb="FF262626"/>
      <name val="Calibri"/>
      <family val="2"/>
      <scheme val="minor"/>
    </font>
    <font>
      <b/>
      <sz val="9.5"/>
      <color rgb="FFFFFFFF"/>
      <name val="Calibri"/>
      <family val="2"/>
      <scheme val="minor"/>
    </font>
    <font>
      <b/>
      <sz val="9.5"/>
      <color rgb="FF262626"/>
      <name val="Calibri"/>
      <family val="2"/>
      <scheme val="minor"/>
    </font>
    <font>
      <sz val="10"/>
      <color rgb="FF404040"/>
      <name val="Calibri"/>
      <family val="2"/>
      <scheme val="minor"/>
    </font>
    <font>
      <sz val="9"/>
      <color rgb="FF595959"/>
      <name val="Calibri"/>
      <family val="2"/>
      <scheme val="minor"/>
    </font>
    <font>
      <b/>
      <sz val="16"/>
      <color rgb="FFFFFFFF"/>
      <name val="Calibri"/>
      <family val="2"/>
      <scheme val="minor"/>
    </font>
    <font>
      <i/>
      <sz val="8"/>
      <color rgb="FF7F7F7F"/>
      <name val="Calibri"/>
      <family val="2"/>
      <scheme val="minor"/>
    </font>
    <font>
      <sz val="11"/>
      <color rgb="FF7F7F7F"/>
      <name val="Calibri"/>
      <family val="2"/>
      <scheme val="minor"/>
    </font>
    <font>
      <sz val="9.5"/>
      <color rgb="FF262626"/>
      <name val="Calibri"/>
      <family val="2"/>
      <scheme val="minor"/>
    </font>
    <font>
      <sz val="7.5"/>
      <color theme="0" tint="-0.34998626667073579"/>
      <name val="Calibri"/>
      <family val="2"/>
      <scheme val="minor"/>
    </font>
    <font>
      <sz val="10"/>
      <color theme="1"/>
      <name val="Calibri"/>
      <family val="2"/>
      <scheme val="minor"/>
    </font>
    <font>
      <sz val="11"/>
      <color rgb="FF2E75B6"/>
      <name val="Calibri"/>
      <family val="2"/>
      <scheme val="minor"/>
    </font>
    <font>
      <sz val="11"/>
      <color rgb="FF548235"/>
      <name val="Calibri"/>
      <family val="2"/>
      <scheme val="minor"/>
    </font>
    <font>
      <sz val="11"/>
      <color rgb="FFE30714"/>
      <name val="Calibri"/>
      <family val="2"/>
      <scheme val="minor"/>
    </font>
    <font>
      <sz val="8"/>
      <color rgb="FF2E75B6"/>
      <name val="Calibri"/>
      <family val="2"/>
      <scheme val="minor"/>
    </font>
    <font>
      <sz val="8"/>
      <color rgb="FF548235"/>
      <name val="Calibri"/>
      <family val="2"/>
      <scheme val="minor"/>
    </font>
    <font>
      <sz val="8"/>
      <color rgb="FFE30714"/>
      <name val="Calibri"/>
      <family val="2"/>
      <scheme val="minor"/>
    </font>
    <font>
      <b/>
      <sz val="9"/>
      <color rgb="FF404040"/>
      <name val="Calibri"/>
      <family val="2"/>
      <scheme val="minor"/>
    </font>
  </fonts>
  <fills count="22">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auto="1"/>
      </patternFill>
    </fill>
    <fill>
      <patternFill patternType="solid">
        <fgColor rgb="FFE30714"/>
        <bgColor indexed="64"/>
      </patternFill>
    </fill>
    <fill>
      <patternFill patternType="solid">
        <fgColor rgb="FFF3EE12"/>
        <bgColor indexed="64"/>
      </patternFill>
    </fill>
    <fill>
      <patternFill patternType="solid">
        <fgColor rgb="FFFFFFCC"/>
        <bgColor indexed="64"/>
      </patternFill>
    </fill>
    <fill>
      <patternFill patternType="solid">
        <fgColor rgb="FFE30714"/>
        <bgColor indexed="64"/>
      </patternFill>
    </fill>
    <fill>
      <patternFill patternType="solid">
        <fgColor rgb="FFFFF2CC"/>
        <bgColor indexed="64"/>
      </patternFill>
    </fill>
    <fill>
      <patternFill patternType="solid">
        <fgColor rgb="FF404040"/>
        <bgColor indexed="64"/>
      </patternFill>
    </fill>
    <fill>
      <patternFill patternType="solid">
        <fgColor rgb="FF2E75B6"/>
        <bgColor indexed="64"/>
      </patternFill>
    </fill>
    <fill>
      <patternFill patternType="solid">
        <fgColor rgb="FF548235"/>
        <bgColor indexed="64"/>
      </patternFill>
    </fill>
    <fill>
      <patternFill patternType="solid">
        <fgColor rgb="FFEDEDED"/>
        <bgColor indexed="64"/>
      </patternFill>
    </fill>
    <fill>
      <patternFill patternType="solid">
        <fgColor rgb="FFF8CBAD"/>
        <bgColor indexed="64"/>
      </patternFill>
    </fill>
    <fill>
      <patternFill patternType="solid">
        <fgColor rgb="FFBDD7EE"/>
        <bgColor indexed="64"/>
      </patternFill>
    </fill>
    <fill>
      <patternFill patternType="solid">
        <fgColor rgb="FFC5E0B4"/>
        <bgColor indexed="64"/>
      </patternFill>
    </fill>
    <fill>
      <patternFill patternType="solid">
        <fgColor rgb="FFFFFFFF"/>
        <bgColor indexed="64"/>
      </patternFill>
    </fill>
    <fill>
      <patternFill patternType="solid">
        <fgColor rgb="FFF2F2F2"/>
        <bgColor indexed="64"/>
      </patternFill>
    </fill>
    <fill>
      <patternFill patternType="lightUp">
        <fgColor rgb="FFA6A6A6"/>
        <bgColor rgb="FFF2F2F2"/>
      </patternFill>
    </fill>
  </fills>
  <borders count="58">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style="thick">
        <color rgb="FFFFCC99"/>
      </top>
      <bottom/>
      <diagonal/>
    </border>
    <border>
      <left/>
      <right/>
      <top/>
      <bottom style="thick">
        <color theme="9" tint="0.79998168889431442"/>
      </bottom>
      <diagonal/>
    </border>
    <border>
      <left/>
      <right/>
      <top style="thick">
        <color theme="3" tint="0.79998168889431442"/>
      </top>
      <bottom/>
      <diagonal/>
    </border>
    <border>
      <left/>
      <right/>
      <top style="thick">
        <color theme="6" tint="0.79998168889431442"/>
      </top>
      <bottom/>
      <diagonal/>
    </border>
    <border>
      <left style="thick">
        <color theme="0"/>
      </left>
      <right style="thick">
        <color theme="0"/>
      </right>
      <top/>
      <bottom/>
      <diagonal/>
    </border>
    <border>
      <left style="thick">
        <color theme="0"/>
      </left>
      <right/>
      <top/>
      <bottom/>
      <diagonal/>
    </border>
    <border>
      <left/>
      <right style="thick">
        <color theme="0"/>
      </right>
      <top/>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dotted">
        <color theme="1" tint="0.499984740745262"/>
      </left>
      <right style="dotted">
        <color theme="1" tint="0.499984740745262"/>
      </right>
      <top style="dotted">
        <color theme="1" tint="0.499984740745262"/>
      </top>
      <bottom style="dotted">
        <color theme="1" tint="0.499984740745262"/>
      </bottom>
      <diagonal/>
    </border>
    <border>
      <left style="thin">
        <color theme="0" tint="-0.14999847407452621"/>
      </left>
      <right style="thin">
        <color theme="0" tint="-0.14999847407452621"/>
      </right>
      <top/>
      <bottom style="thin">
        <color theme="0" tint="-0.14999847407452621"/>
      </bottom>
      <diagonal/>
    </border>
    <border>
      <left/>
      <right style="thick">
        <color theme="0"/>
      </right>
      <top/>
      <bottom style="dotted">
        <color theme="0" tint="-0.499984740745262"/>
      </bottom>
      <diagonal/>
    </border>
    <border>
      <left style="thick">
        <color theme="0"/>
      </left>
      <right style="thick">
        <color theme="0"/>
      </right>
      <top/>
      <bottom style="dotted">
        <color theme="0" tint="-0.499984740745262"/>
      </bottom>
      <diagonal/>
    </border>
    <border>
      <left/>
      <right/>
      <top/>
      <bottom style="dotted">
        <color theme="0" tint="-0.499984740745262"/>
      </bottom>
      <diagonal/>
    </border>
    <border>
      <left style="thin">
        <color theme="0" tint="-0.14999847407452621"/>
      </left>
      <right style="thin">
        <color theme="0" tint="-0.14999847407452621"/>
      </right>
      <top style="thin">
        <color theme="0" tint="-0.14999847407452621"/>
      </top>
      <bottom style="dotted">
        <color theme="0" tint="-0.499984740745262"/>
      </bottom>
      <diagonal/>
    </border>
    <border>
      <left style="thin">
        <color theme="1"/>
      </left>
      <right style="thin">
        <color theme="1"/>
      </right>
      <top style="thin">
        <color theme="1"/>
      </top>
      <bottom style="dotted">
        <color theme="0" tint="-0.499984740745262"/>
      </bottom>
      <diagonal/>
    </border>
    <border>
      <left style="thin">
        <color theme="1"/>
      </left>
      <right style="thin">
        <color theme="0" tint="-0.14999847407452621"/>
      </right>
      <top style="thin">
        <color theme="0" tint="-0.14999847407452621"/>
      </top>
      <bottom style="dotted">
        <color theme="0" tint="-0.499984740745262"/>
      </bottom>
      <diagonal/>
    </border>
    <border>
      <left style="dotted">
        <color theme="1" tint="0.499984740745262"/>
      </left>
      <right style="dotted">
        <color theme="1" tint="0.499984740745262"/>
      </right>
      <top style="dotted">
        <color theme="1" tint="0.499984740745262"/>
      </top>
      <bottom style="dotted">
        <color theme="0" tint="-0.499984740745262"/>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bottom style="thin">
        <color rgb="FFBFBFBF"/>
      </bottom>
      <diagonal/>
    </border>
    <border>
      <left style="thin">
        <color rgb="FFFFFFFF"/>
      </left>
      <right style="thin">
        <color rgb="FFFFFFFF"/>
      </right>
      <top/>
      <bottom/>
      <diagonal/>
    </border>
    <border>
      <left/>
      <right/>
      <top/>
      <bottom style="thin">
        <color rgb="FFD9D9D9"/>
      </bottom>
      <diagonal/>
    </border>
    <border>
      <left style="thin">
        <color theme="1" tint="0.24994659260841701"/>
      </left>
      <right/>
      <top style="thin">
        <color theme="1" tint="0.24994659260841701"/>
      </top>
      <bottom/>
      <diagonal/>
    </border>
    <border>
      <left/>
      <right/>
      <top style="thin">
        <color theme="1" tint="0.24994659260841701"/>
      </top>
      <bottom/>
      <diagonal/>
    </border>
    <border>
      <left/>
      <right style="thin">
        <color theme="1" tint="0.24994659260841701"/>
      </right>
      <top style="thin">
        <color theme="1" tint="0.24994659260841701"/>
      </top>
      <bottom/>
      <diagonal/>
    </border>
    <border>
      <left style="thin">
        <color theme="1" tint="0.24994659260841701"/>
      </left>
      <right/>
      <top/>
      <bottom style="thin">
        <color rgb="FFBFBFBF"/>
      </bottom>
      <diagonal/>
    </border>
    <border>
      <left/>
      <right style="thin">
        <color theme="1" tint="0.24994659260841701"/>
      </right>
      <top/>
      <bottom style="thin">
        <color rgb="FFBFBFBF"/>
      </bottom>
      <diagonal/>
    </border>
    <border>
      <left style="thin">
        <color theme="1" tint="0.24994659260841701"/>
      </left>
      <right/>
      <top/>
      <bottom/>
      <diagonal/>
    </border>
    <border>
      <left/>
      <right style="thin">
        <color theme="1" tint="0.24994659260841701"/>
      </right>
      <top/>
      <bottom/>
      <diagonal/>
    </border>
    <border>
      <left style="thin">
        <color theme="1" tint="0.24994659260841701"/>
      </left>
      <right/>
      <top/>
      <bottom style="thin">
        <color theme="1" tint="0.24994659260841701"/>
      </bottom>
      <diagonal/>
    </border>
    <border>
      <left/>
      <right/>
      <top/>
      <bottom style="thin">
        <color theme="1" tint="0.24994659260841701"/>
      </bottom>
      <diagonal/>
    </border>
    <border>
      <left/>
      <right style="thin">
        <color theme="1" tint="0.24994659260841701"/>
      </right>
      <top/>
      <bottom style="thin">
        <color theme="1" tint="0.24994659260841701"/>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style="thin">
        <color rgb="FFBFBFBF"/>
      </bottom>
      <diagonal/>
    </border>
    <border>
      <left/>
      <right style="thin">
        <color theme="1" tint="0.34998626667073579"/>
      </right>
      <top/>
      <bottom style="thin">
        <color rgb="FFBFBFBF"/>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top/>
      <bottom style="thin">
        <color theme="1" tint="0.34998626667073579"/>
      </bottom>
      <diagonal/>
    </border>
    <border>
      <left/>
      <right/>
      <top/>
      <bottom style="thin">
        <color theme="1" tint="0.34998626667073579"/>
      </bottom>
      <diagonal/>
    </border>
    <border>
      <left/>
      <right style="thin">
        <color theme="1" tint="0.34998626667073579"/>
      </right>
      <top/>
      <bottom style="thin">
        <color theme="1" tint="0.3499862666707357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9"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6" fontId="4" fillId="0" borderId="0" applyFont="0" applyFill="0" applyBorder="0" applyProtection="0">
      <alignment horizontal="center" vertical="center"/>
    </xf>
    <xf numFmtId="0" fontId="9" fillId="3" borderId="0" applyNumberFormat="0" applyBorder="0" applyAlignment="0" applyProtection="0"/>
  </cellStyleXfs>
  <cellXfs count="205">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9" fillId="0" borderId="0" xfId="3"/>
    <xf numFmtId="0" fontId="9" fillId="0" borderId="0" xfId="3" applyAlignment="1">
      <alignment wrapText="1"/>
    </xf>
    <xf numFmtId="0" fontId="9"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0" fontId="0" fillId="0" borderId="0" xfId="0" applyAlignment="1">
      <alignment horizontal="left" wrapText="1" indent="2"/>
    </xf>
    <xf numFmtId="0" fontId="0" fillId="0" borderId="6" xfId="0" applyBorder="1" applyAlignment="1">
      <alignment vertical="center"/>
    </xf>
    <xf numFmtId="0" fontId="17" fillId="0" borderId="0" xfId="5" applyFont="1" applyFill="1" applyBorder="1" applyAlignment="1">
      <alignment horizontal="left" vertical="center"/>
    </xf>
    <xf numFmtId="0" fontId="16" fillId="0" borderId="0" xfId="0" applyFont="1" applyAlignment="1">
      <alignment horizontal="left" vertical="center"/>
    </xf>
    <xf numFmtId="0" fontId="3" fillId="0" borderId="0" xfId="0" applyFont="1" applyAlignment="1">
      <alignment vertical="center"/>
    </xf>
    <xf numFmtId="0" fontId="14" fillId="0" borderId="0" xfId="0" applyFont="1" applyAlignment="1">
      <alignment horizontal="center" vertical="center"/>
    </xf>
    <xf numFmtId="0" fontId="3" fillId="0" borderId="0" xfId="0" applyFont="1" applyAlignment="1">
      <alignment horizontal="left" vertical="center" indent="2"/>
    </xf>
    <xf numFmtId="0" fontId="3" fillId="0" borderId="0" xfId="0" applyFont="1"/>
    <xf numFmtId="0" fontId="3" fillId="0" borderId="0" xfId="0" applyFont="1" applyAlignment="1">
      <alignment horizontal="right" vertical="center"/>
    </xf>
    <xf numFmtId="14" fontId="3" fillId="0" borderId="0" xfId="9" applyFont="1" applyFill="1" applyBorder="1" applyAlignment="1">
      <alignment horizontal="left" vertical="center" indent="2"/>
    </xf>
    <xf numFmtId="0" fontId="3" fillId="0" borderId="3" xfId="0" applyFont="1" applyBorder="1"/>
    <xf numFmtId="0" fontId="14" fillId="0" borderId="0" xfId="0" applyFont="1" applyAlignment="1">
      <alignment vertical="center"/>
    </xf>
    <xf numFmtId="0" fontId="3" fillId="0" borderId="0" xfId="0" applyFont="1" applyAlignment="1">
      <alignment horizontal="center" vertical="center"/>
    </xf>
    <xf numFmtId="14" fontId="3" fillId="0" borderId="0" xfId="9" applyFont="1" applyFill="1">
      <alignment horizontal="center" vertical="center"/>
    </xf>
    <xf numFmtId="0" fontId="0" fillId="0" borderId="0" xfId="0" applyAlignment="1">
      <alignment horizontal="center" vertical="center"/>
    </xf>
    <xf numFmtId="0" fontId="12" fillId="0" borderId="9" xfId="0" applyFont="1" applyBorder="1"/>
    <xf numFmtId="0" fontId="20" fillId="0" borderId="9" xfId="0" applyFont="1" applyBorder="1" applyAlignment="1">
      <alignment vertical="center"/>
    </xf>
    <xf numFmtId="0" fontId="21" fillId="0" borderId="9" xfId="0" applyFont="1" applyBorder="1" applyAlignment="1">
      <alignment vertical="center"/>
    </xf>
    <xf numFmtId="0" fontId="15" fillId="0" borderId="9" xfId="0" applyFont="1" applyBorder="1" applyAlignment="1">
      <alignment vertical="center"/>
    </xf>
    <xf numFmtId="165" fontId="1" fillId="5" borderId="7" xfId="0" applyNumberFormat="1" applyFont="1" applyFill="1" applyBorder="1" applyAlignment="1">
      <alignment horizontal="center" vertical="center"/>
    </xf>
    <xf numFmtId="165" fontId="1" fillId="5" borderId="5" xfId="0" applyNumberFormat="1" applyFont="1" applyFill="1" applyBorder="1" applyAlignment="1">
      <alignment horizontal="center" vertical="center"/>
    </xf>
    <xf numFmtId="165" fontId="1" fillId="5" borderId="8" xfId="0" applyNumberFormat="1" applyFont="1" applyFill="1" applyBorder="1" applyAlignment="1">
      <alignment horizontal="center" vertical="center"/>
    </xf>
    <xf numFmtId="165" fontId="1" fillId="5" borderId="2" xfId="0" applyNumberFormat="1" applyFont="1" applyFill="1" applyBorder="1" applyAlignment="1">
      <alignment horizontal="center" vertical="center"/>
    </xf>
    <xf numFmtId="165" fontId="1" fillId="5" borderId="0" xfId="0" applyNumberFormat="1" applyFont="1" applyFill="1" applyAlignment="1">
      <alignment horizontal="center" vertical="center"/>
    </xf>
    <xf numFmtId="165" fontId="1" fillId="5" borderId="10" xfId="0" applyNumberFormat="1" applyFont="1" applyFill="1" applyBorder="1" applyAlignment="1">
      <alignment horizontal="center" vertical="center"/>
    </xf>
    <xf numFmtId="165" fontId="1" fillId="5" borderId="11" xfId="0" applyNumberFormat="1" applyFont="1" applyFill="1" applyBorder="1" applyAlignment="1">
      <alignment horizontal="center" vertical="center"/>
    </xf>
    <xf numFmtId="165" fontId="1" fillId="5" borderId="3" xfId="0" applyNumberFormat="1" applyFont="1" applyFill="1" applyBorder="1" applyAlignment="1">
      <alignment horizontal="center" vertical="center"/>
    </xf>
    <xf numFmtId="0" fontId="1" fillId="5" borderId="1" xfId="0" applyFont="1" applyFill="1" applyBorder="1" applyAlignment="1">
      <alignment horizontal="center" vertical="center" shrinkToFit="1"/>
    </xf>
    <xf numFmtId="0" fontId="3" fillId="0" borderId="0" xfId="0" applyFont="1" applyAlignment="1">
      <alignment horizontal="left" vertical="center" wrapText="1" indent="1"/>
    </xf>
    <xf numFmtId="0" fontId="22" fillId="0" borderId="0" xfId="8" applyFont="1" applyFill="1" applyAlignment="1">
      <alignment horizontal="left" vertical="center" indent="2"/>
    </xf>
    <xf numFmtId="0" fontId="22" fillId="0" borderId="0" xfId="0" applyFont="1" applyAlignment="1">
      <alignment horizontal="left" vertical="center"/>
    </xf>
    <xf numFmtId="0" fontId="25" fillId="0" borderId="0" xfId="0" applyFont="1"/>
    <xf numFmtId="0" fontId="0" fillId="6" borderId="4" xfId="0" applyFill="1" applyBorder="1" applyAlignment="1">
      <alignment horizontal="center" vertical="center"/>
    </xf>
    <xf numFmtId="0" fontId="3" fillId="0" borderId="14" xfId="0" applyFont="1" applyBorder="1"/>
    <xf numFmtId="0" fontId="3" fillId="0" borderId="15" xfId="0" applyFont="1" applyBorder="1" applyAlignment="1">
      <alignment horizontal="center"/>
    </xf>
    <xf numFmtId="0" fontId="3" fillId="2" borderId="0" xfId="0" applyFont="1" applyFill="1" applyAlignment="1">
      <alignment horizontal="center"/>
    </xf>
    <xf numFmtId="0" fontId="3" fillId="2" borderId="13" xfId="0" applyFont="1" applyFill="1" applyBorder="1" applyAlignment="1">
      <alignment horizontal="center"/>
    </xf>
    <xf numFmtId="0" fontId="20" fillId="2" borderId="0" xfId="0" applyFont="1" applyFill="1" applyAlignment="1">
      <alignment horizontal="left" indent="2"/>
    </xf>
    <xf numFmtId="0" fontId="9" fillId="7" borderId="0" xfId="0" applyFont="1" applyFill="1"/>
    <xf numFmtId="0" fontId="26" fillId="7" borderId="0" xfId="0" applyFont="1" applyFill="1" applyAlignment="1">
      <alignment horizontal="left" vertical="center" indent="1"/>
    </xf>
    <xf numFmtId="0" fontId="26" fillId="7" borderId="0" xfId="0" applyFont="1" applyFill="1" applyAlignment="1">
      <alignment horizontal="center" vertical="center" wrapText="1"/>
    </xf>
    <xf numFmtId="0" fontId="26" fillId="7" borderId="16" xfId="0" applyFont="1" applyFill="1" applyBorder="1" applyAlignment="1">
      <alignment horizontal="center" vertical="center" wrapText="1"/>
    </xf>
    <xf numFmtId="0" fontId="26" fillId="7" borderId="17" xfId="0" applyFont="1" applyFill="1" applyBorder="1" applyAlignment="1">
      <alignment horizontal="center" vertical="center" wrapText="1"/>
    </xf>
    <xf numFmtId="0" fontId="3" fillId="0" borderId="16" xfId="0" applyFont="1" applyBorder="1" applyAlignment="1">
      <alignment horizontal="center" vertical="center"/>
    </xf>
    <xf numFmtId="0" fontId="23" fillId="0" borderId="16" xfId="0" applyFont="1" applyBorder="1" applyAlignment="1">
      <alignment horizontal="center" vertical="center"/>
    </xf>
    <xf numFmtId="9" fontId="13" fillId="0" borderId="16" xfId="2" applyFont="1" applyFill="1" applyBorder="1">
      <alignment horizontal="center" vertical="center"/>
    </xf>
    <xf numFmtId="0" fontId="29" fillId="7" borderId="3" xfId="0" applyFont="1" applyFill="1" applyBorder="1" applyAlignment="1">
      <alignment horizontal="center" vertical="center" wrapText="1"/>
    </xf>
    <xf numFmtId="166" fontId="0" fillId="0" borderId="18" xfId="10" applyFont="1" applyFill="1" applyBorder="1">
      <alignment horizontal="center" vertical="center"/>
    </xf>
    <xf numFmtId="166" fontId="3" fillId="0" borderId="18" xfId="10" applyFont="1" applyFill="1" applyBorder="1">
      <alignment horizontal="center" vertical="center"/>
    </xf>
    <xf numFmtId="14" fontId="3" fillId="0" borderId="0" xfId="0" applyNumberFormat="1" applyFont="1" applyAlignment="1">
      <alignment horizontal="center" vertical="center"/>
    </xf>
    <xf numFmtId="14" fontId="0" fillId="0" borderId="0" xfId="0" applyNumberFormat="1"/>
    <xf numFmtId="0" fontId="23" fillId="0" borderId="16" xfId="0" quotePrefix="1" applyFont="1" applyBorder="1" applyAlignment="1">
      <alignment horizontal="center" vertical="center"/>
    </xf>
    <xf numFmtId="0" fontId="0" fillId="0" borderId="18" xfId="0" applyBorder="1" applyAlignment="1">
      <alignment horizontal="left" wrapText="1" indent="3"/>
    </xf>
    <xf numFmtId="0" fontId="33" fillId="0" borderId="18" xfId="0" applyFont="1" applyBorder="1" applyAlignment="1">
      <alignment horizontal="left" wrapText="1" indent="1"/>
    </xf>
    <xf numFmtId="14" fontId="22" fillId="0" borderId="12" xfId="9" applyFont="1" applyFill="1" applyBorder="1" applyAlignment="1">
      <alignment horizontal="left" vertical="center"/>
    </xf>
    <xf numFmtId="0" fontId="20" fillId="8" borderId="19" xfId="6" applyFont="1" applyFill="1" applyBorder="1" applyAlignment="1">
      <alignment horizontal="left" vertical="center" indent="2"/>
    </xf>
    <xf numFmtId="0" fontId="0" fillId="6" borderId="22" xfId="0" applyFill="1" applyBorder="1" applyAlignment="1">
      <alignment horizontal="center" vertical="center"/>
    </xf>
    <xf numFmtId="0" fontId="0" fillId="0" borderId="4" xfId="0" applyBorder="1" applyAlignment="1">
      <alignment horizontal="center" vertical="center"/>
    </xf>
    <xf numFmtId="14" fontId="34" fillId="0" borderId="16" xfId="9" applyFont="1" applyFill="1" applyBorder="1">
      <alignment horizontal="center" vertical="center"/>
    </xf>
    <xf numFmtId="166" fontId="34" fillId="0" borderId="18" xfId="10" applyFont="1" applyFill="1" applyBorder="1">
      <alignment horizontal="center" vertical="center"/>
    </xf>
    <xf numFmtId="14" fontId="34" fillId="0" borderId="0" xfId="0" applyNumberFormat="1" applyFont="1" applyAlignment="1">
      <alignment horizontal="center" vertical="center"/>
    </xf>
    <xf numFmtId="14" fontId="35" fillId="0" borderId="0" xfId="0" applyNumberFormat="1" applyFont="1" applyAlignment="1">
      <alignment horizontal="center" vertical="center"/>
    </xf>
    <xf numFmtId="166" fontId="34" fillId="0" borderId="0" xfId="10" applyFont="1" applyFill="1" applyBorder="1">
      <alignment horizontal="center" vertical="center"/>
    </xf>
    <xf numFmtId="14" fontId="34" fillId="9" borderId="21" xfId="0" applyNumberFormat="1" applyFont="1" applyFill="1" applyBorder="1" applyAlignment="1">
      <alignment horizontal="center" vertical="center"/>
    </xf>
    <xf numFmtId="14" fontId="36" fillId="0" borderId="16" xfId="0" quotePrefix="1" applyNumberFormat="1" applyFont="1" applyBorder="1" applyAlignment="1">
      <alignment horizontal="center" vertical="center"/>
    </xf>
    <xf numFmtId="0" fontId="33" fillId="0" borderId="23" xfId="0" applyFont="1" applyBorder="1" applyAlignment="1">
      <alignment horizontal="left" wrapText="1" indent="1"/>
    </xf>
    <xf numFmtId="0" fontId="23" fillId="0" borderId="24" xfId="0" applyFont="1" applyBorder="1" applyAlignment="1">
      <alignment horizontal="center" vertical="center"/>
    </xf>
    <xf numFmtId="9" fontId="13" fillId="0" borderId="24" xfId="2" applyFont="1" applyFill="1" applyBorder="1">
      <alignment horizontal="center" vertical="center"/>
    </xf>
    <xf numFmtId="14" fontId="34" fillId="0" borderId="24" xfId="9" applyFont="1" applyFill="1" applyBorder="1">
      <alignment horizontal="center" vertical="center"/>
    </xf>
    <xf numFmtId="166" fontId="34" fillId="0" borderId="23" xfId="10" applyFont="1" applyFill="1" applyBorder="1">
      <alignment horizontal="center" vertical="center"/>
    </xf>
    <xf numFmtId="14" fontId="34" fillId="0" borderId="25" xfId="0" applyNumberFormat="1" applyFont="1" applyBorder="1" applyAlignment="1">
      <alignment horizontal="center" vertical="center"/>
    </xf>
    <xf numFmtId="0" fontId="0" fillId="6" borderId="26" xfId="0" applyFill="1" applyBorder="1" applyAlignment="1">
      <alignment horizontal="center" vertical="center"/>
    </xf>
    <xf numFmtId="166" fontId="34" fillId="0" borderId="25" xfId="10" applyFont="1" applyFill="1" applyBorder="1">
      <alignment horizontal="center" vertical="center"/>
    </xf>
    <xf numFmtId="0" fontId="0" fillId="6" borderId="28" xfId="0" applyFill="1" applyBorder="1" applyAlignment="1">
      <alignment horizontal="center" vertical="center"/>
    </xf>
    <xf numFmtId="14" fontId="34" fillId="9" borderId="29" xfId="0" applyNumberFormat="1" applyFont="1" applyFill="1" applyBorder="1" applyAlignment="1">
      <alignment horizontal="center" vertical="center"/>
    </xf>
    <xf numFmtId="14" fontId="37" fillId="8" borderId="27" xfId="0" applyNumberFormat="1" applyFont="1" applyFill="1" applyBorder="1" applyAlignment="1">
      <alignment horizontal="center" vertical="center"/>
    </xf>
    <xf numFmtId="14" fontId="10" fillId="8" borderId="20" xfId="6" applyNumberFormat="1" applyFont="1" applyFill="1" applyBorder="1" applyAlignment="1">
      <alignment horizontal="center" vertical="center"/>
    </xf>
    <xf numFmtId="0" fontId="38" fillId="0" borderId="24" xfId="0" applyFont="1" applyBorder="1" applyAlignment="1">
      <alignment horizontal="center" vertical="center"/>
    </xf>
    <xf numFmtId="0" fontId="38" fillId="0" borderId="16" xfId="0" applyFont="1" applyBorder="1" applyAlignment="1">
      <alignment horizontal="center" vertical="center"/>
    </xf>
    <xf numFmtId="0" fontId="39" fillId="0" borderId="18" xfId="0" applyFont="1" applyBorder="1" applyAlignment="1">
      <alignment horizontal="left" wrapText="1" indent="3"/>
    </xf>
    <xf numFmtId="0" fontId="39" fillId="0" borderId="23" xfId="0" applyFont="1" applyBorder="1" applyAlignment="1">
      <alignment horizontal="left" wrapText="1" indent="3"/>
    </xf>
    <xf numFmtId="14" fontId="37" fillId="8" borderId="27" xfId="0" applyNumberFormat="1" applyFont="1" applyFill="1" applyBorder="1" applyAlignment="1">
      <alignment horizontal="left" vertical="center"/>
    </xf>
    <xf numFmtId="0" fontId="0" fillId="0" borderId="16" xfId="0" applyBorder="1" applyAlignment="1">
      <alignment horizontal="center" vertical="center"/>
    </xf>
    <xf numFmtId="14" fontId="40" fillId="8" borderId="0" xfId="0" applyNumberFormat="1" applyFont="1" applyFill="1" applyAlignment="1">
      <alignment horizontal="center" vertical="center"/>
    </xf>
    <xf numFmtId="0" fontId="43" fillId="0" borderId="0" xfId="0" applyFont="1" applyAlignment="1">
      <alignment horizontal="left" vertical="center" indent="1"/>
    </xf>
    <xf numFmtId="0" fontId="45" fillId="0" borderId="0" xfId="0" applyFont="1" applyAlignment="1">
      <alignment horizontal="left" vertical="center" indent="1"/>
    </xf>
    <xf numFmtId="0" fontId="47" fillId="12" borderId="0" xfId="0" applyFont="1" applyFill="1" applyAlignment="1">
      <alignment horizontal="left" vertical="center" indent="1"/>
    </xf>
    <xf numFmtId="0" fontId="49" fillId="13" borderId="0" xfId="0" applyFont="1" applyFill="1" applyAlignment="1">
      <alignment horizontal="center" vertical="center"/>
    </xf>
    <xf numFmtId="0" fontId="49" fillId="14" borderId="0" xfId="0" applyFont="1" applyFill="1" applyAlignment="1">
      <alignment horizontal="center" vertical="center"/>
    </xf>
    <xf numFmtId="0" fontId="49" fillId="10" borderId="0" xfId="0" applyFont="1" applyFill="1" applyAlignment="1">
      <alignment horizontal="center" vertical="center"/>
    </xf>
    <xf numFmtId="169" fontId="43" fillId="0" borderId="34" xfId="0" applyNumberFormat="1" applyFont="1" applyBorder="1" applyAlignment="1">
      <alignment horizontal="left" vertical="center" indent="1"/>
    </xf>
    <xf numFmtId="170" fontId="42" fillId="0" borderId="34" xfId="0" applyNumberFormat="1" applyFont="1" applyBorder="1" applyAlignment="1">
      <alignment horizontal="left" vertical="center" indent="1"/>
    </xf>
    <xf numFmtId="0" fontId="42" fillId="0" borderId="34" xfId="0" applyFont="1" applyBorder="1" applyAlignment="1">
      <alignment horizontal="left" vertical="center" indent="1"/>
    </xf>
    <xf numFmtId="0" fontId="45" fillId="0" borderId="34" xfId="0" applyFont="1" applyBorder="1" applyAlignment="1">
      <alignment horizontal="left" vertical="center" indent="1"/>
    </xf>
    <xf numFmtId="169" fontId="45" fillId="0" borderId="0" xfId="0" applyNumberFormat="1" applyFont="1" applyAlignment="1">
      <alignment horizontal="left" vertical="center" indent="1"/>
    </xf>
    <xf numFmtId="170" fontId="45" fillId="0" borderId="0" xfId="0" applyNumberFormat="1" applyFont="1" applyAlignment="1">
      <alignment horizontal="left" vertical="center" indent="1"/>
    </xf>
    <xf numFmtId="0" fontId="44" fillId="20" borderId="31" xfId="0" applyFont="1" applyFill="1" applyBorder="1" applyAlignment="1">
      <alignment horizontal="center" vertical="center"/>
    </xf>
    <xf numFmtId="0" fontId="62" fillId="0" borderId="0" xfId="0" applyFont="1" applyAlignment="1">
      <alignment horizontal="left" vertical="center" indent="1"/>
    </xf>
    <xf numFmtId="0" fontId="62" fillId="0" borderId="0" xfId="0" applyFont="1" applyAlignment="1">
      <alignment horizontal="right" vertical="center"/>
    </xf>
    <xf numFmtId="0" fontId="53" fillId="0" borderId="34" xfId="0" applyFont="1" applyBorder="1" applyAlignment="1">
      <alignment horizontal="left" vertical="center" indent="1"/>
    </xf>
    <xf numFmtId="0" fontId="63" fillId="0" borderId="0" xfId="0" applyFont="1" applyAlignment="1">
      <alignment horizontal="right" vertical="center"/>
    </xf>
    <xf numFmtId="0" fontId="41" fillId="10" borderId="0" xfId="0" applyFont="1" applyFill="1" applyAlignment="1">
      <alignment horizontal="left" vertical="center" indent="1"/>
    </xf>
    <xf numFmtId="0" fontId="41" fillId="10" borderId="0" xfId="0" applyFont="1" applyFill="1" applyAlignment="1">
      <alignment vertical="center"/>
    </xf>
    <xf numFmtId="0" fontId="43" fillId="0" borderId="0" xfId="0" applyFont="1" applyAlignment="1">
      <alignment horizontal="left" vertical="center" indent="1"/>
    </xf>
    <xf numFmtId="0" fontId="42" fillId="0" borderId="0" xfId="0" applyFont="1" applyAlignment="1">
      <alignment horizontal="left" vertical="center" indent="1"/>
    </xf>
    <xf numFmtId="0" fontId="44" fillId="11" borderId="30" xfId="0" applyFont="1" applyFill="1" applyBorder="1" applyAlignment="1">
      <alignment horizontal="center" vertical="center"/>
    </xf>
    <xf numFmtId="0" fontId="44" fillId="11" borderId="30" xfId="0" applyFont="1" applyFill="1" applyBorder="1" applyAlignment="1">
      <alignment vertical="center"/>
    </xf>
    <xf numFmtId="0" fontId="45" fillId="0" borderId="0" xfId="0" applyFont="1" applyAlignment="1">
      <alignment horizontal="left" vertical="center" indent="1"/>
    </xf>
    <xf numFmtId="0" fontId="46" fillId="0" borderId="0" xfId="0" applyFont="1" applyAlignment="1">
      <alignment horizontal="left" vertical="center" indent="1"/>
    </xf>
    <xf numFmtId="0" fontId="48" fillId="0" borderId="0" xfId="0" applyFont="1" applyAlignment="1">
      <alignment horizontal="left" vertical="center" indent="1"/>
    </xf>
    <xf numFmtId="0" fontId="50" fillId="15" borderId="31" xfId="0" applyFont="1" applyFill="1" applyBorder="1" applyAlignment="1">
      <alignment horizontal="center" vertical="center"/>
    </xf>
    <xf numFmtId="0" fontId="51" fillId="16" borderId="31" xfId="0" applyFont="1" applyFill="1" applyBorder="1" applyAlignment="1">
      <alignment horizontal="center" vertical="center"/>
    </xf>
    <xf numFmtId="0" fontId="53" fillId="0" borderId="32" xfId="0" applyFont="1" applyBorder="1" applyAlignment="1">
      <alignment horizontal="center" vertical="center"/>
    </xf>
    <xf numFmtId="0" fontId="56" fillId="0" borderId="0" xfId="0" applyFont="1" applyAlignment="1">
      <alignment horizontal="left" vertical="center"/>
    </xf>
    <xf numFmtId="0" fontId="45" fillId="0" borderId="0" xfId="0" applyFont="1" applyAlignment="1">
      <alignment horizontal="right" vertical="center"/>
    </xf>
    <xf numFmtId="0" fontId="57" fillId="12" borderId="33" xfId="0" applyFont="1" applyFill="1" applyBorder="1" applyAlignment="1">
      <alignment horizontal="left" vertical="center" wrapText="1" indent="1"/>
    </xf>
    <xf numFmtId="0" fontId="57" fillId="12" borderId="33" xfId="0" applyFont="1" applyFill="1" applyBorder="1" applyAlignment="1">
      <alignment horizontal="center" vertical="center" wrapText="1"/>
    </xf>
    <xf numFmtId="0" fontId="57" fillId="13" borderId="33" xfId="0" applyFont="1" applyFill="1" applyBorder="1" applyAlignment="1">
      <alignment horizontal="center" vertical="center" wrapText="1"/>
    </xf>
    <xf numFmtId="0" fontId="58" fillId="17" borderId="33" xfId="0" applyFont="1" applyFill="1" applyBorder="1" applyAlignment="1">
      <alignment horizontal="center" vertical="center" wrapText="1"/>
    </xf>
    <xf numFmtId="0" fontId="57" fillId="14" borderId="33" xfId="0" applyFont="1" applyFill="1" applyBorder="1" applyAlignment="1">
      <alignment horizontal="center" vertical="center" wrapText="1"/>
    </xf>
    <xf numFmtId="0" fontId="58" fillId="18" borderId="33" xfId="0" applyFont="1" applyFill="1" applyBorder="1" applyAlignment="1">
      <alignment horizontal="center" vertical="center" wrapText="1"/>
    </xf>
    <xf numFmtId="0" fontId="57" fillId="10" borderId="33" xfId="0" applyFont="1" applyFill="1" applyBorder="1" applyAlignment="1">
      <alignment horizontal="center" vertical="center" wrapText="1"/>
    </xf>
    <xf numFmtId="0" fontId="42" fillId="19" borderId="31" xfId="0" applyFont="1" applyFill="1" applyBorder="1" applyAlignment="1">
      <alignment horizontal="left" vertical="center" indent="1" shrinkToFit="1"/>
    </xf>
    <xf numFmtId="3" fontId="42" fillId="19" borderId="31" xfId="0" applyNumberFormat="1" applyFont="1" applyFill="1" applyBorder="1" applyAlignment="1">
      <alignment horizontal="center" vertical="center"/>
    </xf>
    <xf numFmtId="168" fontId="59" fillId="20" borderId="31" xfId="0" applyNumberFormat="1" applyFont="1" applyFill="1" applyBorder="1" applyAlignment="1">
      <alignment horizontal="center" vertical="center"/>
    </xf>
    <xf numFmtId="1" fontId="42" fillId="19" borderId="31" xfId="0" applyNumberFormat="1" applyFont="1" applyFill="1" applyBorder="1" applyAlignment="1">
      <alignment horizontal="center" vertical="center"/>
    </xf>
    <xf numFmtId="168" fontId="43" fillId="19" borderId="31" xfId="0" applyNumberFormat="1" applyFont="1" applyFill="1" applyBorder="1" applyAlignment="1">
      <alignment horizontal="center" vertical="center"/>
    </xf>
    <xf numFmtId="0" fontId="42" fillId="19" borderId="31" xfId="0" applyFont="1" applyFill="1" applyBorder="1" applyAlignment="1">
      <alignment horizontal="center" vertical="center"/>
    </xf>
    <xf numFmtId="0" fontId="60" fillId="19" borderId="31" xfId="0" applyFont="1" applyFill="1" applyBorder="1" applyAlignment="1">
      <alignment horizontal="left" vertical="center" indent="1" shrinkToFit="1"/>
    </xf>
    <xf numFmtId="0" fontId="43" fillId="0" borderId="0" xfId="0" applyFont="1" applyAlignment="1">
      <alignment horizontal="left" vertical="center"/>
    </xf>
    <xf numFmtId="0" fontId="60" fillId="0" borderId="0" xfId="0" applyFont="1" applyAlignment="1">
      <alignment horizontal="left" vertical="center"/>
    </xf>
    <xf numFmtId="0" fontId="44" fillId="11" borderId="30" xfId="0" applyFont="1" applyFill="1" applyBorder="1" applyAlignment="1">
      <alignment horizontal="left" vertical="center" indent="1"/>
    </xf>
    <xf numFmtId="0" fontId="24" fillId="4" borderId="0" xfId="3" applyFont="1" applyFill="1" applyAlignment="1">
      <alignment horizontal="center" vertical="center" textRotation="90" wrapText="1"/>
    </xf>
    <xf numFmtId="0" fontId="9" fillId="7" borderId="0" xfId="0" applyFont="1" applyFill="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31" fillId="7" borderId="0" xfId="0" applyFont="1" applyFill="1" applyAlignment="1">
      <alignment horizontal="center" vertical="center"/>
    </xf>
    <xf numFmtId="0" fontId="32" fillId="7" borderId="0" xfId="0" applyFont="1" applyFill="1" applyAlignment="1">
      <alignment horizontal="center" vertical="center"/>
    </xf>
    <xf numFmtId="0" fontId="30" fillId="2" borderId="0" xfId="3" applyFont="1" applyFill="1" applyAlignment="1">
      <alignment horizontal="center" vertical="center" textRotation="90"/>
    </xf>
    <xf numFmtId="0" fontId="28" fillId="7" borderId="0" xfId="5" applyFont="1" applyFill="1" applyAlignment="1">
      <alignment horizontal="left" vertical="center" indent="1"/>
    </xf>
    <xf numFmtId="0" fontId="19" fillId="7" borderId="0" xfId="5" applyFont="1" applyFill="1" applyAlignment="1">
      <alignment horizontal="left" vertical="center" indent="1"/>
    </xf>
    <xf numFmtId="0" fontId="27" fillId="7" borderId="0" xfId="0" applyFont="1" applyFill="1" applyAlignment="1">
      <alignment horizontal="center" vertical="center"/>
    </xf>
    <xf numFmtId="0" fontId="18" fillId="7" borderId="0" xfId="0" applyFont="1" applyFill="1" applyAlignment="1">
      <alignment horizontal="center" vertical="center"/>
    </xf>
    <xf numFmtId="0" fontId="11" fillId="0" borderId="0" xfId="11" applyFont="1" applyFill="1" applyAlignment="1">
      <alignment horizontal="center" vertical="center"/>
    </xf>
    <xf numFmtId="0" fontId="61" fillId="10" borderId="0" xfId="0" applyFont="1" applyFill="1" applyAlignment="1">
      <alignment horizontal="left" vertical="center" indent="1"/>
    </xf>
    <xf numFmtId="0" fontId="61" fillId="10" borderId="0" xfId="0" applyFont="1" applyFill="1" applyAlignment="1">
      <alignment vertical="center"/>
    </xf>
    <xf numFmtId="165" fontId="42" fillId="0" borderId="0" xfId="0" applyNumberFormat="1" applyFont="1" applyBorder="1" applyAlignment="1">
      <alignment horizontal="center"/>
    </xf>
    <xf numFmtId="0" fontId="49" fillId="0" borderId="0" xfId="0" applyFont="1" applyBorder="1" applyAlignment="1">
      <alignment horizontal="center" vertical="center"/>
    </xf>
    <xf numFmtId="167" fontId="52" fillId="12" borderId="35" xfId="0" applyNumberFormat="1" applyFont="1" applyFill="1" applyBorder="1" applyAlignment="1">
      <alignment horizontal="left" vertical="center" indent="1"/>
    </xf>
    <xf numFmtId="0" fontId="52" fillId="12" borderId="36" xfId="0" applyFont="1" applyFill="1" applyBorder="1" applyAlignment="1">
      <alignment vertical="center"/>
    </xf>
    <xf numFmtId="0" fontId="52" fillId="12" borderId="37" xfId="0" applyFont="1" applyFill="1" applyBorder="1" applyAlignment="1">
      <alignment vertical="center"/>
    </xf>
    <xf numFmtId="0" fontId="54" fillId="0" borderId="38" xfId="0" applyFont="1" applyBorder="1" applyAlignment="1">
      <alignment horizontal="center" vertical="center"/>
    </xf>
    <xf numFmtId="0" fontId="53" fillId="0" borderId="39" xfId="0" applyFont="1" applyBorder="1" applyAlignment="1">
      <alignment horizontal="center" vertical="center"/>
    </xf>
    <xf numFmtId="0" fontId="55" fillId="0" borderId="40" xfId="0" applyFont="1" applyBorder="1" applyAlignment="1">
      <alignment horizontal="center" vertical="top"/>
    </xf>
    <xf numFmtId="165" fontId="42" fillId="0" borderId="41" xfId="0" applyNumberFormat="1" applyFont="1" applyBorder="1" applyAlignment="1">
      <alignment horizontal="center"/>
    </xf>
    <xf numFmtId="0" fontId="55" fillId="0" borderId="40" xfId="0" applyFont="1" applyBorder="1" applyAlignment="1">
      <alignment horizontal="center" vertical="center"/>
    </xf>
    <xf numFmtId="0" fontId="49" fillId="0" borderId="41" xfId="0" applyFont="1" applyBorder="1" applyAlignment="1">
      <alignment horizontal="center" vertical="center"/>
    </xf>
    <xf numFmtId="0" fontId="55" fillId="0" borderId="42" xfId="0" applyFont="1" applyBorder="1" applyAlignment="1">
      <alignment horizontal="center" vertical="center"/>
    </xf>
    <xf numFmtId="0" fontId="49" fillId="0" borderId="43" xfId="0" applyFont="1" applyBorder="1" applyAlignment="1">
      <alignment horizontal="center" vertical="center"/>
    </xf>
    <xf numFmtId="0" fontId="49" fillId="0" borderId="44" xfId="0" applyFont="1" applyBorder="1" applyAlignment="1">
      <alignment horizontal="center" vertical="center"/>
    </xf>
    <xf numFmtId="167" fontId="52" fillId="12" borderId="45" xfId="0" applyNumberFormat="1" applyFont="1" applyFill="1" applyBorder="1" applyAlignment="1">
      <alignment horizontal="left" vertical="center" indent="1"/>
    </xf>
    <xf numFmtId="0" fontId="52" fillId="12" borderId="46" xfId="0" applyFont="1" applyFill="1" applyBorder="1" applyAlignment="1">
      <alignment vertical="center"/>
    </xf>
    <xf numFmtId="0" fontId="52" fillId="12" borderId="47" xfId="0" applyFont="1" applyFill="1" applyBorder="1" applyAlignment="1">
      <alignment vertical="center"/>
    </xf>
    <xf numFmtId="0" fontId="54" fillId="0" borderId="48" xfId="0" applyFont="1" applyBorder="1" applyAlignment="1">
      <alignment horizontal="center" vertical="center"/>
    </xf>
    <xf numFmtId="0" fontId="53" fillId="0" borderId="49" xfId="0" applyFont="1" applyBorder="1" applyAlignment="1">
      <alignment horizontal="center" vertical="center"/>
    </xf>
    <xf numFmtId="0" fontId="55" fillId="0" borderId="50" xfId="0" applyFont="1" applyBorder="1" applyAlignment="1">
      <alignment horizontal="center" vertical="top"/>
    </xf>
    <xf numFmtId="165" fontId="42" fillId="0" borderId="51" xfId="0" applyNumberFormat="1" applyFont="1" applyBorder="1" applyAlignment="1">
      <alignment horizontal="center"/>
    </xf>
    <xf numFmtId="0" fontId="55" fillId="0" borderId="50" xfId="0" applyFont="1" applyBorder="1" applyAlignment="1">
      <alignment horizontal="center" vertical="center"/>
    </xf>
    <xf numFmtId="0" fontId="49" fillId="0" borderId="51" xfId="0" applyFont="1" applyBorder="1" applyAlignment="1">
      <alignment horizontal="center" vertical="center"/>
    </xf>
    <xf numFmtId="0" fontId="55" fillId="0" borderId="52" xfId="0" applyFont="1" applyBorder="1" applyAlignment="1">
      <alignment horizontal="center" vertical="center"/>
    </xf>
    <xf numFmtId="0" fontId="49" fillId="0" borderId="53" xfId="0" applyFont="1" applyBorder="1" applyAlignment="1">
      <alignment horizontal="center" vertical="center"/>
    </xf>
    <xf numFmtId="0" fontId="49" fillId="0" borderId="54" xfId="0" applyFont="1" applyBorder="1" applyAlignment="1">
      <alignment horizontal="center" vertical="center"/>
    </xf>
    <xf numFmtId="0" fontId="65" fillId="0" borderId="0" xfId="0" applyFont="1" applyAlignment="1">
      <alignment horizontal="left" vertical="top" wrapText="1"/>
    </xf>
    <xf numFmtId="168" fontId="66" fillId="20" borderId="55" xfId="0" applyNumberFormat="1" applyFont="1" applyFill="1" applyBorder="1" applyAlignment="1">
      <alignment horizontal="center" vertical="center"/>
    </xf>
    <xf numFmtId="168" fontId="66" fillId="20" borderId="56" xfId="0" applyNumberFormat="1" applyFont="1" applyFill="1" applyBorder="1" applyAlignment="1">
      <alignment horizontal="center" vertical="center"/>
    </xf>
    <xf numFmtId="168" fontId="66" fillId="20" borderId="57" xfId="0" applyNumberFormat="1" applyFont="1" applyFill="1" applyBorder="1" applyAlignment="1">
      <alignment horizontal="center" vertical="center"/>
    </xf>
    <xf numFmtId="0" fontId="42" fillId="0" borderId="0" xfId="0" applyNumberFormat="1" applyFont="1" applyBorder="1" applyAlignment="1">
      <alignment horizontal="center"/>
    </xf>
    <xf numFmtId="0" fontId="42" fillId="0" borderId="41" xfId="0" applyNumberFormat="1" applyFont="1" applyBorder="1" applyAlignment="1">
      <alignment horizontal="center"/>
    </xf>
    <xf numFmtId="0" fontId="42" fillId="0" borderId="51" xfId="0" applyNumberFormat="1" applyFont="1" applyBorder="1" applyAlignment="1">
      <alignment horizontal="center"/>
    </xf>
    <xf numFmtId="0" fontId="53" fillId="0" borderId="32" xfId="0" applyFont="1" applyBorder="1" applyAlignment="1">
      <alignment vertical="center" horizontal="centerContinuous"/>
    </xf>
    <xf numFmtId="0" fontId="53" fillId="0" borderId="39" xfId="0" applyFont="1" applyBorder="1" applyAlignment="1">
      <alignment vertical="center" horizontal="centerContinuous"/>
    </xf>
    <xf numFmtId="0" fontId="53" fillId="0" borderId="49" xfId="0" applyFont="1" applyBorder="1" applyAlignment="1">
      <alignment vertical="center" horizontal="centerContinuous"/>
    </xf>
    <xf numFmtId="1" fontId="66" fillId="20" borderId="31" xfId="0" applyNumberFormat="1" applyFont="1" applyFill="1" applyBorder="1" applyAlignment="1">
      <alignment horizontal="center" vertical="center"/>
    </xf>
    <xf numFmtId="1" fontId="66" fillId="20" borderId="31" xfId="0" applyNumberFormat="1" applyFont="1" applyFill="1" applyBorder="1" applyAlignment="1">
      <alignment horizontal="center" vertical="center"/>
    </xf>
    <xf numFmtId="1" fontId="66" fillId="20" borderId="31" xfId="0" applyNumberFormat="1" applyFont="1" applyFill="1" applyBorder="1" applyAlignment="1">
      <alignment horizontal="center" vertical="center"/>
    </xf>
    <xf numFmtId="1" fontId="66" fillId="20" borderId="31" xfId="0" applyNumberFormat="1" applyFont="1" applyFill="1" applyBorder="1" applyAlignment="1">
      <alignment horizontal="center" vertical="center"/>
    </xf>
    <xf numFmtId="0" fontId="67" fillId="19" borderId="31" xfId="0" applyFont="1" applyFill="1" applyBorder="1" applyAlignment="1">
      <alignment horizontal="center" vertical="center"/>
      <extLst>
        <ext xmlns:xfpb="http://schemas.microsoft.com/office/spreadsheetml/2022/featurepropertybag" uri="{C7286773-470A-42A8-94C5-96B5CB345126}">
          <xfpb:xfComplement i="0"/>
        </ext>
      </extLst>
    </xf>
    <xf numFmtId="0" fontId="68" fillId="19" borderId="31" xfId="0" applyFont="1" applyFill="1" applyBorder="1" applyAlignment="1">
      <alignment horizontal="center" vertical="center"/>
      <extLst>
        <ext xmlns:xfpb="http://schemas.microsoft.com/office/spreadsheetml/2022/featurepropertybag" uri="{C7286773-470A-42A8-94C5-96B5CB345126}">
          <xfpb:xfComplement i="0"/>
        </ext>
      </extLst>
    </xf>
    <xf numFmtId="0" fontId="69" fillId="19" borderId="31" xfId="0" applyFont="1" applyFill="1" applyBorder="1" applyAlignment="1">
      <alignment horizontal="center" vertical="center"/>
      <extLst>
        <ext xmlns:xfpb="http://schemas.microsoft.com/office/spreadsheetml/2022/featurepropertybag" uri="{C7286773-470A-42A8-94C5-96B5CB345126}">
          <xfpb:xfComplement i="0"/>
        </ext>
      </extLst>
    </xf>
    <xf numFmtId="0" fontId="70" fillId="19" borderId="31" xfId="0" applyFont="1" applyFill="1" applyBorder="1" applyAlignment="1">
      <alignment horizontal="center" vertical="center"/>
      <extLst>
        <ext xmlns:xfpb="http://schemas.microsoft.com/office/spreadsheetml/2022/featurepropertybag" uri="{C7286773-470A-42A8-94C5-96B5CB345126}">
          <xfpb:xfComplement i="0"/>
        </ext>
      </extLst>
    </xf>
    <xf numFmtId="0" fontId="71" fillId="19" borderId="31" xfId="0" applyFont="1" applyFill="1" applyBorder="1" applyAlignment="1">
      <alignment horizontal="center" vertical="center"/>
      <extLst>
        <ext xmlns:xfpb="http://schemas.microsoft.com/office/spreadsheetml/2022/featurepropertybag" uri="{C7286773-470A-42A8-94C5-96B5CB345126}">
          <xfpb:xfComplement i="0"/>
        </ext>
      </extLst>
    </xf>
    <xf numFmtId="0" fontId="72" fillId="19" borderId="31" xfId="0" applyFont="1" applyFill="1" applyBorder="1" applyAlignment="1">
      <alignment horizontal="center" vertical="center"/>
      <extLst>
        <ext xmlns:xfpb="http://schemas.microsoft.com/office/spreadsheetml/2022/featurepropertybag" uri="{C7286773-470A-42A8-94C5-96B5CB345126}">
          <xfpb:xfComplement i="0"/>
        </ext>
      </extLst>
    </xf>
    <xf numFmtId="0" fontId="73" fillId="21" borderId="31" xfId="0" applyFont="1" applyFill="1" applyBorder="1" applyAlignment="1">
      <alignment horizontal="center" vertical="center"/>
    </xf>
  </cellXfs>
  <cellStyles count="12">
    <cellStyle name="Akzent3" xfId="11" builtinId="37"/>
    <cellStyle name="Datum" xfId="9" xr:uid="{229918B6-DD13-4F5A-97B9-305F7E002AA3}"/>
    <cellStyle name="Dezimal [0]" xfId="10" builtinId="6" customBuiltin="1"/>
    <cellStyle name="Komma" xfId="4" builtinId="3" customBuiltin="1"/>
    <cellStyle name="Link" xfId="1" builtinId="8" customBuiltin="1"/>
    <cellStyle name="Prozent" xfId="2" builtinId="5" customBuiltin="1"/>
    <cellStyle name="Standard" xfId="0" builtinId="0"/>
    <cellStyle name="Überschrift" xfId="5" builtinId="15" customBuiltin="1"/>
    <cellStyle name="Überschrift 1" xfId="6" builtinId="16" customBuiltin="1"/>
    <cellStyle name="Überschrift 2" xfId="7" builtinId="17" customBuiltin="1"/>
    <cellStyle name="Überschrift 3" xfId="8" builtinId="18" customBuiltin="1"/>
    <cellStyle name="zAusgeblText" xfId="3" xr:uid="{26E66EE6-E33F-4D77-BAE4-0FB4F5BBF673}"/>
  </cellStyles>
  <dxfs count="144">
    <dxf>
      <font>
        <i/>
        <color rgb="FF8C8C8C"/>
      </font>
    </dxf>
    <dxf>
      <font>
        <color auto="1"/>
      </font>
      <fill>
        <patternFill>
          <bgColor theme="0" tint="-0.14996795556505021"/>
        </patternFill>
      </fill>
      <border>
        <left/>
        <right/>
        <top/>
        <bottom style="thin">
          <color theme="0" tint="-0.34998626667073579"/>
        </bottom>
      </border>
    </dxf>
    <dxf>
      <fill>
        <patternFill patternType="lightUp">
          <fgColor theme="0" tint="-0.14993743705557422"/>
          <bgColor theme="0" tint="-4.9989318521683403E-2"/>
        </patternFill>
      </fill>
    </dxf>
    <dxf>
      <font>
        <b/>
        <i val="0"/>
        <color theme="0"/>
      </font>
      <fill>
        <patternFill patternType="solid">
          <fgColor rgb="FFFF0000"/>
        </patternFill>
      </fill>
      <border>
        <left style="thin">
          <color rgb="FFC00000"/>
        </left>
        <right style="thin">
          <color rgb="FFC00000"/>
        </right>
        <vertical/>
        <horizontal/>
      </border>
    </dxf>
    <dxf>
      <fill>
        <patternFill patternType="lightUp">
          <fgColor theme="0" tint="-0.499984740745262"/>
          <bgColor theme="0" tint="-0.24994659260841701"/>
        </patternFill>
      </fill>
    </dxf>
    <dxf>
      <fill>
        <patternFill>
          <bgColor theme="2" tint="-9.9948118533890809E-2"/>
        </patternFill>
      </fill>
      <border>
        <left/>
        <right/>
        <top/>
        <bottom/>
        <vertical/>
        <horizontal/>
      </border>
    </dxf>
    <dxf>
      <fill>
        <patternFill>
          <bgColor theme="6" tint="0.79998168889431442"/>
        </patternFill>
      </fill>
      <border>
        <left/>
        <right/>
        <top/>
        <bottom/>
        <vertical/>
        <horizontal/>
      </border>
    </dxf>
    <dxf>
      <fill>
        <patternFill>
          <bgColor theme="3" tint="0.79998168889431442"/>
        </patternFill>
      </fill>
      <border>
        <left/>
        <right/>
        <top/>
        <bottom/>
      </border>
    </dxf>
    <dxf>
      <fill>
        <patternFill>
          <bgColor theme="9" tint="0.79998168889431442"/>
        </patternFill>
      </fill>
      <border>
        <left/>
        <right/>
        <top/>
        <bottom/>
      </border>
    </dxf>
    <dxf>
      <fill>
        <patternFill>
          <bgColor rgb="FFFFECD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b/>
        <color rgb="FFFFFFFF"/>
      </font>
      <fill>
        <patternFill patternType="solid">
          <fgColor rgb="FFC00000"/>
          <bgColor rgb="FFC00000"/>
        </patternFill>
      </fill>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3" tint="0.79998168889431442"/>
        </patternFill>
      </fill>
    </dxf>
    <dxf>
      <fill>
        <patternFill>
          <bgColor theme="3" tint="0.79998168889431442"/>
        </patternFill>
      </fill>
    </dxf>
    <dxf>
      <fill>
        <patternFill>
          <bgColor theme="3" tint="0.79998168889431442"/>
        </patternFill>
      </fill>
    </dxf>
    <dxf>
      <fill>
        <patternFill>
          <bgColor theme="6" tint="0.79998168889431442"/>
        </patternFill>
      </fill>
    </dxf>
    <dxf>
      <fill>
        <patternFill>
          <bgColor theme="9" tint="0.79998168889431442"/>
        </patternFill>
      </fill>
    </dxf>
    <dxf>
      <fill>
        <patternFill>
          <bgColor rgb="FFFFEEDD"/>
        </patternFill>
      </fill>
    </dxf>
    <dxf>
      <fill>
        <patternFill>
          <bgColor theme="7" tint="0.79998168889431442"/>
        </patternFill>
      </fill>
    </dxf>
    <dxf>
      <fill>
        <patternFill>
          <bgColor rgb="FFFFEEDD"/>
        </patternFill>
      </fill>
    </dxf>
    <dxf>
      <fill>
        <patternFill>
          <bgColor theme="9" tint="0.79998168889431442"/>
        </patternFill>
      </fill>
    </dxf>
    <dxf>
      <fill>
        <patternFill>
          <bgColor theme="6" tint="0.79998168889431442"/>
        </patternFill>
      </fill>
    </dxf>
    <dxf>
      <fill>
        <patternFill>
          <bgColor theme="7" tint="0.79998168889431442"/>
        </patternFill>
      </fill>
    </dxf>
    <dxf>
      <fill>
        <patternFill>
          <bgColor rgb="FFFFEEDD"/>
        </patternFill>
      </fill>
    </dxf>
    <dxf>
      <fill>
        <patternFill>
          <bgColor theme="9" tint="0.79998168889431442"/>
        </patternFill>
      </fill>
    </dxf>
    <dxf>
      <fill>
        <patternFill>
          <bgColor theme="6" tint="0.79998168889431442"/>
        </patternFill>
      </fill>
    </dxf>
    <dxf>
      <fill>
        <patternFill>
          <bgColor theme="7" tint="0.79998168889431442"/>
        </patternFill>
      </fill>
    </dxf>
    <dxf>
      <fill>
        <patternFill>
          <bgColor rgb="FFFFEEDD"/>
        </patternFill>
      </fill>
    </dxf>
    <dxf>
      <fill>
        <patternFill>
          <bgColor theme="9" tint="0.79998168889431442"/>
        </patternFill>
      </fill>
    </dxf>
    <dxf>
      <fill>
        <patternFill>
          <bgColor theme="6" tint="0.79998168889431442"/>
        </patternFill>
      </fill>
    </dxf>
    <dxf>
      <fill>
        <patternFill>
          <bgColor theme="7" tint="0.79998168889431442"/>
        </patternFill>
      </fill>
    </dxf>
    <dxf>
      <font>
        <color auto="1"/>
      </font>
      <fill>
        <patternFill>
          <bgColor theme="0" tint="-0.14996795556505021"/>
        </patternFill>
      </fill>
      <border>
        <left/>
        <right/>
        <top/>
        <bottom style="thin">
          <color theme="0" tint="-0.34998626667073579"/>
        </bottom>
      </border>
    </dxf>
    <dxf>
      <fill>
        <patternFill patternType="lightUp">
          <fgColor theme="0" tint="-0.14993743705557422"/>
          <bgColor theme="0" tint="-4.9989318521683403E-2"/>
        </patternFill>
      </fill>
    </dxf>
    <dxf>
      <font>
        <b/>
        <i val="0"/>
        <color theme="0"/>
      </font>
      <fill>
        <patternFill patternType="solid">
          <fgColor rgb="FFFF0000"/>
        </patternFill>
      </fill>
      <border>
        <left style="thin">
          <color rgb="FFC00000"/>
        </left>
        <right style="thin">
          <color rgb="FFC00000"/>
        </right>
        <vertical/>
        <horizontal/>
      </border>
    </dxf>
    <dxf>
      <fill>
        <patternFill patternType="lightUp">
          <fgColor theme="0" tint="-0.499984740745262"/>
          <bgColor theme="0" tint="-0.24994659260841701"/>
        </patternFill>
      </fill>
    </dxf>
    <dxf>
      <fill>
        <patternFill>
          <bgColor theme="2" tint="-9.9948118533890809E-2"/>
        </patternFill>
      </fill>
      <border>
        <left/>
        <right/>
        <top/>
        <bottom/>
        <vertical/>
        <horizontal/>
      </border>
    </dxf>
    <dxf>
      <fill>
        <patternFill>
          <bgColor theme="6" tint="0.79998168889431442"/>
        </patternFill>
      </fill>
      <border>
        <left/>
        <right/>
        <top/>
        <bottom/>
        <vertical/>
        <horizontal/>
      </border>
    </dxf>
    <dxf>
      <fill>
        <patternFill>
          <bgColor theme="3" tint="0.79998168889431442"/>
        </patternFill>
      </fill>
      <border>
        <left/>
        <right/>
        <top/>
        <bottom/>
      </border>
    </dxf>
    <dxf>
      <fill>
        <patternFill>
          <bgColor theme="9" tint="0.79998168889431442"/>
        </patternFill>
      </fill>
      <border>
        <left/>
        <right/>
        <top/>
        <bottom/>
      </border>
    </dxf>
    <dxf>
      <fill>
        <patternFill>
          <bgColor rgb="FFFFECD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b/>
        <color rgb="FFFFFFFF"/>
      </font>
      <fill>
        <patternFill patternType="solid">
          <fgColor rgb="FFC00000"/>
          <bgColor rgb="FFC00000"/>
        </patternFill>
      </fill>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3" tint="0.79998168889431442"/>
        </patternFill>
      </fill>
    </dxf>
    <dxf>
      <fill>
        <patternFill>
          <bgColor theme="3" tint="0.79998168889431442"/>
        </patternFill>
      </fill>
    </dxf>
    <dxf>
      <fill>
        <patternFill>
          <bgColor theme="3" tint="0.79998168889431442"/>
        </patternFill>
      </fill>
    </dxf>
    <dxf>
      <fill>
        <patternFill>
          <bgColor theme="6" tint="0.79998168889431442"/>
        </patternFill>
      </fill>
    </dxf>
    <dxf>
      <fill>
        <patternFill>
          <bgColor theme="9" tint="0.79998168889431442"/>
        </patternFill>
      </fill>
    </dxf>
    <dxf>
      <fill>
        <patternFill>
          <bgColor rgb="FFFFEEDD"/>
        </patternFill>
      </fill>
    </dxf>
    <dxf>
      <fill>
        <patternFill>
          <bgColor theme="7" tint="0.79998168889431442"/>
        </patternFill>
      </fill>
    </dxf>
    <dxf>
      <fill>
        <patternFill>
          <bgColor rgb="FFFFEEDD"/>
        </patternFill>
      </fill>
    </dxf>
    <dxf>
      <fill>
        <patternFill>
          <bgColor theme="9" tint="0.79998168889431442"/>
        </patternFill>
      </fill>
    </dxf>
    <dxf>
      <fill>
        <patternFill>
          <bgColor theme="6" tint="0.79998168889431442"/>
        </patternFill>
      </fill>
    </dxf>
    <dxf>
      <fill>
        <patternFill>
          <bgColor theme="7" tint="0.79998168889431442"/>
        </patternFill>
      </fill>
    </dxf>
    <dxf>
      <fill>
        <patternFill>
          <bgColor rgb="FFFFEEDD"/>
        </patternFill>
      </fill>
    </dxf>
    <dxf>
      <fill>
        <patternFill>
          <bgColor theme="9" tint="0.79998168889431442"/>
        </patternFill>
      </fill>
    </dxf>
    <dxf>
      <fill>
        <patternFill>
          <bgColor theme="6" tint="0.79998168889431442"/>
        </patternFill>
      </fill>
    </dxf>
    <dxf>
      <fill>
        <patternFill>
          <bgColor theme="7" tint="0.79998168889431442"/>
        </patternFill>
      </fill>
    </dxf>
    <dxf>
      <fill>
        <patternFill>
          <bgColor rgb="FFFFEEDD"/>
        </patternFill>
      </fill>
    </dxf>
    <dxf>
      <fill>
        <patternFill>
          <bgColor theme="9" tint="0.79998168889431442"/>
        </patternFill>
      </fill>
    </dxf>
    <dxf>
      <fill>
        <patternFill>
          <bgColor theme="6" tint="0.79998168889431442"/>
        </patternFill>
      </fill>
    </dxf>
    <dxf>
      <fill>
        <patternFill>
          <bgColor theme="7" tint="0.79998168889431442"/>
        </patternFill>
      </fill>
    </dxf>
    <dxf>
      <font>
        <color rgb="FF7F7F7F"/>
      </font>
      <fill>
        <patternFill patternType="solid">
          <fgColor rgb="FFEDEDED"/>
          <bgColor rgb="FFEDEDED"/>
        </patternFill>
      </fill>
    </dxf>
    <dxf>
      <font>
        <b/>
        <color rgb="FFC00000"/>
      </font>
      <fill>
        <patternFill patternType="solid">
          <fgColor rgb="FFF8CBAD"/>
          <bgColor rgb="FFF8CBAD"/>
        </patternFill>
      </fill>
    </dxf>
    <dxf>
      <font>
        <color rgb="FF7F7F7F"/>
      </font>
      <fill>
        <patternFill patternType="solid">
          <fgColor rgb="FFEDEDED"/>
          <bgColor rgb="FFEDEDED"/>
        </patternFill>
      </fill>
    </dxf>
    <dxf>
      <font>
        <b/>
        <color rgb="FFC00000"/>
      </font>
      <fill>
        <patternFill patternType="solid">
          <fgColor rgb="FFF8CBAD"/>
          <bgColor rgb="FFF8CBAD"/>
        </patternFill>
      </fill>
    </dxf>
    <dxf>
      <font>
        <b/>
        <color rgb="FFC00000"/>
      </font>
      <fill>
        <patternFill patternType="solid">
          <fgColor rgb="FFF8CBAD"/>
          <bgColor rgb="FFF8CBAD"/>
        </patternFill>
      </fill>
    </dxf>
    <dxf>
      <font>
        <color rgb="FF7F7F7F"/>
      </font>
      <fill>
        <patternFill patternType="solid">
          <fgColor rgb="FFEDEDED"/>
          <bgColor rgb="FFEDEDED"/>
        </patternFill>
      </fill>
    </dxf>
    <dxf>
      <font>
        <b/>
        <color rgb="FFC00000"/>
      </font>
    </dxf>
    <dxf>
      <font>
        <color rgb="FF833C0B"/>
      </font>
      <fill>
        <patternFill patternType="solid">
          <fgColor rgb="FFFCE4D6"/>
          <bgColor rgb="FFFCE4D6"/>
        </patternFill>
      </fill>
    </dxf>
    <dxf>
      <font>
        <i/>
        <color rgb="FF8C8C8C"/>
      </font>
    </dxf>
    <dxf>
      <font>
        <color rgb="FF7F7F7F"/>
      </font>
      <fill>
        <patternFill patternType="solid">
          <fgColor rgb="FFEDEDED"/>
          <bgColor rgb="FFEDEDED"/>
        </patternFill>
      </fill>
    </dxf>
    <dxf>
      <font>
        <b/>
        <color rgb="FFC00000"/>
      </font>
      <fill>
        <patternFill patternType="solid">
          <fgColor rgb="FFF8CBAD"/>
          <bgColor rgb="FFF8CBAD"/>
        </patternFill>
      </fill>
    </dxf>
    <dxf>
      <font>
        <b/>
        <color rgb="FFC00000"/>
      </font>
      <fill>
        <patternFill patternType="solid">
          <fgColor rgb="FFF8CBAD"/>
          <bgColor rgb="FFF8CBAD"/>
        </patternFill>
      </fill>
    </dxf>
    <dxf>
      <font>
        <color rgb="FF7F7F7F"/>
      </font>
      <fill>
        <patternFill patternType="solid">
          <fgColor rgb="FFEDEDED"/>
          <bgColor rgb="FFEDEDED"/>
        </patternFill>
      </fill>
    </dxf>
    <dxf>
      <font>
        <b/>
        <color rgb="FFC00000"/>
      </font>
      <fill>
        <patternFill patternType="solid">
          <fgColor rgb="FFF8CBAD"/>
          <bgColor rgb="FFF8CBAD"/>
        </patternFill>
      </fill>
    </dxf>
    <dxf>
      <font>
        <color rgb="FF7F7F7F"/>
      </font>
      <fill>
        <patternFill patternType="solid">
          <fgColor rgb="FFEDEDED"/>
          <bgColor rgb="FFEDEDED"/>
        </patternFill>
      </fill>
    </dxf>
    <dxf>
      <font>
        <i/>
        <color rgb="FF8C8C8C"/>
      </font>
    </dxf>
    <dxf>
      <font>
        <b/>
        <color rgb="FFC00000"/>
      </font>
    </dxf>
    <dxf>
      <font>
        <b/>
        <color rgb="FFC00000"/>
      </font>
      <fill>
        <patternFill patternType="solid">
          <fgColor rgb="FFF8CBAD"/>
          <bgColor rgb="FFF8CBAD"/>
        </patternFill>
      </fill>
    </dxf>
    <dxf>
      <font>
        <color rgb="FF7F7F7F"/>
      </font>
      <fill>
        <patternFill patternType="solid">
          <fgColor rgb="FFEDEDED"/>
          <bgColor rgb="FFEDEDED"/>
        </patternFill>
      </fill>
    </dxf>
    <dxf>
      <font>
        <color rgb="FF7F7F7F"/>
      </font>
      <fill>
        <patternFill patternType="solid">
          <fgColor rgb="FFEDEDED"/>
          <bgColor rgb="FFEDEDED"/>
        </patternFill>
      </fill>
    </dxf>
    <dxf>
      <font>
        <b/>
        <color rgb="FFC00000"/>
      </font>
      <fill>
        <patternFill patternType="solid">
          <fgColor rgb="FFF8CBAD"/>
          <bgColor rgb="FFF8CBAD"/>
        </patternFill>
      </fill>
    </dxf>
    <dxf>
      <font>
        <color rgb="FF7F7F7F"/>
      </font>
      <fill>
        <patternFill patternType="solid">
          <fgColor rgb="FFEDEDED"/>
          <bgColor rgb="FFEDEDED"/>
        </patternFill>
      </fill>
    </dxf>
    <dxf>
      <font>
        <b/>
        <color rgb="FFC00000"/>
      </font>
      <fill>
        <patternFill patternType="solid">
          <fgColor rgb="FFF8CBAD"/>
          <bgColor rgb="FFF8CBAD"/>
        </patternFill>
      </fill>
    </dxf>
    <dxf>
      <font>
        <color rgb="FF7F7F7F"/>
      </font>
      <fill>
        <patternFill patternType="solid">
          <fgColor rgb="FFEDEDED"/>
          <bgColor rgb="FFEDEDED"/>
        </patternFill>
      </fill>
    </dxf>
    <dxf>
      <font>
        <b/>
        <color rgb="FFC00000"/>
      </font>
      <fill>
        <patternFill patternType="solid">
          <fgColor rgb="FFF8CBAD"/>
          <bgColor rgb="FFF8CBAD"/>
        </patternFill>
      </fill>
    </dxf>
    <dxf>
      <font>
        <color rgb="FF7F7F7F"/>
      </font>
      <fill>
        <patternFill patternType="solid">
          <fgColor rgb="FFEDEDED"/>
          <bgColor rgb="FFEDEDED"/>
        </patternFill>
      </fill>
    </dxf>
    <dxf>
      <font>
        <b/>
        <color rgb="FFC00000"/>
      </font>
      <fill>
        <patternFill patternType="solid">
          <fgColor rgb="FFF8CBAD"/>
          <bgColor rgb="FFF8CBAD"/>
        </patternFill>
      </fill>
    </dxf>
    <dxf>
      <font>
        <b/>
        <color rgb="FFFFFFFF"/>
      </font>
      <fill>
        <patternFill patternType="solid">
          <fgColor rgb="FF2E75B6"/>
          <bgColor rgb="FF2E75B6"/>
        </patternFill>
      </fill>
    </dxf>
    <dxf>
      <font>
        <b/>
        <color rgb="FFFFFFFF"/>
      </font>
      <fill>
        <patternFill patternType="solid">
          <fgColor rgb="FF548235"/>
          <bgColor rgb="FF548235"/>
        </patternFill>
      </fill>
    </dxf>
    <dxf>
      <font>
        <b/>
        <color rgb="FFFFFFFF"/>
      </font>
      <fill>
        <patternFill patternType="solid">
          <fgColor rgb="FFE30714"/>
          <bgColor rgb="FFE30714"/>
        </patternFill>
      </fill>
    </dxf>
    <dxf>
      <font>
        <color rgb="FFF8CBAD"/>
      </font>
      <fill>
        <patternFill patternType="solid">
          <fgColor rgb="FFF8CBAD"/>
          <bgColor rgb="FFF8CBAD"/>
        </patternFill>
      </fill>
    </dxf>
    <dxf>
      <font>
        <color rgb="FFEDEDED"/>
      </font>
      <fill>
        <patternFill patternType="solid">
          <fgColor rgb="FFEDEDED"/>
          <bgColor rgb="FFEDEDED"/>
        </patternFill>
      </fill>
    </dxf>
    <dxf>
      <font>
        <color rgb="FF7F7F7F"/>
      </font>
      <fill>
        <patternFill patternType="solid">
          <fgColor rgb="FFEDEDED"/>
          <bgColor rgb="FFEDEDED"/>
        </patternFill>
      </fill>
    </dxf>
    <dxf>
      <font>
        <b/>
        <color rgb="FFC00000"/>
      </font>
      <fill>
        <patternFill patternType="solid">
          <fgColor rgb="FFF8CBAD"/>
          <bgColor rgb="FFF8CBAD"/>
        </patternFill>
      </fill>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border diagonalUp="0" diagonalDown="0">
        <right style="thick">
          <color theme="0"/>
        </right>
        <top/>
        <bottom/>
        <vertical/>
        <horizontal/>
      </border>
    </dxf>
    <dxf>
      <numFmt numFmtId="19" formatCode="dd/mm/yyyy"/>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Aharoni"/>
        <charset val="177"/>
        <scheme val="none"/>
      </font>
      <fill>
        <patternFill patternType="solid">
          <fgColor indexed="64"/>
          <bgColor rgb="FFE30714"/>
        </patternFill>
      </fill>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border diagonalUp="0" diagonalDown="0">
        <right style="thick">
          <color theme="0"/>
        </right>
        <top/>
        <bottom/>
        <vertical/>
        <horizontal/>
      </border>
    </dxf>
    <dxf>
      <numFmt numFmtId="19" formatCode="dd/mm/yyyy"/>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Aharoni"/>
        <charset val="177"/>
        <scheme val="none"/>
      </font>
      <fill>
        <patternFill patternType="solid">
          <fgColor indexed="64"/>
          <bgColor rgb="FFE30714"/>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
      <font>
        <b/>
      </font>
      <border>
        <left style="thin">
          <color rgb="FF000000"/>
        </left>
        <right style="thin">
          <color rgb="FF000000"/>
        </right>
        <top style="thin">
          <color rgb="FF000000"/>
        </top>
      </border>
    </dxf>
    <dxf>
      <border>
        <top style="thin">
          <color rgb="FF000000"/>
        </top>
      </border>
    </dxf>
    <dxf>
      <border>
        <right style="thin">
          <color rgb="FF000000"/>
        </right>
        <top style="thin">
          <color rgb="FF000000"/>
        </top>
      </border>
    </dxf>
    <dxf>
      <border>
        <left style="thin">
          <color rgb="FF000000"/>
        </left>
        <bottom style="thin">
          <color rgb="FF000000"/>
        </bottom>
      </border>
    </dxf>
    <dxf>
      <border>
        <bottom style="thin">
          <color rgb="FF000000"/>
        </bottom>
      </border>
    </dxf>
    <dxf>
      <border>
        <right style="thin">
          <color rgb="FF000000"/>
        </right>
        <bottom style="thin">
          <color rgb="FF000000"/>
        </bottom>
      </border>
    </dxf>
    <dxf>
      <font>
        <b/>
      </font>
      <border>
        <left style="thin">
          <color rgb="FFE30714"/>
        </left>
      </border>
    </dxf>
    <dxf>
      <border>
        <bottom style="thin">
          <color rgb="FFE30714"/>
        </bottom>
      </border>
    </dxf>
    <dxf>
      <border>
        <left style="thin">
          <color rgb="FFE30714"/>
        </left>
      </border>
    </dxf>
    <dxf>
      <border>
        <left style="thin">
          <color rgb="FFE30714"/>
        </left>
        <bottom style="thin">
          <color rgb="FFE30714"/>
        </bottom>
      </border>
    </dxf>
    <dxf>
      <border>
        <bottom style="thin">
          <color rgb="FFE30714"/>
        </bottom>
      </border>
    </dxf>
    <dxf>
      <border>
        <right style="thin">
          <color rgb="FFE30714"/>
        </right>
        <bottom style="thin">
          <color rgb="FFE30714"/>
        </bottom>
      </border>
    </dxf>
    <dxf>
      <font>
        <b/>
        <color rgb="FF404040"/>
      </font>
      <fill>
        <patternFill patternType="lightUp">
          <fgColor rgb="FFA6A6A6"/>
          <bgColor rgb="FFF2F2F2"/>
        </patternFill>
      </fill>
    </dxf>
    <dxf>
      <numFmt numFmtId="200" formatCode=";;;"/>
      <fill>
        <patternFill patternType="lightUp">
          <fgColor rgb="FFA6A6A6"/>
          <bgColor rgb="FFF2F2F2"/>
        </patternFill>
      </fill>
    </dxf>
  </dxfs>
  <tableStyles count="2" defaultPivotStyle="PivotStyleLight16">
    <tableStyle name="Gantt-Tabellenformat" pivot="0" count="4" xr9:uid="{4904D139-63E4-4221-B7C9-C6C5B7A50FAF}">
      <tableStyleElement type="wholeTable" dxfId="129"/>
      <tableStyleElement type="headerRow" dxfId="128"/>
      <tableStyleElement type="firstRowStripe" dxfId="127"/>
      <tableStyleElement type="secondRowStripe" dxfId="126"/>
    </tableStyle>
    <tableStyle name="Aufgabenliste" pivot="0" count="9" xr9:uid="{00000000-0011-0000-FFFF-FFFF00000000}">
      <tableStyleElement type="wholeTable" dxfId="125"/>
      <tableStyleElement type="headerRow" dxfId="124"/>
      <tableStyleElement type="totalRow" dxfId="123"/>
      <tableStyleElement type="firstColumn" dxfId="122"/>
      <tableStyleElement type="lastColumn" dxfId="121"/>
      <tableStyleElement type="firstRowStripe" dxfId="120"/>
      <tableStyleElement type="secondRowStripe" dxfId="119"/>
      <tableStyleElement type="firstColumnStripe" dxfId="118"/>
      <tableStyleElement type="secondColumnStripe" dxfId="1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3EE12"/>
      <color rgb="FFFFFFEF"/>
      <color rgb="FFFFFFCC"/>
      <color rgb="FFFFEEDD"/>
      <color rgb="FFE30714"/>
      <color rgb="FFFFCC99"/>
      <color rgb="FFFFECD9"/>
      <color rgb="FFFFE7E7"/>
      <color rgb="FFC0C0C0"/>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 Id="rId13" Type="http://schemas.microsoft.com/office/2022/11/relationships/FeaturePropertyBag" Target="featurePropertyBag/featurePropertyBag.xml"/></Relationships>
</file>

<file path=xl/ctrlProps/ctrlProp1.xml><?xml version="1.0" encoding="utf-8"?>
<formControlPr xmlns="http://schemas.microsoft.com/office/spreadsheetml/2009/9/main" objectType="Scroll" dx="39" fmlaLink="$C$7" horiz="1" inc="7" max="365" page="2" val="0"/>
</file>

<file path=xl/ctrlProps/ctrlProp2.xml><?xml version="1.0" encoding="utf-8"?>
<formControlPr xmlns="http://schemas.microsoft.com/office/spreadsheetml/2009/9/main" objectType="Scroll" dx="39" fmlaLink="$C$7" horiz="1" inc="7" max="365" page="2"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38100</xdr:rowOff>
    </xdr:from>
    <xdr:ext cx="1428750" cy="714375"/>
    <xdr:pic>
      <xdr:nvPicPr>
        <xdr:cNvPr id="2" name="Logo" descr="Malteser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428750" cy="71437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7409" name="Scrollleiste 1" descr="Scrollleiste, um entlang der Gantt-Projektzeitachse zu scrollen." hidden="1">
              <a:extLst>
                <a:ext uri="{63B3BB69-23CF-44E3-9099-C40C66FF867C}">
                  <a14:compatExt spid="_x0000_s17409"/>
                </a:ext>
                <a:ext uri="{FF2B5EF4-FFF2-40B4-BE49-F238E27FC236}">
                  <a16:creationId xmlns:a16="http://schemas.microsoft.com/office/drawing/2014/main" id="{00000000-0008-0000-01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291354</xdr:colOff>
      <xdr:row>0</xdr:row>
      <xdr:rowOff>100853</xdr:rowOff>
    </xdr:from>
    <xdr:to>
      <xdr:col>1</xdr:col>
      <xdr:colOff>1940868</xdr:colOff>
      <xdr:row>2</xdr:row>
      <xdr:rowOff>196738</xdr:rowOff>
    </xdr:to>
    <xdr:pic>
      <xdr:nvPicPr>
        <xdr:cNvPr id="3" name="Grafik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1354" y="100853"/>
          <a:ext cx="2073088" cy="10365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8433" name="Scrollleiste 1" descr="Scrollleiste, um entlang der Gantt-Projektzeitachse zu scrollen." hidden="1">
              <a:extLst>
                <a:ext uri="{63B3BB69-23CF-44E3-9099-C40C66FF867C}">
                  <a14:compatExt spid="_x0000_s18433"/>
                </a:ext>
                <a:ext uri="{FF2B5EF4-FFF2-40B4-BE49-F238E27FC236}">
                  <a16:creationId xmlns:a16="http://schemas.microsoft.com/office/drawing/2014/main" id="{00000000-0008-0000-0200-0000014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291354</xdr:colOff>
      <xdr:row>0</xdr:row>
      <xdr:rowOff>100853</xdr:rowOff>
    </xdr:from>
    <xdr:to>
      <xdr:col>1</xdr:col>
      <xdr:colOff>1940868</xdr:colOff>
      <xdr:row>2</xdr:row>
      <xdr:rowOff>196738</xdr:rowOff>
    </xdr:to>
    <xdr:pic>
      <xdr:nvPicPr>
        <xdr:cNvPr id="2" name="Grafik 1">
          <a:extLst>
            <a:ext uri="{FF2B5EF4-FFF2-40B4-BE49-F238E27FC236}">
              <a16:creationId xmlns:a16="http://schemas.microsoft.com/office/drawing/2014/main" id="{BF013C4B-EEE2-4E24-973E-FD9D4D00C8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1354" y="100853"/>
          <a:ext cx="2078139" cy="103886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CA8EBD-BA36-409E-8FDC-8847FB450D69}" name="Plan_Sommer" displayName="Plan_Sommer" ref="B9:H46" totalsRowShown="0" headerRowDxfId="116">
  <tableColumns count="7">
    <tableColumn id="1" xr3:uid="{515F31CA-C550-4EBF-AC5B-C148CE6E9F89}" name="Arbeitsschritte" dataDxfId="115"/>
    <tableColumn id="2" xr3:uid="{430EE49D-3088-4653-8106-77D8507527C4}" name="Zugeordnet" dataDxfId="114"/>
    <tableColumn id="3" xr3:uid="{C12CB4B0-DC17-4DD5-A759-20D1D090D528}" name="Kommentar" dataDxfId="113"/>
    <tableColumn id="4" xr3:uid="{36EE12CA-A47B-419C-A90B-5842996F1EDF}" name="Fortschritt"/>
    <tableColumn id="5" xr3:uid="{68C58684-2159-4502-97DC-12FB326BBF7E}" name="Start" dataDxfId="112" dataCellStyle="Datum">
      <calculatedColumnFormula>H13-G11</calculatedColumnFormula>
    </tableColumn>
    <tableColumn id="6" xr3:uid="{EE7DC829-F5F3-4519-96CB-67ED021862DE}" name="Dauer_x000a_in Tage" dataDxfId="111"/>
    <tableColumn id="7" xr3:uid="{750F70E7-6B08-455A-9057-A502D96A95FB}" name="Ende" dataDxfId="110">
      <calculatedColumnFormula>$F10+$G10</calculatedColumnFormula>
    </tableColumn>
  </tableColumns>
  <tableStyleInfo name="Aufgabenliste" showFirstColumn="1" showLastColumn="0" showRowStripes="1" showColumnStripes="0"/>
  <extLst>
    <ext xmlns:x14="http://schemas.microsoft.com/office/spreadsheetml/2009/9/main" uri="{504A1905-F514-4f6f-8877-14C23A59335A}">
      <x14:table altTextSummary="Geben Sie die Projektinformationen in diese Tabelle ein. Geben Sie eine Meilensteinbeschreibung für eine Phase, Aufgabe, Aktivität usw. in die Spalte unter Beschreibung ein. Wählen Sie eine Kategorie in der Spalte &quot;Kategorie&quot; aus. Weisen Sie das Element einer Person in der Spalte&quot; Zugewiesen an&quot; zu. Aktualisieren Sie den Fortschritt und beobachten Sie die automatische Aktualisierung der Datenleisten in der Spalte &quot;Fortschritt&quot;. Geben Sie das Startdatum in die Spalte &quot;Star&quot; und die Anzahl der Tage in die Spalte &quot;Anzahl der Tage&quot; ein. Die Ghantt-Daten in den Zellen J9 bis BM 34 werden automatisch aktualisiert. Fügen Sie der Tabelle neue Zeilen hinzu, um weitere Aufgaben hinzuzufügen."/>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1F7C47-1BBD-4E44-AA7A-793964E35A99}" name="Plan_Weihnachten" displayName="Plan_Weihnachten" ref="B9:H46" totalsRowShown="0" headerRowDxfId="109">
  <tableColumns count="7">
    <tableColumn id="1" xr3:uid="{7017624E-C345-4180-A18C-29409BE86F2D}" name="Arbeitsschritte" dataDxfId="108"/>
    <tableColumn id="2" xr3:uid="{26D53AB4-3FA9-4337-8E63-200688F5A628}" name="Zugeordnet" dataDxfId="107"/>
    <tableColumn id="3" xr3:uid="{BBA4E8D8-9BDC-4B94-B27C-C8C5D31A13F4}" name="Kommentar" dataDxfId="106"/>
    <tableColumn id="4" xr3:uid="{92778240-19D8-4474-B689-F337774F589A}" name="Fortschritt"/>
    <tableColumn id="5" xr3:uid="{4CD27677-4F1C-4554-9BDA-C22848D5C1C0}" name="Start" dataDxfId="105" dataCellStyle="Datum">
      <calculatedColumnFormula>H13-G11</calculatedColumnFormula>
    </tableColumn>
    <tableColumn id="6" xr3:uid="{5AE48AE6-DE49-4954-80A8-500C42E25A44}" name="Dauer_x000a_in Tage" dataDxfId="104"/>
    <tableColumn id="7" xr3:uid="{6E9AE6B5-7151-4AB2-ABB4-018D11D4444A}" name="Ende" dataDxfId="103">
      <calculatedColumnFormula>$F10+$G10</calculatedColumnFormula>
    </tableColumn>
  </tableColumns>
  <tableStyleInfo name="Aufgabenliste" showFirstColumn="1" showLastColumn="0" showRowStripes="1" showColumnStripes="0"/>
  <extLst>
    <ext xmlns:x14="http://schemas.microsoft.com/office/spreadsheetml/2009/9/main" uri="{504A1905-F514-4f6f-8877-14C23A59335A}">
      <x14:table altTextSummary="Geben Sie die Projektinformationen in diese Tabelle ein. Geben Sie eine Meilensteinbeschreibung für eine Phase, Aufgabe, Aktivität usw. in die Spalte unter Beschreibung ein. Wählen Sie eine Kategorie in der Spalte &quot;Kategorie&quot; aus. Weisen Sie das Element einer Person in der Spalte&quot; Zugewiesen an&quot; zu. Aktualisieren Sie den Fortschritt und beobachten Sie die automatische Aktualisierung der Datenleisten in der Spalte &quot;Fortschritt&quot;. Geben Sie das Startdatum in die Spalte &quot;Star&quot; und die Anzahl der Tage in die Spalte &quot;Anzahl der Tage&quot; ein. Die Ghantt-Daten in den Zellen J9 bis BM 34 werden automatisch aktualisiert. Fügen Sie der Tabelle neue Zeilen hinzu, um weitere Aufgaben hinzuzufügen."/>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openxmlformats.org/officeDocument/2006/relationships/table" Target="../tables/table2.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30714"/>
  </sheetPr>
  <dimension ref="B1:CN88"/>
  <sheetViews>
    <sheetView showGridLines="0" tabSelected="1" topLeftCell="A8" zoomScaleNormal="100" workbookViewId="0">
      <selection activeCell="CO31" sqref="CO31"/>
    </sheetView>
  </sheetViews>
  <sheetFormatPr baseColWidth="10" defaultColWidth="9.140625" defaultRowHeight="15" x14ac:dyDescent="0.25"/>
  <cols>
    <col min="1" max="1" width="3.42578125" customWidth="1"/>
    <col min="2" max="2" width="3.7109375" customWidth="1"/>
    <col min="3" max="24" width="1.7109375" customWidth="1"/>
    <col min="25" max="25" width="3.7109375" customWidth="1"/>
    <col min="26" max="47" width="1.7109375" customWidth="1"/>
    <col min="48" max="48" width="3.7109375" customWidth="1"/>
    <col min="49" max="70" width="1.7109375" customWidth="1"/>
    <col min="71" max="71" width="3.7109375" customWidth="1"/>
    <col min="72" max="92" width="1.7109375" customWidth="1"/>
  </cols>
  <sheetData>
    <row r="1" spans="2:92" ht="14.1" customHeight="1" x14ac:dyDescent="0.25"/>
    <row r="2" spans="2:92" ht="39.950000000000003" customHeight="1" x14ac:dyDescent="0.25">
      <c r="Q2" s="113" t="str">
        <f>"Jahresplanung Außenkommunikation "&amp;Planungsjahr</f>
        <v>Jahresplanung Außenkommunikation 2027</v>
      </c>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c r="BI2" s="114"/>
      <c r="BJ2" s="114"/>
      <c r="BK2" s="114"/>
      <c r="BL2" s="114"/>
      <c r="BM2" s="114"/>
      <c r="BN2" s="114"/>
      <c r="BO2" s="114"/>
      <c r="BP2" s="114"/>
      <c r="BQ2" s="114"/>
      <c r="BR2" s="114"/>
      <c r="BS2" s="114"/>
      <c r="BT2" s="114"/>
      <c r="BU2" s="114"/>
      <c r="BV2" s="114"/>
      <c r="BW2" s="114"/>
      <c r="BX2" s="114"/>
      <c r="BY2" s="114"/>
      <c r="BZ2" s="114"/>
      <c r="CA2" s="114"/>
      <c r="CB2" s="114"/>
      <c r="CC2" s="114"/>
      <c r="CD2" s="114"/>
      <c r="CE2" s="114"/>
      <c r="CF2" s="114"/>
      <c r="CG2" s="114"/>
      <c r="CH2" s="114"/>
      <c r="CI2" s="114"/>
      <c r="CJ2" s="114"/>
      <c r="CK2" s="114"/>
      <c r="CL2" s="114"/>
      <c r="CM2" s="114"/>
      <c r="CN2" s="114"/>
    </row>
    <row r="3" spans="2:92" ht="9.9499999999999993" customHeight="1" x14ac:dyDescent="0.25"/>
    <row r="4" spans="2:92" ht="17.100000000000001" customHeight="1" x14ac:dyDescent="0.25">
      <c r="B4" s="115" t="s">
        <v>56</v>
      </c>
      <c r="C4" s="116"/>
      <c r="D4" s="116"/>
      <c r="E4" s="116"/>
      <c r="F4" s="116"/>
      <c r="G4" s="116"/>
      <c r="H4" s="116"/>
      <c r="I4" s="116"/>
      <c r="J4" s="116"/>
      <c r="K4" s="116"/>
      <c r="L4" s="116"/>
      <c r="M4" s="116"/>
      <c r="N4" s="116"/>
      <c r="O4" s="116"/>
      <c r="P4" s="116"/>
      <c r="Q4" s="116"/>
      <c r="R4" s="116"/>
      <c r="S4" s="116"/>
      <c r="T4" s="116"/>
      <c r="U4" s="116"/>
      <c r="V4" s="116"/>
      <c r="W4" s="117">
        <v>2027</v>
      </c>
      <c r="X4" s="118"/>
      <c r="Y4" s="118"/>
      <c r="Z4" s="118"/>
      <c r="AA4" s="118"/>
      <c r="AE4" s="115" t="s">
        <v>57</v>
      </c>
      <c r="AF4" s="11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T4" s="99" t="s">
        <v>58</v>
      </c>
      <c r="BV4" s="121" t="s">
        <v>59</v>
      </c>
      <c r="BW4" s="121"/>
      <c r="BX4" s="121"/>
      <c r="BY4" s="121"/>
      <c r="BZ4" s="121"/>
      <c r="CA4" s="121"/>
      <c r="CB4" s="121"/>
      <c r="CC4" s="121"/>
      <c r="CD4" s="121"/>
      <c r="CE4" s="121"/>
      <c r="CF4" s="121"/>
      <c r="CG4" s="121"/>
      <c r="CH4" s="121"/>
      <c r="CI4" s="121"/>
      <c r="CJ4" s="121"/>
      <c r="CK4" s="121"/>
      <c r="CL4" s="121"/>
      <c r="CM4" s="121"/>
      <c r="CN4" s="121"/>
    </row>
    <row r="5" spans="2:92" ht="17.100000000000001" customHeight="1" x14ac:dyDescent="0.25">
      <c r="AE5" s="116" t="s">
        <v>61</v>
      </c>
      <c r="AF5" s="116"/>
      <c r="AG5" s="116"/>
      <c r="AH5" s="116"/>
      <c r="AI5" s="116"/>
      <c r="AJ5" s="116"/>
      <c r="AK5" s="116"/>
      <c r="AL5" s="116"/>
      <c r="AM5" s="116"/>
      <c r="AN5" s="116"/>
      <c r="AO5" s="116"/>
      <c r="AP5" s="116"/>
      <c r="AQ5" s="116"/>
      <c r="AR5" s="116"/>
      <c r="AS5" s="116"/>
      <c r="AT5" s="116"/>
      <c r="AU5" s="116"/>
      <c r="AV5" s="116"/>
      <c r="AW5" s="116"/>
      <c r="AX5" s="116"/>
      <c r="AY5" s="116"/>
      <c r="AZ5" s="116"/>
      <c r="BA5" s="116"/>
      <c r="BB5" s="116"/>
      <c r="BC5" s="116"/>
      <c r="BD5" s="116"/>
      <c r="BE5" s="116"/>
      <c r="BF5" s="116"/>
      <c r="BG5" s="116"/>
      <c r="BH5" s="116"/>
      <c r="BI5" s="116"/>
      <c r="BJ5" s="116"/>
      <c r="BK5" s="116"/>
      <c r="BL5" s="116"/>
      <c r="BM5" s="116"/>
      <c r="BN5" s="116"/>
      <c r="BO5" s="116"/>
      <c r="BP5" s="116"/>
      <c r="BQ5" s="116"/>
      <c r="BT5" s="100" t="s">
        <v>62</v>
      </c>
      <c r="BV5" s="121" t="s">
        <v>63</v>
      </c>
      <c r="BW5" s="121"/>
      <c r="BX5" s="121"/>
      <c r="BY5" s="121"/>
      <c r="BZ5" s="121"/>
      <c r="CA5" s="121"/>
      <c r="CB5" s="121"/>
      <c r="CC5" s="121"/>
      <c r="CD5" s="121"/>
      <c r="CE5" s="121"/>
      <c r="CF5" s="121"/>
      <c r="CG5" s="121"/>
      <c r="CH5" s="121"/>
      <c r="CI5" s="121"/>
      <c r="CJ5" s="121"/>
      <c r="CK5" s="121"/>
      <c r="CL5" s="121"/>
      <c r="CM5" s="121"/>
      <c r="CN5" s="121"/>
    </row>
    <row r="6" spans="2:92" ht="17.100000000000001" customHeight="1" x14ac:dyDescent="0.25">
      <c r="AE6" s="116" t="s">
        <v>65</v>
      </c>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T6" s="101" t="s">
        <v>66</v>
      </c>
      <c r="BV6" s="121" t="s">
        <v>67</v>
      </c>
      <c r="BW6" s="121"/>
      <c r="BX6" s="121"/>
      <c r="BY6" s="121"/>
      <c r="BZ6" s="121"/>
      <c r="CA6" s="121"/>
      <c r="CB6" s="121"/>
      <c r="CC6" s="121"/>
      <c r="CD6" s="121"/>
      <c r="CE6" s="121"/>
      <c r="CF6" s="121"/>
      <c r="CG6" s="121"/>
      <c r="CH6" s="121"/>
      <c r="CI6" s="121"/>
      <c r="CJ6" s="121"/>
      <c r="CK6" s="121"/>
      <c r="CL6" s="121"/>
      <c r="CM6" s="121"/>
      <c r="CN6" s="121"/>
    </row>
    <row r="7" spans="2:92" ht="17.100000000000001" customHeight="1" x14ac:dyDescent="0.25">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E7" s="120"/>
      <c r="AF7" s="120"/>
      <c r="AG7" s="120"/>
      <c r="AH7" s="120"/>
      <c r="AI7" s="120"/>
      <c r="AJ7" s="120"/>
      <c r="AK7" s="120"/>
      <c r="AL7" s="120"/>
      <c r="AM7" s="120"/>
      <c r="AN7" s="120"/>
      <c r="AO7" s="120"/>
      <c r="AP7" s="120"/>
      <c r="AQ7" s="120"/>
      <c r="AR7" s="120"/>
      <c r="AS7" s="120"/>
      <c r="AT7" s="120"/>
      <c r="AU7" s="120"/>
      <c r="AV7" s="120"/>
      <c r="AX7" s="120"/>
      <c r="AY7" s="120"/>
      <c r="AZ7" s="120"/>
      <c r="BA7" s="120"/>
      <c r="BB7" s="120"/>
      <c r="BC7" s="120"/>
      <c r="BD7" s="120"/>
      <c r="BE7" s="120"/>
      <c r="BF7" s="120"/>
      <c r="BG7" s="120"/>
      <c r="BH7" s="120"/>
      <c r="BI7" s="120"/>
      <c r="BJ7" s="120"/>
      <c r="BK7" s="120"/>
      <c r="BL7" s="120"/>
      <c r="BM7" s="120"/>
      <c r="BN7" s="120"/>
      <c r="BO7" s="120"/>
      <c r="BP7" s="120"/>
      <c r="BQ7" s="120"/>
      <c r="BT7" s="122" t="s">
        <v>68</v>
      </c>
      <c r="BU7" s="122"/>
      <c r="BV7" s="121" t="s">
        <v>69</v>
      </c>
      <c r="BW7" s="121"/>
      <c r="BX7" s="121"/>
      <c r="BY7" s="121"/>
      <c r="BZ7" s="121"/>
      <c r="CA7" s="121"/>
      <c r="CB7" s="121"/>
      <c r="CD7" s="204" t="s">
        <v>68</v>
      </c>
      <c r="CE7" s="204"/>
      <c r="CF7" s="121" t="s">
        <v>70</v>
      </c>
      <c r="CG7" s="121"/>
      <c r="CH7" s="121"/>
      <c r="CI7" s="121"/>
      <c r="CJ7" s="121"/>
      <c r="CK7" s="121"/>
      <c r="CL7" s="121"/>
      <c r="CM7" s="121"/>
      <c r="CN7" s="121"/>
    </row>
    <row r="8" spans="2:92" ht="8.1" customHeight="1" x14ac:dyDescent="0.25"/>
    <row r="9" spans="2:92" ht="15" customHeight="1" x14ac:dyDescent="0.25">
      <c r="B9" s="119" t="s">
        <v>71</v>
      </c>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19"/>
      <c r="CH9" s="119"/>
      <c r="CI9" s="119"/>
      <c r="CJ9" s="119"/>
      <c r="CK9" s="119"/>
      <c r="CL9" s="119"/>
      <c r="CM9" s="119"/>
      <c r="CN9" s="119"/>
    </row>
    <row r="10" spans="2:92" ht="8.1" customHeight="1" x14ac:dyDescent="0.25"/>
    <row r="11" spans="2:92" ht="20.100000000000001" customHeight="1" x14ac:dyDescent="0.25">
      <c r="B11" s="160" t="str">
        <f>"Januar "&amp;Planungsjahr</f>
        <v>Januar 2027</v>
      </c>
      <c r="C11" s="161"/>
      <c r="D11" s="161"/>
      <c r="E11" s="161"/>
      <c r="F11" s="161"/>
      <c r="G11" s="161"/>
      <c r="H11" s="161"/>
      <c r="I11" s="161"/>
      <c r="J11" s="161"/>
      <c r="K11" s="161"/>
      <c r="L11" s="161"/>
      <c r="M11" s="161"/>
      <c r="N11" s="161"/>
      <c r="O11" s="161"/>
      <c r="P11" s="161"/>
      <c r="Q11" s="161"/>
      <c r="R11" s="161"/>
      <c r="S11" s="161"/>
      <c r="T11" s="161"/>
      <c r="U11" s="161"/>
      <c r="V11" s="161"/>
      <c r="W11" s="162"/>
      <c r="Y11" s="172" t="str">
        <f>"Februar "&amp;Planungsjahr</f>
        <v>Februar 2027</v>
      </c>
      <c r="Z11" s="173"/>
      <c r="AA11" s="173"/>
      <c r="AB11" s="173"/>
      <c r="AC11" s="173"/>
      <c r="AD11" s="173"/>
      <c r="AE11" s="173"/>
      <c r="AF11" s="173"/>
      <c r="AG11" s="173"/>
      <c r="AH11" s="173"/>
      <c r="AI11" s="173"/>
      <c r="AJ11" s="173"/>
      <c r="AK11" s="173"/>
      <c r="AL11" s="173"/>
      <c r="AM11" s="173"/>
      <c r="AN11" s="173"/>
      <c r="AO11" s="173"/>
      <c r="AP11" s="173"/>
      <c r="AQ11" s="173"/>
      <c r="AR11" s="173"/>
      <c r="AS11" s="173"/>
      <c r="AT11" s="174"/>
      <c r="AV11" s="172" t="str">
        <f>"März "&amp;Planungsjahr</f>
        <v>März 2027</v>
      </c>
      <c r="AW11" s="173"/>
      <c r="AX11" s="173"/>
      <c r="AY11" s="173"/>
      <c r="AZ11" s="173"/>
      <c r="BA11" s="173"/>
      <c r="BB11" s="173"/>
      <c r="BC11" s="173"/>
      <c r="BD11" s="173"/>
      <c r="BE11" s="173"/>
      <c r="BF11" s="173"/>
      <c r="BG11" s="173"/>
      <c r="BH11" s="173"/>
      <c r="BI11" s="173"/>
      <c r="BJ11" s="173"/>
      <c r="BK11" s="173"/>
      <c r="BL11" s="173"/>
      <c r="BM11" s="173"/>
      <c r="BN11" s="173"/>
      <c r="BO11" s="173"/>
      <c r="BP11" s="173"/>
      <c r="BQ11" s="174"/>
      <c r="BS11" s="172" t="str">
        <f>"April "&amp;Planungsjahr</f>
        <v>April 2027</v>
      </c>
      <c r="BT11" s="173"/>
      <c r="BU11" s="173"/>
      <c r="BV11" s="173"/>
      <c r="BW11" s="173"/>
      <c r="BX11" s="173"/>
      <c r="BY11" s="173"/>
      <c r="BZ11" s="173"/>
      <c r="CA11" s="173"/>
      <c r="CB11" s="173"/>
      <c r="CC11" s="173"/>
      <c r="CD11" s="173"/>
      <c r="CE11" s="173"/>
      <c r="CF11" s="173"/>
      <c r="CG11" s="173"/>
      <c r="CH11" s="173"/>
      <c r="CI11" s="173"/>
      <c r="CJ11" s="173"/>
      <c r="CK11" s="173"/>
      <c r="CL11" s="173"/>
      <c r="CM11" s="173"/>
      <c r="CN11" s="174"/>
    </row>
    <row r="12" spans="2:92" ht="14.1" customHeight="1" x14ac:dyDescent="0.25">
      <c r="B12" s="163" t="s">
        <v>72</v>
      </c>
      <c r="C12" s="191" t="s">
        <v>73</v>
      </c>
      <c r="D12" s="191"/>
      <c r="E12" s="191"/>
      <c r="F12" s="191" t="s">
        <v>74</v>
      </c>
      <c r="G12" s="191"/>
      <c r="H12" s="191"/>
      <c r="I12" s="191" t="s">
        <v>75</v>
      </c>
      <c r="J12" s="191"/>
      <c r="K12" s="191"/>
      <c r="L12" s="191" t="s">
        <v>76</v>
      </c>
      <c r="M12" s="191"/>
      <c r="N12" s="191"/>
      <c r="O12" s="191" t="s">
        <v>77</v>
      </c>
      <c r="P12" s="191"/>
      <c r="Q12" s="191"/>
      <c r="R12" s="191" t="s">
        <v>78</v>
      </c>
      <c r="S12" s="191"/>
      <c r="T12" s="191"/>
      <c r="U12" s="191" t="s">
        <v>79</v>
      </c>
      <c r="V12" s="191"/>
      <c r="W12" s="192"/>
      <c r="Y12" s="175" t="s">
        <v>72</v>
      </c>
      <c r="Z12" s="191" t="s">
        <v>73</v>
      </c>
      <c r="AA12" s="191"/>
      <c r="AB12" s="191"/>
      <c r="AC12" s="191" t="s">
        <v>74</v>
      </c>
      <c r="AD12" s="191"/>
      <c r="AE12" s="191"/>
      <c r="AF12" s="191" t="s">
        <v>75</v>
      </c>
      <c r="AG12" s="191"/>
      <c r="AH12" s="191"/>
      <c r="AI12" s="191" t="s">
        <v>76</v>
      </c>
      <c r="AJ12" s="191"/>
      <c r="AK12" s="191"/>
      <c r="AL12" s="191" t="s">
        <v>77</v>
      </c>
      <c r="AM12" s="191"/>
      <c r="AN12" s="191"/>
      <c r="AO12" s="191" t="s">
        <v>78</v>
      </c>
      <c r="AP12" s="191"/>
      <c r="AQ12" s="191"/>
      <c r="AR12" s="191" t="s">
        <v>79</v>
      </c>
      <c r="AS12" s="191"/>
      <c r="AT12" s="193"/>
      <c r="AV12" s="175" t="s">
        <v>72</v>
      </c>
      <c r="AW12" s="191" t="s">
        <v>73</v>
      </c>
      <c r="AX12" s="191"/>
      <c r="AY12" s="191"/>
      <c r="AZ12" s="191" t="s">
        <v>74</v>
      </c>
      <c r="BA12" s="191"/>
      <c r="BB12" s="191"/>
      <c r="BC12" s="191" t="s">
        <v>75</v>
      </c>
      <c r="BD12" s="191"/>
      <c r="BE12" s="191"/>
      <c r="BF12" s="191" t="s">
        <v>76</v>
      </c>
      <c r="BG12" s="191"/>
      <c r="BH12" s="191"/>
      <c r="BI12" s="191" t="s">
        <v>77</v>
      </c>
      <c r="BJ12" s="191"/>
      <c r="BK12" s="191"/>
      <c r="BL12" s="191" t="s">
        <v>78</v>
      </c>
      <c r="BM12" s="191"/>
      <c r="BN12" s="191"/>
      <c r="BO12" s="191" t="s">
        <v>79</v>
      </c>
      <c r="BP12" s="191"/>
      <c r="BQ12" s="193"/>
      <c r="BS12" s="175" t="s">
        <v>72</v>
      </c>
      <c r="BT12" s="191" t="s">
        <v>73</v>
      </c>
      <c r="BU12" s="191"/>
      <c r="BV12" s="191"/>
      <c r="BW12" s="191" t="s">
        <v>74</v>
      </c>
      <c r="BX12" s="191"/>
      <c r="BY12" s="191"/>
      <c r="BZ12" s="191" t="s">
        <v>75</v>
      </c>
      <c r="CA12" s="191"/>
      <c r="CB12" s="191"/>
      <c r="CC12" s="191" t="s">
        <v>76</v>
      </c>
      <c r="CD12" s="191"/>
      <c r="CE12" s="191"/>
      <c r="CF12" s="191" t="s">
        <v>77</v>
      </c>
      <c r="CG12" s="191"/>
      <c r="CH12" s="191"/>
      <c r="CI12" s="191" t="s">
        <v>78</v>
      </c>
      <c r="CJ12" s="191"/>
      <c r="CK12" s="191"/>
      <c r="CL12" s="191" t="s">
        <v>79</v>
      </c>
      <c r="CM12" s="191"/>
      <c r="CN12" s="193"/>
    </row>
    <row r="13" spans="2:92" ht="15.95" customHeight="1" x14ac:dyDescent="0.25">
      <c r="B13" s="165">
        <f>IF(OR(ISNUMBER(C13),ISNUMBER(U13)),_xlfn.ISOWEEKNUM(DATE(Planungsjahr,1,1)-WEEKDAY(DATE(Planungsjahr,1,1),2)+1),"")</f>
        <v>53</v>
      </c>
      <c r="C13" s="188" t="str">
        <f>IF(MONTH(DATE(Planungsjahr,1,1)-WEEKDAY(DATE(Planungsjahr,1,1),2)+1)=1,DAY(DATE(Planungsjahr,1,1)-WEEKDAY(DATE(Planungsjahr,1,1),2)+1),"")</f>
        <v/>
      </c>
      <c r="D13" s="188"/>
      <c r="E13" s="188"/>
      <c r="F13" s="188" t="str">
        <f>IF(MONTH(DATE(Planungsjahr,1,1)-WEEKDAY(DATE(Planungsjahr,1,1),2)+2)=1,DAY(DATE(Planungsjahr,1,1)-WEEKDAY(DATE(Planungsjahr,1,1),2)+2),"")</f>
        <v/>
      </c>
      <c r="G13" s="188"/>
      <c r="H13" s="188"/>
      <c r="I13" s="188" t="str">
        <f>IF(MONTH(DATE(Planungsjahr,1,1)-WEEKDAY(DATE(Planungsjahr,1,1),2)+3)=1,DAY(DATE(Planungsjahr,1,1)-WEEKDAY(DATE(Planungsjahr,1,1),2)+3),"")</f>
        <v/>
      </c>
      <c r="J13" s="188"/>
      <c r="K13" s="188"/>
      <c r="L13" s="188" t="str">
        <f>IF(MONTH(DATE(Planungsjahr,1,1)-WEEKDAY(DATE(Planungsjahr,1,1),2)+4)=1,DAY(DATE(Planungsjahr,1,1)-WEEKDAY(DATE(Planungsjahr,1,1),2)+4),"")</f>
        <v/>
      </c>
      <c r="M13" s="188"/>
      <c r="N13" s="188"/>
      <c r="O13" s="188">
        <f>IF(MONTH(DATE(Planungsjahr,1,1)-WEEKDAY(DATE(Planungsjahr,1,1),2)+5)=1,DAY(DATE(Planungsjahr,1,1)-WEEKDAY(DATE(Planungsjahr,1,1),2)+5),"")</f>
        <v>1</v>
      </c>
      <c r="P13" s="188"/>
      <c r="Q13" s="188"/>
      <c r="R13" s="188">
        <f>IF(MONTH(DATE(Planungsjahr,1,1)-WEEKDAY(DATE(Planungsjahr,1,1),2)+6)=1,DAY(DATE(Planungsjahr,1,1)-WEEKDAY(DATE(Planungsjahr,1,1),2)+6),"")</f>
        <v>2</v>
      </c>
      <c r="S13" s="188"/>
      <c r="T13" s="188"/>
      <c r="U13" s="188">
        <f>IF(MONTH(DATE(Planungsjahr,1,1)-WEEKDAY(DATE(Planungsjahr,1,1),2)+7)=1,DAY(DATE(Planungsjahr,1,1)-WEEKDAY(DATE(Planungsjahr,1,1),2)+7),"")</f>
        <v>3</v>
      </c>
      <c r="V13" s="188"/>
      <c r="W13" s="189"/>
      <c r="Y13" s="177">
        <f>IF(OR(ISNUMBER(Z13),ISNUMBER(AR13)),_xlfn.ISOWEEKNUM(DATE(Planungsjahr,2,1)-WEEKDAY(DATE(Planungsjahr,2,1),2)+1),"")</f>
        <v>5</v>
      </c>
      <c r="Z13" s="188">
        <f>IF(MONTH(DATE(Planungsjahr,2,1)-WEEKDAY(DATE(Planungsjahr,2,1),2)+1)=2,DAY(DATE(Planungsjahr,2,1)-WEEKDAY(DATE(Planungsjahr,2,1),2)+1),"")</f>
        <v>1</v>
      </c>
      <c r="AA13" s="188"/>
      <c r="AB13" s="188"/>
      <c r="AC13" s="188">
        <f>IF(MONTH(DATE(Planungsjahr,2,1)-WEEKDAY(DATE(Planungsjahr,2,1),2)+2)=2,DAY(DATE(Planungsjahr,2,1)-WEEKDAY(DATE(Planungsjahr,2,1),2)+2),"")</f>
        <v>2</v>
      </c>
      <c r="AD13" s="188"/>
      <c r="AE13" s="188"/>
      <c r="AF13" s="188">
        <f>IF(MONTH(DATE(Planungsjahr,2,1)-WEEKDAY(DATE(Planungsjahr,2,1),2)+3)=2,DAY(DATE(Planungsjahr,2,1)-WEEKDAY(DATE(Planungsjahr,2,1),2)+3),"")</f>
        <v>3</v>
      </c>
      <c r="AG13" s="188"/>
      <c r="AH13" s="188"/>
      <c r="AI13" s="188">
        <f>IF(MONTH(DATE(Planungsjahr,2,1)-WEEKDAY(DATE(Planungsjahr,2,1),2)+4)=2,DAY(DATE(Planungsjahr,2,1)-WEEKDAY(DATE(Planungsjahr,2,1),2)+4),"")</f>
        <v>4</v>
      </c>
      <c r="AJ13" s="188"/>
      <c r="AK13" s="188"/>
      <c r="AL13" s="188">
        <f>IF(MONTH(DATE(Planungsjahr,2,1)-WEEKDAY(DATE(Planungsjahr,2,1),2)+5)=2,DAY(DATE(Planungsjahr,2,1)-WEEKDAY(DATE(Planungsjahr,2,1),2)+5),"")</f>
        <v>5</v>
      </c>
      <c r="AM13" s="188"/>
      <c r="AN13" s="188"/>
      <c r="AO13" s="188">
        <f>IF(MONTH(DATE(Planungsjahr,2,1)-WEEKDAY(DATE(Planungsjahr,2,1),2)+6)=2,DAY(DATE(Planungsjahr,2,1)-WEEKDAY(DATE(Planungsjahr,2,1),2)+6),"")</f>
        <v>6</v>
      </c>
      <c r="AP13" s="188"/>
      <c r="AQ13" s="188"/>
      <c r="AR13" s="188">
        <f>IF(MONTH(DATE(Planungsjahr,2,1)-WEEKDAY(DATE(Planungsjahr,2,1),2)+7)=2,DAY(DATE(Planungsjahr,2,1)-WEEKDAY(DATE(Planungsjahr,2,1),2)+7),"")</f>
        <v>7</v>
      </c>
      <c r="AS13" s="188"/>
      <c r="AT13" s="190"/>
      <c r="AV13" s="177">
        <f>IF(OR(ISNUMBER(AW13),ISNUMBER(BO13)),_xlfn.ISOWEEKNUM(DATE(Planungsjahr,3,1)-WEEKDAY(DATE(Planungsjahr,3,1),2)+1),"")</f>
        <v>9</v>
      </c>
      <c r="AW13" s="188">
        <f>IF(MONTH(DATE(Planungsjahr,3,1)-WEEKDAY(DATE(Planungsjahr,3,1),2)+1)=3,DAY(DATE(Planungsjahr,3,1)-WEEKDAY(DATE(Planungsjahr,3,1),2)+1),"")</f>
        <v>1</v>
      </c>
      <c r="AX13" s="188"/>
      <c r="AY13" s="188"/>
      <c r="AZ13" s="188">
        <f>IF(MONTH(DATE(Planungsjahr,3,1)-WEEKDAY(DATE(Planungsjahr,3,1),2)+2)=3,DAY(DATE(Planungsjahr,3,1)-WEEKDAY(DATE(Planungsjahr,3,1),2)+2),"")</f>
        <v>2</v>
      </c>
      <c r="BA13" s="188"/>
      <c r="BB13" s="188"/>
      <c r="BC13" s="188">
        <f>IF(MONTH(DATE(Planungsjahr,3,1)-WEEKDAY(DATE(Planungsjahr,3,1),2)+3)=3,DAY(DATE(Planungsjahr,3,1)-WEEKDAY(DATE(Planungsjahr,3,1),2)+3),"")</f>
        <v>3</v>
      </c>
      <c r="BD13" s="188"/>
      <c r="BE13" s="188"/>
      <c r="BF13" s="188">
        <f>IF(MONTH(DATE(Planungsjahr,3,1)-WEEKDAY(DATE(Planungsjahr,3,1),2)+4)=3,DAY(DATE(Planungsjahr,3,1)-WEEKDAY(DATE(Planungsjahr,3,1),2)+4),"")</f>
        <v>4</v>
      </c>
      <c r="BG13" s="188"/>
      <c r="BH13" s="188"/>
      <c r="BI13" s="188">
        <f>IF(MONTH(DATE(Planungsjahr,3,1)-WEEKDAY(DATE(Planungsjahr,3,1),2)+5)=3,DAY(DATE(Planungsjahr,3,1)-WEEKDAY(DATE(Planungsjahr,3,1),2)+5),"")</f>
        <v>5</v>
      </c>
      <c r="BJ13" s="188"/>
      <c r="BK13" s="188"/>
      <c r="BL13" s="188">
        <f>IF(MONTH(DATE(Planungsjahr,3,1)-WEEKDAY(DATE(Planungsjahr,3,1),2)+6)=3,DAY(DATE(Planungsjahr,3,1)-WEEKDAY(DATE(Planungsjahr,3,1),2)+6),"")</f>
        <v>6</v>
      </c>
      <c r="BM13" s="188"/>
      <c r="BN13" s="188"/>
      <c r="BO13" s="188">
        <f>IF(MONTH(DATE(Planungsjahr,3,1)-WEEKDAY(DATE(Planungsjahr,3,1),2)+7)=3,DAY(DATE(Planungsjahr,3,1)-WEEKDAY(DATE(Planungsjahr,3,1),2)+7),"")</f>
        <v>7</v>
      </c>
      <c r="BP13" s="188"/>
      <c r="BQ13" s="190"/>
      <c r="BS13" s="177">
        <f>IF(OR(ISNUMBER(BT13),ISNUMBER(CL13)),_xlfn.ISOWEEKNUM(DATE(Planungsjahr,4,1)-WEEKDAY(DATE(Planungsjahr,4,1),2)+1),"")</f>
        <v>13</v>
      </c>
      <c r="BT13" s="188" t="str">
        <f>IF(MONTH(DATE(Planungsjahr,4,1)-WEEKDAY(DATE(Planungsjahr,4,1),2)+1)=4,DAY(DATE(Planungsjahr,4,1)-WEEKDAY(DATE(Planungsjahr,4,1),2)+1),"")</f>
        <v/>
      </c>
      <c r="BU13" s="188"/>
      <c r="BV13" s="188"/>
      <c r="BW13" s="188" t="str">
        <f>IF(MONTH(DATE(Planungsjahr,4,1)-WEEKDAY(DATE(Planungsjahr,4,1),2)+2)=4,DAY(DATE(Planungsjahr,4,1)-WEEKDAY(DATE(Planungsjahr,4,1),2)+2),"")</f>
        <v/>
      </c>
      <c r="BX13" s="188"/>
      <c r="BY13" s="188"/>
      <c r="BZ13" s="188" t="str">
        <f>IF(MONTH(DATE(Planungsjahr,4,1)-WEEKDAY(DATE(Planungsjahr,4,1),2)+3)=4,DAY(DATE(Planungsjahr,4,1)-WEEKDAY(DATE(Planungsjahr,4,1),2)+3),"")</f>
        <v/>
      </c>
      <c r="CA13" s="188"/>
      <c r="CB13" s="188"/>
      <c r="CC13" s="188">
        <f>IF(MONTH(DATE(Planungsjahr,4,1)-WEEKDAY(DATE(Planungsjahr,4,1),2)+4)=4,DAY(DATE(Planungsjahr,4,1)-WEEKDAY(DATE(Planungsjahr,4,1),2)+4),"")</f>
        <v>1</v>
      </c>
      <c r="CD13" s="188"/>
      <c r="CE13" s="188"/>
      <c r="CF13" s="188">
        <f>IF(MONTH(DATE(Planungsjahr,4,1)-WEEKDAY(DATE(Planungsjahr,4,1),2)+5)=4,DAY(DATE(Planungsjahr,4,1)-WEEKDAY(DATE(Planungsjahr,4,1),2)+5),"")</f>
        <v>2</v>
      </c>
      <c r="CG13" s="188"/>
      <c r="CH13" s="188"/>
      <c r="CI13" s="188">
        <f>IF(MONTH(DATE(Planungsjahr,4,1)-WEEKDAY(DATE(Planungsjahr,4,1),2)+6)=4,DAY(DATE(Planungsjahr,4,1)-WEEKDAY(DATE(Planungsjahr,4,1),2)+6),"")</f>
        <v>3</v>
      </c>
      <c r="CJ13" s="188"/>
      <c r="CK13" s="188"/>
      <c r="CL13" s="188">
        <f>IF(MONTH(DATE(Planungsjahr,4,1)-WEEKDAY(DATE(Planungsjahr,4,1),2)+7)=4,DAY(DATE(Planungsjahr,4,1)-WEEKDAY(DATE(Planungsjahr,4,1),2)+7),"")</f>
        <v>4</v>
      </c>
      <c r="CM13" s="188"/>
      <c r="CN13" s="190"/>
    </row>
    <row r="14" spans="2:92" ht="10.5" customHeight="1" x14ac:dyDescent="0.25">
      <c r="B14" s="167"/>
      <c r="C14" s="159" t="str">
        <f>IF(ISNUMBER(C13),IF(COUNTIFS(JP_StartSel,DATE(Planungsjahr,1,C13),JP_ShowSel,TRUE)&gt;0,"S",IF(COUNTIF(Feiertage,DATE(Planungsjahr,1,C13))&gt;0,"h","")),"")</f>
        <v/>
      </c>
      <c r="D14" s="159" t="str">
        <f>IF(ISNUMBER(C13),IF(COUNTIFS(JP_StartInhalt,DATE(Planungsjahr,1,C13),JP_ShowInhalt,TRUE)&gt;0,"I",IF(COUNTIF(Feiertage,DATE(Planungsjahr,1,C13))&gt;0,"h","")),"")</f>
        <v/>
      </c>
      <c r="E14" s="159" t="str">
        <f>IF(ISNUMBER(C13),IF(COUNTIFS(JP_PAL,DATE(Planungsjahr,1,C13),JP_ShowPAL,TRUE)&gt;0,"P",IF(COUNTIF(Feiertage,DATE(Planungsjahr,1,C13))&gt;0,"h","")),"")</f>
        <v/>
      </c>
      <c r="F14" s="159" t="str">
        <f>IF(ISNUMBER(F13),IF(COUNTIFS(JP_StartSel,DATE(Planungsjahr,1,F13),JP_ShowSel,TRUE)&gt;0,"S",IF(COUNTIF(Feiertage,DATE(Planungsjahr,1,F13))&gt;0,"h","")),"")</f>
        <v/>
      </c>
      <c r="G14" s="159" t="str">
        <f>IF(ISNUMBER(F13),IF(COUNTIFS(JP_StartInhalt,DATE(Planungsjahr,1,F13),JP_ShowInhalt,TRUE)&gt;0,"I",IF(COUNTIF(Feiertage,DATE(Planungsjahr,1,F13))&gt;0,"h","")),"")</f>
        <v/>
      </c>
      <c r="H14" s="159" t="str">
        <f>IF(ISNUMBER(F13),IF(COUNTIFS(JP_PAL,DATE(Planungsjahr,1,F13),JP_ShowPAL,TRUE)&gt;0,"P",IF(COUNTIF(Feiertage,DATE(Planungsjahr,1,F13))&gt;0,"h","")),"")</f>
        <v/>
      </c>
      <c r="I14" s="159" t="str">
        <f>IF(ISNUMBER(I13),IF(COUNTIFS(JP_StartSel,DATE(Planungsjahr,1,I13),JP_ShowSel,TRUE)&gt;0,"S",IF(COUNTIF(Feiertage,DATE(Planungsjahr,1,I13))&gt;0,"h","")),"")</f>
        <v/>
      </c>
      <c r="J14" s="159" t="str">
        <f>IF(ISNUMBER(I13),IF(COUNTIFS(JP_StartInhalt,DATE(Planungsjahr,1,I13),JP_ShowInhalt,TRUE)&gt;0,"I",IF(COUNTIF(Feiertage,DATE(Planungsjahr,1,I13))&gt;0,"h","")),"")</f>
        <v/>
      </c>
      <c r="K14" s="159" t="str">
        <f>IF(ISNUMBER(I13),IF(COUNTIFS(JP_PAL,DATE(Planungsjahr,1,I13),JP_ShowPAL,TRUE)&gt;0,"P",IF(COUNTIF(Feiertage,DATE(Planungsjahr,1,I13))&gt;0,"h","")),"")</f>
        <v/>
      </c>
      <c r="L14" s="159" t="str">
        <f>IF(ISNUMBER(L13),IF(COUNTIFS(JP_StartSel,DATE(Planungsjahr,1,L13),JP_ShowSel,TRUE)&gt;0,"S",IF(COUNTIF(Feiertage,DATE(Planungsjahr,1,L13))&gt;0,"h","")),"")</f>
        <v/>
      </c>
      <c r="M14" s="159" t="str">
        <f>IF(ISNUMBER(L13),IF(COUNTIFS(JP_StartInhalt,DATE(Planungsjahr,1,L13),JP_ShowInhalt,TRUE)&gt;0,"I",IF(COUNTIF(Feiertage,DATE(Planungsjahr,1,L13))&gt;0,"h","")),"")</f>
        <v/>
      </c>
      <c r="N14" s="159" t="str">
        <f>IF(ISNUMBER(L13),IF(COUNTIFS(JP_PAL,DATE(Planungsjahr,1,L13),JP_ShowPAL,TRUE)&gt;0,"P",IF(COUNTIF(Feiertage,DATE(Planungsjahr,1,L13))&gt;0,"h","")),"")</f>
        <v/>
      </c>
      <c r="O14" s="159" t="str">
        <f>IF(ISNUMBER(O13),IF(COUNTIFS(JP_StartSel,DATE(Planungsjahr,1,O13),JP_ShowSel,TRUE)&gt;0,"S",IF(COUNTIF(Feiertage,DATE(Planungsjahr,1,O13))&gt;0,"h","")),"")</f>
        <v>h</v>
      </c>
      <c r="P14" s="159" t="str">
        <f>IF(ISNUMBER(O13),IF(COUNTIFS(JP_StartInhalt,DATE(Planungsjahr,1,O13),JP_ShowInhalt,TRUE)&gt;0,"I",IF(COUNTIF(Feiertage,DATE(Planungsjahr,1,O13))&gt;0,"h","")),"")</f>
        <v>h</v>
      </c>
      <c r="Q14" s="159" t="str">
        <f>IF(ISNUMBER(O13),IF(COUNTIFS(JP_PAL,DATE(Planungsjahr,1,O13),JP_ShowPAL,TRUE)&gt;0,"P",IF(COUNTIF(Feiertage,DATE(Planungsjahr,1,O13))&gt;0,"h","")),"")</f>
        <v>h</v>
      </c>
      <c r="R14" s="159" t="str">
        <f>IF(ISNUMBER(R13),IF(COUNTIFS(JP_StartSel,DATE(Planungsjahr,1,R13),JP_ShowSel,TRUE)&gt;0,"S",IF(COUNTIF(Feiertage,DATE(Planungsjahr,1,R13))&gt;0,"h","w")),"")</f>
        <v>w</v>
      </c>
      <c r="S14" s="159" t="str">
        <f>IF(ISNUMBER(R13),IF(COUNTIFS(JP_StartInhalt,DATE(Planungsjahr,1,R13),JP_ShowInhalt,TRUE)&gt;0,"I",IF(COUNTIF(Feiertage,DATE(Planungsjahr,1,R13))&gt;0,"h","w")),"")</f>
        <v>w</v>
      </c>
      <c r="T14" s="159" t="str">
        <f>IF(ISNUMBER(R13),IF(COUNTIFS(JP_PAL,DATE(Planungsjahr,1,R13),JP_ShowPAL,TRUE)&gt;0,"P",IF(COUNTIF(Feiertage,DATE(Planungsjahr,1,R13))&gt;0,"h","w")),"")</f>
        <v>w</v>
      </c>
      <c r="U14" s="159" t="str">
        <f>IF(ISNUMBER(U13),IF(COUNTIFS(JP_StartSel,DATE(Planungsjahr,1,U13),JP_ShowSel,TRUE)&gt;0,"S",IF(COUNTIF(Feiertage,DATE(Planungsjahr,1,U13))&gt;0,"h","w")),"")</f>
        <v>w</v>
      </c>
      <c r="V14" s="159" t="str">
        <f>IF(ISNUMBER(U13),IF(COUNTIFS(JP_StartInhalt,DATE(Planungsjahr,1,U13),JP_ShowInhalt,TRUE)&gt;0,"I",IF(COUNTIF(Feiertage,DATE(Planungsjahr,1,U13))&gt;0,"h","w")),"")</f>
        <v>w</v>
      </c>
      <c r="W14" s="168" t="str">
        <f>IF(ISNUMBER(U13),IF(COUNTIFS(JP_PAL,DATE(Planungsjahr,1,U13),JP_ShowPAL,TRUE)&gt;0,"P",IF(COUNTIF(Feiertage,DATE(Planungsjahr,1,U13))&gt;0,"h","w")),"")</f>
        <v>w</v>
      </c>
      <c r="Y14" s="179"/>
      <c r="Z14" s="159" t="str">
        <f>IF(ISNUMBER(Z13),IF(COUNTIFS(JP_StartSel,DATE(Planungsjahr,2,Z13),JP_ShowSel,TRUE)&gt;0,"S",IF(COUNTIF(Feiertage,DATE(Planungsjahr,2,Z13))&gt;0,"h","")),"")</f>
        <v/>
      </c>
      <c r="AA14" s="159" t="str">
        <f>IF(ISNUMBER(Z13),IF(COUNTIFS(JP_StartInhalt,DATE(Planungsjahr,2,Z13),JP_ShowInhalt,TRUE)&gt;0,"I",IF(COUNTIF(Feiertage,DATE(Planungsjahr,2,Z13))&gt;0,"h","")),"")</f>
        <v/>
      </c>
      <c r="AB14" s="159" t="str">
        <f>IF(ISNUMBER(Z13),IF(COUNTIFS(JP_PAL,DATE(Planungsjahr,2,Z13),JP_ShowPAL,TRUE)&gt;0,"P",IF(COUNTIF(Feiertage,DATE(Planungsjahr,2,Z13))&gt;0,"h","")),"")</f>
        <v/>
      </c>
      <c r="AC14" s="159" t="str">
        <f>IF(ISNUMBER(AC13),IF(COUNTIFS(JP_StartSel,DATE(Planungsjahr,2,AC13),JP_ShowSel,TRUE)&gt;0,"S",IF(COUNTIF(Feiertage,DATE(Planungsjahr,2,AC13))&gt;0,"h","")),"")</f>
        <v/>
      </c>
      <c r="AD14" s="159" t="str">
        <f>IF(ISNUMBER(AC13),IF(COUNTIFS(JP_StartInhalt,DATE(Planungsjahr,2,AC13),JP_ShowInhalt,TRUE)&gt;0,"I",IF(COUNTIF(Feiertage,DATE(Planungsjahr,2,AC13))&gt;0,"h","")),"")</f>
        <v/>
      </c>
      <c r="AE14" s="159" t="str">
        <f>IF(ISNUMBER(AC13),IF(COUNTIFS(JP_PAL,DATE(Planungsjahr,2,AC13),JP_ShowPAL,TRUE)&gt;0,"P",IF(COUNTIF(Feiertage,DATE(Planungsjahr,2,AC13))&gt;0,"h","")),"")</f>
        <v/>
      </c>
      <c r="AF14" s="159" t="str">
        <f>IF(ISNUMBER(AF13),IF(COUNTIFS(JP_StartSel,DATE(Planungsjahr,2,AF13),JP_ShowSel,TRUE)&gt;0,"S",IF(COUNTIF(Feiertage,DATE(Planungsjahr,2,AF13))&gt;0,"h","")),"")</f>
        <v/>
      </c>
      <c r="AG14" s="159" t="str">
        <f>IF(ISNUMBER(AF13),IF(COUNTIFS(JP_StartInhalt,DATE(Planungsjahr,2,AF13),JP_ShowInhalt,TRUE)&gt;0,"I",IF(COUNTIF(Feiertage,DATE(Planungsjahr,2,AF13))&gt;0,"h","")),"")</f>
        <v/>
      </c>
      <c r="AH14" s="159" t="str">
        <f>IF(ISNUMBER(AF13),IF(COUNTIFS(JP_PAL,DATE(Planungsjahr,2,AF13),JP_ShowPAL,TRUE)&gt;0,"P",IF(COUNTIF(Feiertage,DATE(Planungsjahr,2,AF13))&gt;0,"h","")),"")</f>
        <v/>
      </c>
      <c r="AI14" s="159" t="str">
        <f>IF(ISNUMBER(AI13),IF(COUNTIFS(JP_StartSel,DATE(Planungsjahr,2,AI13),JP_ShowSel,TRUE)&gt;0,"S",IF(COUNTIF(Feiertage,DATE(Planungsjahr,2,AI13))&gt;0,"h","")),"")</f>
        <v/>
      </c>
      <c r="AJ14" s="159" t="str">
        <f>IF(ISNUMBER(AI13),IF(COUNTIFS(JP_StartInhalt,DATE(Planungsjahr,2,AI13),JP_ShowInhalt,TRUE)&gt;0,"I",IF(COUNTIF(Feiertage,DATE(Planungsjahr,2,AI13))&gt;0,"h","")),"")</f>
        <v/>
      </c>
      <c r="AK14" s="159" t="str">
        <f>IF(ISNUMBER(AI13),IF(COUNTIFS(JP_PAL,DATE(Planungsjahr,2,AI13),JP_ShowPAL,TRUE)&gt;0,"P",IF(COUNTIF(Feiertage,DATE(Planungsjahr,2,AI13))&gt;0,"h","")),"")</f>
        <v/>
      </c>
      <c r="AL14" s="159" t="str">
        <f>IF(ISNUMBER(AL13),IF(COUNTIFS(JP_StartSel,DATE(Planungsjahr,2,AL13),JP_ShowSel,TRUE)&gt;0,"S",IF(COUNTIF(Feiertage,DATE(Planungsjahr,2,AL13))&gt;0,"h","")),"")</f>
        <v/>
      </c>
      <c r="AM14" s="159" t="str">
        <f>IF(ISNUMBER(AL13),IF(COUNTIFS(JP_StartInhalt,DATE(Planungsjahr,2,AL13),JP_ShowInhalt,TRUE)&gt;0,"I",IF(COUNTIF(Feiertage,DATE(Planungsjahr,2,AL13))&gt;0,"h","")),"")</f>
        <v/>
      </c>
      <c r="AN14" s="159" t="str">
        <f>IF(ISNUMBER(AL13),IF(COUNTIFS(JP_PAL,DATE(Planungsjahr,2,AL13),JP_ShowPAL,TRUE)&gt;0,"P",IF(COUNTIF(Feiertage,DATE(Planungsjahr,2,AL13))&gt;0,"h","")),"")</f>
        <v/>
      </c>
      <c r="AO14" s="159" t="str">
        <f>IF(ISNUMBER(AO13),IF(COUNTIFS(JP_StartSel,DATE(Planungsjahr,2,AO13),JP_ShowSel,TRUE)&gt;0,"S",IF(COUNTIF(Feiertage,DATE(Planungsjahr,2,AO13))&gt;0,"h","w")),"")</f>
        <v>S</v>
      </c>
      <c r="AP14" s="159" t="str">
        <f>IF(ISNUMBER(AO13),IF(COUNTIFS(JP_StartInhalt,DATE(Planungsjahr,2,AO13),JP_ShowInhalt,TRUE)&gt;0,"I",IF(COUNTIF(Feiertage,DATE(Planungsjahr,2,AO13))&gt;0,"h","w")),"")</f>
        <v>w</v>
      </c>
      <c r="AQ14" s="159" t="str">
        <f>IF(ISNUMBER(AO13),IF(COUNTIFS(JP_PAL,DATE(Planungsjahr,2,AO13),JP_ShowPAL,TRUE)&gt;0,"P",IF(COUNTIF(Feiertage,DATE(Planungsjahr,2,AO13))&gt;0,"h","w")),"")</f>
        <v>w</v>
      </c>
      <c r="AR14" s="159" t="str">
        <f>IF(ISNUMBER(AR13),IF(COUNTIFS(JP_StartSel,DATE(Planungsjahr,2,AR13),JP_ShowSel,TRUE)&gt;0,"S",IF(COUNTIF(Feiertage,DATE(Planungsjahr,2,AR13))&gt;0,"h","w")),"")</f>
        <v>w</v>
      </c>
      <c r="AS14" s="159" t="str">
        <f>IF(ISNUMBER(AR13),IF(COUNTIFS(JP_StartInhalt,DATE(Planungsjahr,2,AR13),JP_ShowInhalt,TRUE)&gt;0,"I",IF(COUNTIF(Feiertage,DATE(Planungsjahr,2,AR13))&gt;0,"h","w")),"")</f>
        <v>w</v>
      </c>
      <c r="AT14" s="180" t="str">
        <f>IF(ISNUMBER(AR13),IF(COUNTIFS(JP_PAL,DATE(Planungsjahr,2,AR13),JP_ShowPAL,TRUE)&gt;0,"P",IF(COUNTIF(Feiertage,DATE(Planungsjahr,2,AR13))&gt;0,"h","w")),"")</f>
        <v>w</v>
      </c>
      <c r="AV14" s="179"/>
      <c r="AW14" s="159" t="str">
        <f>IF(ISNUMBER(AW13),IF(COUNTIFS(JP_StartSel,DATE(Planungsjahr,3,AW13),JP_ShowSel,TRUE)&gt;0,"S",IF(COUNTIF(Feiertage,DATE(Planungsjahr,3,AW13))&gt;0,"h","")),"")</f>
        <v/>
      </c>
      <c r="AX14" s="159" t="str">
        <f>IF(ISNUMBER(AW13),IF(COUNTIFS(JP_StartInhalt,DATE(Planungsjahr,3,AW13),JP_ShowInhalt,TRUE)&gt;0,"I",IF(COUNTIF(Feiertage,DATE(Planungsjahr,3,AW13))&gt;0,"h","")),"")</f>
        <v/>
      </c>
      <c r="AY14" s="159" t="str">
        <f>IF(ISNUMBER(AW13),IF(COUNTIFS(JP_PAL,DATE(Planungsjahr,3,AW13),JP_ShowPAL,TRUE)&gt;0,"P",IF(COUNTIF(Feiertage,DATE(Planungsjahr,3,AW13))&gt;0,"h","")),"")</f>
        <v/>
      </c>
      <c r="AZ14" s="159" t="str">
        <f>IF(ISNUMBER(AZ13),IF(COUNTIFS(JP_StartSel,DATE(Planungsjahr,3,AZ13),JP_ShowSel,TRUE)&gt;0,"S",IF(COUNTIF(Feiertage,DATE(Planungsjahr,3,AZ13))&gt;0,"h","")),"")</f>
        <v/>
      </c>
      <c r="BA14" s="159" t="str">
        <f>IF(ISNUMBER(AZ13),IF(COUNTIFS(JP_StartInhalt,DATE(Planungsjahr,3,AZ13),JP_ShowInhalt,TRUE)&gt;0,"I",IF(COUNTIF(Feiertage,DATE(Planungsjahr,3,AZ13))&gt;0,"h","")),"")</f>
        <v/>
      </c>
      <c r="BB14" s="159" t="str">
        <f>IF(ISNUMBER(AZ13),IF(COUNTIFS(JP_PAL,DATE(Planungsjahr,3,AZ13),JP_ShowPAL,TRUE)&gt;0,"P",IF(COUNTIF(Feiertage,DATE(Planungsjahr,3,AZ13))&gt;0,"h","")),"")</f>
        <v/>
      </c>
      <c r="BC14" s="159" t="str">
        <f>IF(ISNUMBER(BC13),IF(COUNTIFS(JP_StartSel,DATE(Planungsjahr,3,BC13),JP_ShowSel,TRUE)&gt;0,"S",IF(COUNTIF(Feiertage,DATE(Planungsjahr,3,BC13))&gt;0,"h","")),"")</f>
        <v/>
      </c>
      <c r="BD14" s="159" t="str">
        <f>IF(ISNUMBER(BC13),IF(COUNTIFS(JP_StartInhalt,DATE(Planungsjahr,3,BC13),JP_ShowInhalt,TRUE)&gt;0,"I",IF(COUNTIF(Feiertage,DATE(Planungsjahr,3,BC13))&gt;0,"h","")),"")</f>
        <v/>
      </c>
      <c r="BE14" s="159" t="str">
        <f>IF(ISNUMBER(BC13),IF(COUNTIFS(JP_PAL,DATE(Planungsjahr,3,BC13),JP_ShowPAL,TRUE)&gt;0,"P",IF(COUNTIF(Feiertage,DATE(Planungsjahr,3,BC13))&gt;0,"h","")),"")</f>
        <v/>
      </c>
      <c r="BF14" s="159" t="str">
        <f>IF(ISNUMBER(BF13),IF(COUNTIFS(JP_StartSel,DATE(Planungsjahr,3,BF13),JP_ShowSel,TRUE)&gt;0,"S",IF(COUNTIF(Feiertage,DATE(Planungsjahr,3,BF13))&gt;0,"h","")),"")</f>
        <v/>
      </c>
      <c r="BG14" s="159" t="str">
        <f>IF(ISNUMBER(BF13),IF(COUNTIFS(JP_StartInhalt,DATE(Planungsjahr,3,BF13),JP_ShowInhalt,TRUE)&gt;0,"I",IF(COUNTIF(Feiertage,DATE(Planungsjahr,3,BF13))&gt;0,"h","")),"")</f>
        <v/>
      </c>
      <c r="BH14" s="159" t="str">
        <f>IF(ISNUMBER(BF13),IF(COUNTIFS(JP_PAL,DATE(Planungsjahr,3,BF13),JP_ShowPAL,TRUE)&gt;0,"P",IF(COUNTIF(Feiertage,DATE(Planungsjahr,3,BF13))&gt;0,"h","")),"")</f>
        <v/>
      </c>
      <c r="BI14" s="159" t="str">
        <f>IF(ISNUMBER(BI13),IF(COUNTIFS(JP_StartSel,DATE(Planungsjahr,3,BI13),JP_ShowSel,TRUE)&gt;0,"S",IF(COUNTIF(Feiertage,DATE(Planungsjahr,3,BI13))&gt;0,"h","")),"")</f>
        <v/>
      </c>
      <c r="BJ14" s="159" t="str">
        <f>IF(ISNUMBER(BI13),IF(COUNTIFS(JP_StartInhalt,DATE(Planungsjahr,3,BI13),JP_ShowInhalt,TRUE)&gt;0,"I",IF(COUNTIF(Feiertage,DATE(Planungsjahr,3,BI13))&gt;0,"h","")),"")</f>
        <v/>
      </c>
      <c r="BK14" s="159" t="str">
        <f>IF(ISNUMBER(BI13),IF(COUNTIFS(JP_PAL,DATE(Planungsjahr,3,BI13),JP_ShowPAL,TRUE)&gt;0,"P",IF(COUNTIF(Feiertage,DATE(Planungsjahr,3,BI13))&gt;0,"h","")),"")</f>
        <v/>
      </c>
      <c r="BL14" s="159" t="str">
        <f>IF(ISNUMBER(BL13),IF(COUNTIFS(JP_StartSel,DATE(Planungsjahr,3,BL13),JP_ShowSel,TRUE)&gt;0,"S",IF(COUNTIF(Feiertage,DATE(Planungsjahr,3,BL13))&gt;0,"h","w")),"")</f>
        <v>w</v>
      </c>
      <c r="BM14" s="159" t="str">
        <f>IF(ISNUMBER(BL13),IF(COUNTIFS(JP_StartInhalt,DATE(Planungsjahr,3,BL13),JP_ShowInhalt,TRUE)&gt;0,"I",IF(COUNTIF(Feiertage,DATE(Planungsjahr,3,BL13))&gt;0,"h","w")),"")</f>
        <v>w</v>
      </c>
      <c r="BN14" s="159" t="str">
        <f>IF(ISNUMBER(BL13),IF(COUNTIFS(JP_PAL,DATE(Planungsjahr,3,BL13),JP_ShowPAL,TRUE)&gt;0,"P",IF(COUNTIF(Feiertage,DATE(Planungsjahr,3,BL13))&gt;0,"h","w")),"")</f>
        <v>w</v>
      </c>
      <c r="BO14" s="159" t="str">
        <f>IF(ISNUMBER(BO13),IF(COUNTIFS(JP_StartSel,DATE(Planungsjahr,3,BO13),JP_ShowSel,TRUE)&gt;0,"S",IF(COUNTIF(Feiertage,DATE(Planungsjahr,3,BO13))&gt;0,"h","w")),"")</f>
        <v>w</v>
      </c>
      <c r="BP14" s="159" t="str">
        <f>IF(ISNUMBER(BO13),IF(COUNTIFS(JP_StartInhalt,DATE(Planungsjahr,3,BO13),JP_ShowInhalt,TRUE)&gt;0,"I",IF(COUNTIF(Feiertage,DATE(Planungsjahr,3,BO13))&gt;0,"h","w")),"")</f>
        <v>w</v>
      </c>
      <c r="BQ14" s="180" t="str">
        <f>IF(ISNUMBER(BO13),IF(COUNTIFS(JP_PAL,DATE(Planungsjahr,3,BO13),JP_ShowPAL,TRUE)&gt;0,"P",IF(COUNTIF(Feiertage,DATE(Planungsjahr,3,BO13))&gt;0,"h","w")),"")</f>
        <v>w</v>
      </c>
      <c r="BS14" s="179"/>
      <c r="BT14" s="159" t="str">
        <f>IF(ISNUMBER(BT13),IF(COUNTIFS(JP_StartSel,DATE(Planungsjahr,4,BT13),JP_ShowSel,TRUE)&gt;0,"S",IF(COUNTIF(Feiertage,DATE(Planungsjahr,4,BT13))&gt;0,"h","")),"")</f>
        <v/>
      </c>
      <c r="BU14" s="159" t="str">
        <f>IF(ISNUMBER(BT13),IF(COUNTIFS(JP_StartInhalt,DATE(Planungsjahr,4,BT13),JP_ShowInhalt,TRUE)&gt;0,"I",IF(COUNTIF(Feiertage,DATE(Planungsjahr,4,BT13))&gt;0,"h","")),"")</f>
        <v/>
      </c>
      <c r="BV14" s="159" t="str">
        <f>IF(ISNUMBER(BT13),IF(COUNTIFS(JP_PAL,DATE(Planungsjahr,4,BT13),JP_ShowPAL,TRUE)&gt;0,"P",IF(COUNTIF(Feiertage,DATE(Planungsjahr,4,BT13))&gt;0,"h","")),"")</f>
        <v/>
      </c>
      <c r="BW14" s="159" t="str">
        <f>IF(ISNUMBER(BW13),IF(COUNTIFS(JP_StartSel,DATE(Planungsjahr,4,BW13),JP_ShowSel,TRUE)&gt;0,"S",IF(COUNTIF(Feiertage,DATE(Planungsjahr,4,BW13))&gt;0,"h","")),"")</f>
        <v/>
      </c>
      <c r="BX14" s="159" t="str">
        <f>IF(ISNUMBER(BW13),IF(COUNTIFS(JP_StartInhalt,DATE(Planungsjahr,4,BW13),JP_ShowInhalt,TRUE)&gt;0,"I",IF(COUNTIF(Feiertage,DATE(Planungsjahr,4,BW13))&gt;0,"h","")),"")</f>
        <v/>
      </c>
      <c r="BY14" s="159" t="str">
        <f>IF(ISNUMBER(BW13),IF(COUNTIFS(JP_PAL,DATE(Planungsjahr,4,BW13),JP_ShowPAL,TRUE)&gt;0,"P",IF(COUNTIF(Feiertage,DATE(Planungsjahr,4,BW13))&gt;0,"h","")),"")</f>
        <v/>
      </c>
      <c r="BZ14" s="159" t="str">
        <f>IF(ISNUMBER(BZ13),IF(COUNTIFS(JP_StartSel,DATE(Planungsjahr,4,BZ13),JP_ShowSel,TRUE)&gt;0,"S",IF(COUNTIF(Feiertage,DATE(Planungsjahr,4,BZ13))&gt;0,"h","")),"")</f>
        <v/>
      </c>
      <c r="CA14" s="159" t="str">
        <f>IF(ISNUMBER(BZ13),IF(COUNTIFS(JP_StartInhalt,DATE(Planungsjahr,4,BZ13),JP_ShowInhalt,TRUE)&gt;0,"I",IF(COUNTIF(Feiertage,DATE(Planungsjahr,4,BZ13))&gt;0,"h","")),"")</f>
        <v/>
      </c>
      <c r="CB14" s="159" t="str">
        <f>IF(ISNUMBER(BZ13),IF(COUNTIFS(JP_PAL,DATE(Planungsjahr,4,BZ13),JP_ShowPAL,TRUE)&gt;0,"P",IF(COUNTIF(Feiertage,DATE(Planungsjahr,4,BZ13))&gt;0,"h","")),"")</f>
        <v/>
      </c>
      <c r="CC14" s="159" t="str">
        <f>IF(ISNUMBER(CC13),IF(COUNTIFS(JP_StartSel,DATE(Planungsjahr,4,CC13),JP_ShowSel,TRUE)&gt;0,"S",IF(COUNTIF(Feiertage,DATE(Planungsjahr,4,CC13))&gt;0,"h","")),"")</f>
        <v/>
      </c>
      <c r="CD14" s="159" t="str">
        <f>IF(ISNUMBER(CC13),IF(COUNTIFS(JP_StartInhalt,DATE(Planungsjahr,4,CC13),JP_ShowInhalt,TRUE)&gt;0,"I",IF(COUNTIF(Feiertage,DATE(Planungsjahr,4,CC13))&gt;0,"h","")),"")</f>
        <v/>
      </c>
      <c r="CE14" s="159" t="str">
        <f>IF(ISNUMBER(CC13),IF(COUNTIFS(JP_PAL,DATE(Planungsjahr,4,CC13),JP_ShowPAL,TRUE)&gt;0,"P",IF(COUNTIF(Feiertage,DATE(Planungsjahr,4,CC13))&gt;0,"h","")),"")</f>
        <v/>
      </c>
      <c r="CF14" s="159" t="str">
        <f>IF(ISNUMBER(CF13),IF(COUNTIFS(JP_StartSel,DATE(Planungsjahr,4,CF13),JP_ShowSel,TRUE)&gt;0,"S",IF(COUNTIF(Feiertage,DATE(Planungsjahr,4,CF13))&gt;0,"h","")),"")</f>
        <v/>
      </c>
      <c r="CG14" s="159" t="str">
        <f>IF(ISNUMBER(CF13),IF(COUNTIFS(JP_StartInhalt,DATE(Planungsjahr,4,CF13),JP_ShowInhalt,TRUE)&gt;0,"I",IF(COUNTIF(Feiertage,DATE(Planungsjahr,4,CF13))&gt;0,"h","")),"")</f>
        <v/>
      </c>
      <c r="CH14" s="159" t="str">
        <f>IF(ISNUMBER(CF13),IF(COUNTIFS(JP_PAL,DATE(Planungsjahr,4,CF13),JP_ShowPAL,TRUE)&gt;0,"P",IF(COUNTIF(Feiertage,DATE(Planungsjahr,4,CF13))&gt;0,"h","")),"")</f>
        <v/>
      </c>
      <c r="CI14" s="159" t="str">
        <f>IF(ISNUMBER(CI13),IF(COUNTIFS(JP_StartSel,DATE(Planungsjahr,4,CI13),JP_ShowSel,TRUE)&gt;0,"S",IF(COUNTIF(Feiertage,DATE(Planungsjahr,4,CI13))&gt;0,"h","w")),"")</f>
        <v>w</v>
      </c>
      <c r="CJ14" s="159" t="str">
        <f>IF(ISNUMBER(CI13),IF(COUNTIFS(JP_StartInhalt,DATE(Planungsjahr,4,CI13),JP_ShowInhalt,TRUE)&gt;0,"I",IF(COUNTIF(Feiertage,DATE(Planungsjahr,4,CI13))&gt;0,"h","w")),"")</f>
        <v>w</v>
      </c>
      <c r="CK14" s="159" t="str">
        <f>IF(ISNUMBER(CI13),IF(COUNTIFS(JP_PAL,DATE(Planungsjahr,4,CI13),JP_ShowPAL,TRUE)&gt;0,"P",IF(COUNTIF(Feiertage,DATE(Planungsjahr,4,CI13))&gt;0,"h","w")),"")</f>
        <v>w</v>
      </c>
      <c r="CL14" s="159" t="str">
        <f>IF(ISNUMBER(CL13),IF(COUNTIFS(JP_StartSel,DATE(Planungsjahr,4,CL13),JP_ShowSel,TRUE)&gt;0,"S",IF(COUNTIF(Feiertage,DATE(Planungsjahr,4,CL13))&gt;0,"h","w")),"")</f>
        <v>S</v>
      </c>
      <c r="CM14" s="159" t="str">
        <f>IF(ISNUMBER(CL13),IF(COUNTIFS(JP_StartInhalt,DATE(Planungsjahr,4,CL13),JP_ShowInhalt,TRUE)&gt;0,"I",IF(COUNTIF(Feiertage,DATE(Planungsjahr,4,CL13))&gt;0,"h","w")),"")</f>
        <v>w</v>
      </c>
      <c r="CN14" s="180" t="str">
        <f>IF(ISNUMBER(CL13),IF(COUNTIFS(JP_PAL,DATE(Planungsjahr,4,CL13),JP_ShowPAL,TRUE)&gt;0,"P",IF(COUNTIF(Feiertage,DATE(Planungsjahr,4,CL13))&gt;0,"h","w")),"")</f>
        <v>w</v>
      </c>
    </row>
    <row r="15" spans="2:92" ht="15.95" customHeight="1" x14ac:dyDescent="0.25">
      <c r="B15" s="165">
        <f>IF(OR(ISNUMBER(C15),ISNUMBER(U15)),_xlfn.ISOWEEKNUM(DATE(Planungsjahr,1,1)-WEEKDAY(DATE(Planungsjahr,1,1),2)+8),"")</f>
        <v>1</v>
      </c>
      <c r="C15" s="188">
        <f>IF(MONTH(DATE(Planungsjahr,1,1)-WEEKDAY(DATE(Planungsjahr,1,1),2)+8)=1,DAY(DATE(Planungsjahr,1,1)-WEEKDAY(DATE(Planungsjahr,1,1),2)+8),"")</f>
        <v>4</v>
      </c>
      <c r="D15" s="188"/>
      <c r="E15" s="188"/>
      <c r="F15" s="188">
        <f>IF(MONTH(DATE(Planungsjahr,1,1)-WEEKDAY(DATE(Planungsjahr,1,1),2)+9)=1,DAY(DATE(Planungsjahr,1,1)-WEEKDAY(DATE(Planungsjahr,1,1),2)+9),"")</f>
        <v>5</v>
      </c>
      <c r="G15" s="188"/>
      <c r="H15" s="188"/>
      <c r="I15" s="188">
        <f>IF(MONTH(DATE(Planungsjahr,1,1)-WEEKDAY(DATE(Planungsjahr,1,1),2)+10)=1,DAY(DATE(Planungsjahr,1,1)-WEEKDAY(DATE(Planungsjahr,1,1),2)+10),"")</f>
        <v>6</v>
      </c>
      <c r="J15" s="188"/>
      <c r="K15" s="188"/>
      <c r="L15" s="188">
        <f>IF(MONTH(DATE(Planungsjahr,1,1)-WEEKDAY(DATE(Planungsjahr,1,1),2)+11)=1,DAY(DATE(Planungsjahr,1,1)-WEEKDAY(DATE(Planungsjahr,1,1),2)+11),"")</f>
        <v>7</v>
      </c>
      <c r="M15" s="188"/>
      <c r="N15" s="188"/>
      <c r="O15" s="188">
        <f>IF(MONTH(DATE(Planungsjahr,1,1)-WEEKDAY(DATE(Planungsjahr,1,1),2)+12)=1,DAY(DATE(Planungsjahr,1,1)-WEEKDAY(DATE(Planungsjahr,1,1),2)+12),"")</f>
        <v>8</v>
      </c>
      <c r="P15" s="188"/>
      <c r="Q15" s="188"/>
      <c r="R15" s="188">
        <f>IF(MONTH(DATE(Planungsjahr,1,1)-WEEKDAY(DATE(Planungsjahr,1,1),2)+13)=1,DAY(DATE(Planungsjahr,1,1)-WEEKDAY(DATE(Planungsjahr,1,1),2)+13),"")</f>
        <v>9</v>
      </c>
      <c r="S15" s="188"/>
      <c r="T15" s="188"/>
      <c r="U15" s="188">
        <f>IF(MONTH(DATE(Planungsjahr,1,1)-WEEKDAY(DATE(Planungsjahr,1,1),2)+14)=1,DAY(DATE(Planungsjahr,1,1)-WEEKDAY(DATE(Planungsjahr,1,1),2)+14),"")</f>
        <v>10</v>
      </c>
      <c r="V15" s="188"/>
      <c r="W15" s="189"/>
      <c r="Y15" s="177">
        <f>IF(OR(ISNUMBER(Z15),ISNUMBER(AR15)),_xlfn.ISOWEEKNUM(DATE(Planungsjahr,2,1)-WEEKDAY(DATE(Planungsjahr,2,1),2)+8),"")</f>
        <v>6</v>
      </c>
      <c r="Z15" s="188">
        <f>IF(MONTH(DATE(Planungsjahr,2,1)-WEEKDAY(DATE(Planungsjahr,2,1),2)+8)=2,DAY(DATE(Planungsjahr,2,1)-WEEKDAY(DATE(Planungsjahr,2,1),2)+8),"")</f>
        <v>8</v>
      </c>
      <c r="AA15" s="188"/>
      <c r="AB15" s="188"/>
      <c r="AC15" s="188">
        <f>IF(MONTH(DATE(Planungsjahr,2,1)-WEEKDAY(DATE(Planungsjahr,2,1),2)+9)=2,DAY(DATE(Planungsjahr,2,1)-WEEKDAY(DATE(Planungsjahr,2,1),2)+9),"")</f>
        <v>9</v>
      </c>
      <c r="AD15" s="188"/>
      <c r="AE15" s="188"/>
      <c r="AF15" s="188">
        <f>IF(MONTH(DATE(Planungsjahr,2,1)-WEEKDAY(DATE(Planungsjahr,2,1),2)+10)=2,DAY(DATE(Planungsjahr,2,1)-WEEKDAY(DATE(Planungsjahr,2,1),2)+10),"")</f>
        <v>10</v>
      </c>
      <c r="AG15" s="188"/>
      <c r="AH15" s="188"/>
      <c r="AI15" s="188">
        <f>IF(MONTH(DATE(Planungsjahr,2,1)-WEEKDAY(DATE(Planungsjahr,2,1),2)+11)=2,DAY(DATE(Planungsjahr,2,1)-WEEKDAY(DATE(Planungsjahr,2,1),2)+11),"")</f>
        <v>11</v>
      </c>
      <c r="AJ15" s="188"/>
      <c r="AK15" s="188"/>
      <c r="AL15" s="188">
        <f>IF(MONTH(DATE(Planungsjahr,2,1)-WEEKDAY(DATE(Planungsjahr,2,1),2)+12)=2,DAY(DATE(Planungsjahr,2,1)-WEEKDAY(DATE(Planungsjahr,2,1),2)+12),"")</f>
        <v>12</v>
      </c>
      <c r="AM15" s="188"/>
      <c r="AN15" s="188"/>
      <c r="AO15" s="188">
        <f>IF(MONTH(DATE(Planungsjahr,2,1)-WEEKDAY(DATE(Planungsjahr,2,1),2)+13)=2,DAY(DATE(Planungsjahr,2,1)-WEEKDAY(DATE(Planungsjahr,2,1),2)+13),"")</f>
        <v>13</v>
      </c>
      <c r="AP15" s="188"/>
      <c r="AQ15" s="188"/>
      <c r="AR15" s="188">
        <f>IF(MONTH(DATE(Planungsjahr,2,1)-WEEKDAY(DATE(Planungsjahr,2,1),2)+14)=2,DAY(DATE(Planungsjahr,2,1)-WEEKDAY(DATE(Planungsjahr,2,1),2)+14),"")</f>
        <v>14</v>
      </c>
      <c r="AS15" s="188"/>
      <c r="AT15" s="190"/>
      <c r="AV15" s="177">
        <f>IF(OR(ISNUMBER(AW15),ISNUMBER(BO15)),_xlfn.ISOWEEKNUM(DATE(Planungsjahr,3,1)-WEEKDAY(DATE(Planungsjahr,3,1),2)+8),"")</f>
        <v>10</v>
      </c>
      <c r="AW15" s="188">
        <f>IF(MONTH(DATE(Planungsjahr,3,1)-WEEKDAY(DATE(Planungsjahr,3,1),2)+8)=3,DAY(DATE(Planungsjahr,3,1)-WEEKDAY(DATE(Planungsjahr,3,1),2)+8),"")</f>
        <v>8</v>
      </c>
      <c r="AX15" s="188"/>
      <c r="AY15" s="188"/>
      <c r="AZ15" s="188">
        <f>IF(MONTH(DATE(Planungsjahr,3,1)-WEEKDAY(DATE(Planungsjahr,3,1),2)+9)=3,DAY(DATE(Planungsjahr,3,1)-WEEKDAY(DATE(Planungsjahr,3,1),2)+9),"")</f>
        <v>9</v>
      </c>
      <c r="BA15" s="188"/>
      <c r="BB15" s="188"/>
      <c r="BC15" s="188">
        <f>IF(MONTH(DATE(Planungsjahr,3,1)-WEEKDAY(DATE(Planungsjahr,3,1),2)+10)=3,DAY(DATE(Planungsjahr,3,1)-WEEKDAY(DATE(Planungsjahr,3,1),2)+10),"")</f>
        <v>10</v>
      </c>
      <c r="BD15" s="188"/>
      <c r="BE15" s="188"/>
      <c r="BF15" s="188">
        <f>IF(MONTH(DATE(Planungsjahr,3,1)-WEEKDAY(DATE(Planungsjahr,3,1),2)+11)=3,DAY(DATE(Planungsjahr,3,1)-WEEKDAY(DATE(Planungsjahr,3,1),2)+11),"")</f>
        <v>11</v>
      </c>
      <c r="BG15" s="188"/>
      <c r="BH15" s="188"/>
      <c r="BI15" s="188">
        <f>IF(MONTH(DATE(Planungsjahr,3,1)-WEEKDAY(DATE(Planungsjahr,3,1),2)+12)=3,DAY(DATE(Planungsjahr,3,1)-WEEKDAY(DATE(Planungsjahr,3,1),2)+12),"")</f>
        <v>12</v>
      </c>
      <c r="BJ15" s="188"/>
      <c r="BK15" s="188"/>
      <c r="BL15" s="188">
        <f>IF(MONTH(DATE(Planungsjahr,3,1)-WEEKDAY(DATE(Planungsjahr,3,1),2)+13)=3,DAY(DATE(Planungsjahr,3,1)-WEEKDAY(DATE(Planungsjahr,3,1),2)+13),"")</f>
        <v>13</v>
      </c>
      <c r="BM15" s="188"/>
      <c r="BN15" s="188"/>
      <c r="BO15" s="188">
        <f>IF(MONTH(DATE(Planungsjahr,3,1)-WEEKDAY(DATE(Planungsjahr,3,1),2)+14)=3,DAY(DATE(Planungsjahr,3,1)-WEEKDAY(DATE(Planungsjahr,3,1),2)+14),"")</f>
        <v>14</v>
      </c>
      <c r="BP15" s="188"/>
      <c r="BQ15" s="190"/>
      <c r="BS15" s="177">
        <f>IF(OR(ISNUMBER(BT15),ISNUMBER(CL15)),_xlfn.ISOWEEKNUM(DATE(Planungsjahr,4,1)-WEEKDAY(DATE(Planungsjahr,4,1),2)+8),"")</f>
        <v>14</v>
      </c>
      <c r="BT15" s="188">
        <f>IF(MONTH(DATE(Planungsjahr,4,1)-WEEKDAY(DATE(Planungsjahr,4,1),2)+8)=4,DAY(DATE(Planungsjahr,4,1)-WEEKDAY(DATE(Planungsjahr,4,1),2)+8),"")</f>
        <v>5</v>
      </c>
      <c r="BU15" s="188"/>
      <c r="BV15" s="188"/>
      <c r="BW15" s="188">
        <f>IF(MONTH(DATE(Planungsjahr,4,1)-WEEKDAY(DATE(Planungsjahr,4,1),2)+9)=4,DAY(DATE(Planungsjahr,4,1)-WEEKDAY(DATE(Planungsjahr,4,1),2)+9),"")</f>
        <v>6</v>
      </c>
      <c r="BX15" s="188"/>
      <c r="BY15" s="188"/>
      <c r="BZ15" s="188">
        <f>IF(MONTH(DATE(Planungsjahr,4,1)-WEEKDAY(DATE(Planungsjahr,4,1),2)+10)=4,DAY(DATE(Planungsjahr,4,1)-WEEKDAY(DATE(Planungsjahr,4,1),2)+10),"")</f>
        <v>7</v>
      </c>
      <c r="CA15" s="188"/>
      <c r="CB15" s="188"/>
      <c r="CC15" s="188">
        <f>IF(MONTH(DATE(Planungsjahr,4,1)-WEEKDAY(DATE(Planungsjahr,4,1),2)+11)=4,DAY(DATE(Planungsjahr,4,1)-WEEKDAY(DATE(Planungsjahr,4,1),2)+11),"")</f>
        <v>8</v>
      </c>
      <c r="CD15" s="188"/>
      <c r="CE15" s="188"/>
      <c r="CF15" s="188">
        <f>IF(MONTH(DATE(Planungsjahr,4,1)-WEEKDAY(DATE(Planungsjahr,4,1),2)+12)=4,DAY(DATE(Planungsjahr,4,1)-WEEKDAY(DATE(Planungsjahr,4,1),2)+12),"")</f>
        <v>9</v>
      </c>
      <c r="CG15" s="188"/>
      <c r="CH15" s="188"/>
      <c r="CI15" s="188">
        <f>IF(MONTH(DATE(Planungsjahr,4,1)-WEEKDAY(DATE(Planungsjahr,4,1),2)+13)=4,DAY(DATE(Planungsjahr,4,1)-WEEKDAY(DATE(Planungsjahr,4,1),2)+13),"")</f>
        <v>10</v>
      </c>
      <c r="CJ15" s="188"/>
      <c r="CK15" s="188"/>
      <c r="CL15" s="188">
        <f>IF(MONTH(DATE(Planungsjahr,4,1)-WEEKDAY(DATE(Planungsjahr,4,1),2)+14)=4,DAY(DATE(Planungsjahr,4,1)-WEEKDAY(DATE(Planungsjahr,4,1),2)+14),"")</f>
        <v>11</v>
      </c>
      <c r="CM15" s="188"/>
      <c r="CN15" s="190"/>
    </row>
    <row r="16" spans="2:92" ht="10.5" customHeight="1" x14ac:dyDescent="0.25">
      <c r="B16" s="167"/>
      <c r="C16" s="159" t="str">
        <f>IF(ISNUMBER(C15),IF(COUNTIFS(JP_StartSel,DATE(Planungsjahr,1,C15),JP_ShowSel,TRUE)&gt;0,"S",IF(COUNTIF(Feiertage,DATE(Planungsjahr,1,C15))&gt;0,"h","")),"")</f>
        <v/>
      </c>
      <c r="D16" s="159" t="str">
        <f>IF(ISNUMBER(C15),IF(COUNTIFS(JP_StartInhalt,DATE(Planungsjahr,1,C15),JP_ShowInhalt,TRUE)&gt;0,"I",IF(COUNTIF(Feiertage,DATE(Planungsjahr,1,C15))&gt;0,"h","")),"")</f>
        <v/>
      </c>
      <c r="E16" s="159" t="str">
        <f>IF(ISNUMBER(C15),IF(COUNTIFS(JP_PAL,DATE(Planungsjahr,1,C15),JP_ShowPAL,TRUE)&gt;0,"P",IF(COUNTIF(Feiertage,DATE(Planungsjahr,1,C15))&gt;0,"h","")),"")</f>
        <v/>
      </c>
      <c r="F16" s="159" t="str">
        <f>IF(ISNUMBER(F15),IF(COUNTIFS(JP_StartSel,DATE(Planungsjahr,1,F15),JP_ShowSel,TRUE)&gt;0,"S",IF(COUNTIF(Feiertage,DATE(Planungsjahr,1,F15))&gt;0,"h","")),"")</f>
        <v/>
      </c>
      <c r="G16" s="159" t="str">
        <f>IF(ISNUMBER(F15),IF(COUNTIFS(JP_StartInhalt,DATE(Planungsjahr,1,F15),JP_ShowInhalt,TRUE)&gt;0,"I",IF(COUNTIF(Feiertage,DATE(Planungsjahr,1,F15))&gt;0,"h","")),"")</f>
        <v/>
      </c>
      <c r="H16" s="159" t="str">
        <f>IF(ISNUMBER(F15),IF(COUNTIFS(JP_PAL,DATE(Planungsjahr,1,F15),JP_ShowPAL,TRUE)&gt;0,"P",IF(COUNTIF(Feiertage,DATE(Planungsjahr,1,F15))&gt;0,"h","")),"")</f>
        <v/>
      </c>
      <c r="I16" s="159" t="str">
        <f>IF(ISNUMBER(I15),IF(COUNTIFS(JP_StartSel,DATE(Planungsjahr,1,I15),JP_ShowSel,TRUE)&gt;0,"S",IF(COUNTIF(Feiertage,DATE(Planungsjahr,1,I15))&gt;0,"h","")),"")</f>
        <v/>
      </c>
      <c r="J16" s="159" t="str">
        <f>IF(ISNUMBER(I15),IF(COUNTIFS(JP_StartInhalt,DATE(Planungsjahr,1,I15),JP_ShowInhalt,TRUE)&gt;0,"I",IF(COUNTIF(Feiertage,DATE(Planungsjahr,1,I15))&gt;0,"h","")),"")</f>
        <v/>
      </c>
      <c r="K16" s="159" t="str">
        <f>IF(ISNUMBER(I15),IF(COUNTIFS(JP_PAL,DATE(Planungsjahr,1,I15),JP_ShowPAL,TRUE)&gt;0,"P",IF(COUNTIF(Feiertage,DATE(Planungsjahr,1,I15))&gt;0,"h","")),"")</f>
        <v/>
      </c>
      <c r="L16" s="159" t="str">
        <f>IF(ISNUMBER(L15),IF(COUNTIFS(JP_StartSel,DATE(Planungsjahr,1,L15),JP_ShowSel,TRUE)&gt;0,"S",IF(COUNTIF(Feiertage,DATE(Planungsjahr,1,L15))&gt;0,"h","")),"")</f>
        <v/>
      </c>
      <c r="M16" s="159" t="str">
        <f>IF(ISNUMBER(L15),IF(COUNTIFS(JP_StartInhalt,DATE(Planungsjahr,1,L15),JP_ShowInhalt,TRUE)&gt;0,"I",IF(COUNTIF(Feiertage,DATE(Planungsjahr,1,L15))&gt;0,"h","")),"")</f>
        <v/>
      </c>
      <c r="N16" s="159" t="str">
        <f>IF(ISNUMBER(L15),IF(COUNTIFS(JP_PAL,DATE(Planungsjahr,1,L15),JP_ShowPAL,TRUE)&gt;0,"P",IF(COUNTIF(Feiertage,DATE(Planungsjahr,1,L15))&gt;0,"h","")),"")</f>
        <v/>
      </c>
      <c r="O16" s="159" t="str">
        <f>IF(ISNUMBER(O15),IF(COUNTIFS(JP_StartSel,DATE(Planungsjahr,1,O15),JP_ShowSel,TRUE)&gt;0,"S",IF(COUNTIF(Feiertage,DATE(Planungsjahr,1,O15))&gt;0,"h","")),"")</f>
        <v/>
      </c>
      <c r="P16" s="159" t="str">
        <f>IF(ISNUMBER(O15),IF(COUNTIFS(JP_StartInhalt,DATE(Planungsjahr,1,O15),JP_ShowInhalt,TRUE)&gt;0,"I",IF(COUNTIF(Feiertage,DATE(Planungsjahr,1,O15))&gt;0,"h","")),"")</f>
        <v/>
      </c>
      <c r="Q16" s="159" t="str">
        <f>IF(ISNUMBER(O15),IF(COUNTIFS(JP_PAL,DATE(Planungsjahr,1,O15),JP_ShowPAL,TRUE)&gt;0,"P",IF(COUNTIF(Feiertage,DATE(Planungsjahr,1,O15))&gt;0,"h","")),"")</f>
        <v/>
      </c>
      <c r="R16" s="159" t="str">
        <f>IF(ISNUMBER(R15),IF(COUNTIFS(JP_StartSel,DATE(Planungsjahr,1,R15),JP_ShowSel,TRUE)&gt;0,"S",IF(COUNTIF(Feiertage,DATE(Planungsjahr,1,R15))&gt;0,"h","w")),"")</f>
        <v>w</v>
      </c>
      <c r="S16" s="159" t="str">
        <f>IF(ISNUMBER(R15),IF(COUNTIFS(JP_StartInhalt,DATE(Planungsjahr,1,R15),JP_ShowInhalt,TRUE)&gt;0,"I",IF(COUNTIF(Feiertage,DATE(Planungsjahr,1,R15))&gt;0,"h","w")),"")</f>
        <v>w</v>
      </c>
      <c r="T16" s="159" t="str">
        <f>IF(ISNUMBER(R15),IF(COUNTIFS(JP_PAL,DATE(Planungsjahr,1,R15),JP_ShowPAL,TRUE)&gt;0,"P",IF(COUNTIF(Feiertage,DATE(Planungsjahr,1,R15))&gt;0,"h","w")),"")</f>
        <v>w</v>
      </c>
      <c r="U16" s="159" t="str">
        <f>IF(ISNUMBER(U15),IF(COUNTIFS(JP_StartSel,DATE(Planungsjahr,1,U15),JP_ShowSel,TRUE)&gt;0,"S",IF(COUNTIF(Feiertage,DATE(Planungsjahr,1,U15))&gt;0,"h","w")),"")</f>
        <v>w</v>
      </c>
      <c r="V16" s="159" t="str">
        <f>IF(ISNUMBER(U15),IF(COUNTIFS(JP_StartInhalt,DATE(Planungsjahr,1,U15),JP_ShowInhalt,TRUE)&gt;0,"I",IF(COUNTIF(Feiertage,DATE(Planungsjahr,1,U15))&gt;0,"h","w")),"")</f>
        <v>w</v>
      </c>
      <c r="W16" s="168" t="str">
        <f>IF(ISNUMBER(U15),IF(COUNTIFS(JP_PAL,DATE(Planungsjahr,1,U15),JP_ShowPAL,TRUE)&gt;0,"P",IF(COUNTIF(Feiertage,DATE(Planungsjahr,1,U15))&gt;0,"h","w")),"")</f>
        <v>w</v>
      </c>
      <c r="Y16" s="179"/>
      <c r="Z16" s="159" t="str">
        <f>IF(ISNUMBER(Z15),IF(COUNTIFS(JP_StartSel,DATE(Planungsjahr,2,Z15),JP_ShowSel,TRUE)&gt;0,"S",IF(COUNTIF(Feiertage,DATE(Planungsjahr,2,Z15))&gt;0,"h","")),"")</f>
        <v/>
      </c>
      <c r="AA16" s="159" t="str">
        <f>IF(ISNUMBER(Z15),IF(COUNTIFS(JP_StartInhalt,DATE(Planungsjahr,2,Z15),JP_ShowInhalt,TRUE)&gt;0,"I",IF(COUNTIF(Feiertage,DATE(Planungsjahr,2,Z15))&gt;0,"h","")),"")</f>
        <v/>
      </c>
      <c r="AB16" s="159" t="str">
        <f>IF(ISNUMBER(Z15),IF(COUNTIFS(JP_PAL,DATE(Planungsjahr,2,Z15),JP_ShowPAL,TRUE)&gt;0,"P",IF(COUNTIF(Feiertage,DATE(Planungsjahr,2,Z15))&gt;0,"h","")),"")</f>
        <v/>
      </c>
      <c r="AC16" s="159" t="str">
        <f>IF(ISNUMBER(AC15),IF(COUNTIFS(JP_StartSel,DATE(Planungsjahr,2,AC15),JP_ShowSel,TRUE)&gt;0,"S",IF(COUNTIF(Feiertage,DATE(Planungsjahr,2,AC15))&gt;0,"h","")),"")</f>
        <v/>
      </c>
      <c r="AD16" s="159" t="str">
        <f>IF(ISNUMBER(AC15),IF(COUNTIFS(JP_StartInhalt,DATE(Planungsjahr,2,AC15),JP_ShowInhalt,TRUE)&gt;0,"I",IF(COUNTIF(Feiertage,DATE(Planungsjahr,2,AC15))&gt;0,"h","")),"")</f>
        <v/>
      </c>
      <c r="AE16" s="159" t="str">
        <f>IF(ISNUMBER(AC15),IF(COUNTIFS(JP_PAL,DATE(Planungsjahr,2,AC15),JP_ShowPAL,TRUE)&gt;0,"P",IF(COUNTIF(Feiertage,DATE(Planungsjahr,2,AC15))&gt;0,"h","")),"")</f>
        <v/>
      </c>
      <c r="AF16" s="159" t="str">
        <f>IF(ISNUMBER(AF15),IF(COUNTIFS(JP_StartSel,DATE(Planungsjahr,2,AF15),JP_ShowSel,TRUE)&gt;0,"S",IF(COUNTIF(Feiertage,DATE(Planungsjahr,2,AF15))&gt;0,"h","")),"")</f>
        <v/>
      </c>
      <c r="AG16" s="159" t="str">
        <f>IF(ISNUMBER(AF15),IF(COUNTIFS(JP_StartInhalt,DATE(Planungsjahr,2,AF15),JP_ShowInhalt,TRUE)&gt;0,"I",IF(COUNTIF(Feiertage,DATE(Planungsjahr,2,AF15))&gt;0,"h","")),"")</f>
        <v/>
      </c>
      <c r="AH16" s="159" t="str">
        <f>IF(ISNUMBER(AF15),IF(COUNTIFS(JP_PAL,DATE(Planungsjahr,2,AF15),JP_ShowPAL,TRUE)&gt;0,"P",IF(COUNTIF(Feiertage,DATE(Planungsjahr,2,AF15))&gt;0,"h","")),"")</f>
        <v/>
      </c>
      <c r="AI16" s="159" t="str">
        <f>IF(ISNUMBER(AI15),IF(COUNTIFS(JP_StartSel,DATE(Planungsjahr,2,AI15),JP_ShowSel,TRUE)&gt;0,"S",IF(COUNTIF(Feiertage,DATE(Planungsjahr,2,AI15))&gt;0,"h","")),"")</f>
        <v/>
      </c>
      <c r="AJ16" s="159" t="str">
        <f>IF(ISNUMBER(AI15),IF(COUNTIFS(JP_StartInhalt,DATE(Planungsjahr,2,AI15),JP_ShowInhalt,TRUE)&gt;0,"I",IF(COUNTIF(Feiertage,DATE(Planungsjahr,2,AI15))&gt;0,"h","")),"")</f>
        <v/>
      </c>
      <c r="AK16" s="159" t="str">
        <f>IF(ISNUMBER(AI15),IF(COUNTIFS(JP_PAL,DATE(Planungsjahr,2,AI15),JP_ShowPAL,TRUE)&gt;0,"P",IF(COUNTIF(Feiertage,DATE(Planungsjahr,2,AI15))&gt;0,"h","")),"")</f>
        <v/>
      </c>
      <c r="AL16" s="159" t="str">
        <f>IF(ISNUMBER(AL15),IF(COUNTIFS(JP_StartSel,DATE(Planungsjahr,2,AL15),JP_ShowSel,TRUE)&gt;0,"S",IF(COUNTIF(Feiertage,DATE(Planungsjahr,2,AL15))&gt;0,"h","")),"")</f>
        <v/>
      </c>
      <c r="AM16" s="159" t="str">
        <f>IF(ISNUMBER(AL15),IF(COUNTIFS(JP_StartInhalt,DATE(Planungsjahr,2,AL15),JP_ShowInhalt,TRUE)&gt;0,"I",IF(COUNTIF(Feiertage,DATE(Planungsjahr,2,AL15))&gt;0,"h","")),"")</f>
        <v>I</v>
      </c>
      <c r="AN16" s="159" t="str">
        <f>IF(ISNUMBER(AL15),IF(COUNTIFS(JP_PAL,DATE(Planungsjahr,2,AL15),JP_ShowPAL,TRUE)&gt;0,"P",IF(COUNTIF(Feiertage,DATE(Planungsjahr,2,AL15))&gt;0,"h","")),"")</f>
        <v/>
      </c>
      <c r="AO16" s="159" t="str">
        <f>IF(ISNUMBER(AO15),IF(COUNTIFS(JP_StartSel,DATE(Planungsjahr,2,AO15),JP_ShowSel,TRUE)&gt;0,"S",IF(COUNTIF(Feiertage,DATE(Planungsjahr,2,AO15))&gt;0,"h","w")),"")</f>
        <v>w</v>
      </c>
      <c r="AP16" s="159" t="str">
        <f>IF(ISNUMBER(AO15),IF(COUNTIFS(JP_StartInhalt,DATE(Planungsjahr,2,AO15),JP_ShowInhalt,TRUE)&gt;0,"I",IF(COUNTIF(Feiertage,DATE(Planungsjahr,2,AO15))&gt;0,"h","w")),"")</f>
        <v>w</v>
      </c>
      <c r="AQ16" s="159" t="str">
        <f>IF(ISNUMBER(AO15),IF(COUNTIFS(JP_PAL,DATE(Planungsjahr,2,AO15),JP_ShowPAL,TRUE)&gt;0,"P",IF(COUNTIF(Feiertage,DATE(Planungsjahr,2,AO15))&gt;0,"h","w")),"")</f>
        <v>w</v>
      </c>
      <c r="AR16" s="159" t="str">
        <f>IF(ISNUMBER(AR15),IF(COUNTIFS(JP_StartSel,DATE(Planungsjahr,2,AR15),JP_ShowSel,TRUE)&gt;0,"S",IF(COUNTIF(Feiertage,DATE(Planungsjahr,2,AR15))&gt;0,"h","w")),"")</f>
        <v>w</v>
      </c>
      <c r="AS16" s="159" t="str">
        <f>IF(ISNUMBER(AR15),IF(COUNTIFS(JP_StartInhalt,DATE(Planungsjahr,2,AR15),JP_ShowInhalt,TRUE)&gt;0,"I",IF(COUNTIF(Feiertage,DATE(Planungsjahr,2,AR15))&gt;0,"h","w")),"")</f>
        <v>w</v>
      </c>
      <c r="AT16" s="180" t="str">
        <f>IF(ISNUMBER(AR15),IF(COUNTIFS(JP_PAL,DATE(Planungsjahr,2,AR15),JP_ShowPAL,TRUE)&gt;0,"P",IF(COUNTIF(Feiertage,DATE(Planungsjahr,2,AR15))&gt;0,"h","w")),"")</f>
        <v>w</v>
      </c>
      <c r="AV16" s="179"/>
      <c r="AW16" s="159" t="str">
        <f>IF(ISNUMBER(AW15),IF(COUNTIFS(JP_StartSel,DATE(Planungsjahr,3,AW15),JP_ShowSel,TRUE)&gt;0,"S",IF(COUNTIF(Feiertage,DATE(Planungsjahr,3,AW15))&gt;0,"h","")),"")</f>
        <v/>
      </c>
      <c r="AX16" s="159" t="str">
        <f>IF(ISNUMBER(AW15),IF(COUNTIFS(JP_StartInhalt,DATE(Planungsjahr,3,AW15),JP_ShowInhalt,TRUE)&gt;0,"I",IF(COUNTIF(Feiertage,DATE(Planungsjahr,3,AW15))&gt;0,"h","")),"")</f>
        <v/>
      </c>
      <c r="AY16" s="159" t="str">
        <f>IF(ISNUMBER(AW15),IF(COUNTIFS(JP_PAL,DATE(Planungsjahr,3,AW15),JP_ShowPAL,TRUE)&gt;0,"P",IF(COUNTIF(Feiertage,DATE(Planungsjahr,3,AW15))&gt;0,"h","")),"")</f>
        <v/>
      </c>
      <c r="AZ16" s="159" t="str">
        <f>IF(ISNUMBER(AZ15),IF(COUNTIFS(JP_StartSel,DATE(Planungsjahr,3,AZ15),JP_ShowSel,TRUE)&gt;0,"S",IF(COUNTIF(Feiertage,DATE(Planungsjahr,3,AZ15))&gt;0,"h","")),"")</f>
        <v/>
      </c>
      <c r="BA16" s="159" t="str">
        <f>IF(ISNUMBER(AZ15),IF(COUNTIFS(JP_StartInhalt,DATE(Planungsjahr,3,AZ15),JP_ShowInhalt,TRUE)&gt;0,"I",IF(COUNTIF(Feiertage,DATE(Planungsjahr,3,AZ15))&gt;0,"h","")),"")</f>
        <v/>
      </c>
      <c r="BB16" s="159" t="str">
        <f>IF(ISNUMBER(AZ15),IF(COUNTIFS(JP_PAL,DATE(Planungsjahr,3,AZ15),JP_ShowPAL,TRUE)&gt;0,"P",IF(COUNTIF(Feiertage,DATE(Planungsjahr,3,AZ15))&gt;0,"h","")),"")</f>
        <v/>
      </c>
      <c r="BC16" s="159" t="str">
        <f>IF(ISNUMBER(BC15),IF(COUNTIFS(JP_StartSel,DATE(Planungsjahr,3,BC15),JP_ShowSel,TRUE)&gt;0,"S",IF(COUNTIF(Feiertage,DATE(Planungsjahr,3,BC15))&gt;0,"h","")),"")</f>
        <v/>
      </c>
      <c r="BD16" s="159" t="str">
        <f>IF(ISNUMBER(BC15),IF(COUNTIFS(JP_StartInhalt,DATE(Planungsjahr,3,BC15),JP_ShowInhalt,TRUE)&gt;0,"I",IF(COUNTIF(Feiertage,DATE(Planungsjahr,3,BC15))&gt;0,"h","")),"")</f>
        <v/>
      </c>
      <c r="BE16" s="159" t="str">
        <f>IF(ISNUMBER(BC15),IF(COUNTIFS(JP_PAL,DATE(Planungsjahr,3,BC15),JP_ShowPAL,TRUE)&gt;0,"P",IF(COUNTIF(Feiertage,DATE(Planungsjahr,3,BC15))&gt;0,"h","")),"")</f>
        <v/>
      </c>
      <c r="BF16" s="159" t="str">
        <f>IF(ISNUMBER(BF15),IF(COUNTIFS(JP_StartSel,DATE(Planungsjahr,3,BF15),JP_ShowSel,TRUE)&gt;0,"S",IF(COUNTIF(Feiertage,DATE(Planungsjahr,3,BF15))&gt;0,"h","")),"")</f>
        <v/>
      </c>
      <c r="BG16" s="159" t="str">
        <f>IF(ISNUMBER(BF15),IF(COUNTIFS(JP_StartInhalt,DATE(Planungsjahr,3,BF15),JP_ShowInhalt,TRUE)&gt;0,"I",IF(COUNTIF(Feiertage,DATE(Planungsjahr,3,BF15))&gt;0,"h","")),"")</f>
        <v/>
      </c>
      <c r="BH16" s="159" t="str">
        <f>IF(ISNUMBER(BF15),IF(COUNTIFS(JP_PAL,DATE(Planungsjahr,3,BF15),JP_ShowPAL,TRUE)&gt;0,"P",IF(COUNTIF(Feiertage,DATE(Planungsjahr,3,BF15))&gt;0,"h","")),"")</f>
        <v/>
      </c>
      <c r="BI16" s="159" t="str">
        <f>IF(ISNUMBER(BI15),IF(COUNTIFS(JP_StartSel,DATE(Planungsjahr,3,BI15),JP_ShowSel,TRUE)&gt;0,"S",IF(COUNTIF(Feiertage,DATE(Planungsjahr,3,BI15))&gt;0,"h","")),"")</f>
        <v/>
      </c>
      <c r="BJ16" s="159" t="str">
        <f>IF(ISNUMBER(BI15),IF(COUNTIFS(JP_StartInhalt,DATE(Planungsjahr,3,BI15),JP_ShowInhalt,TRUE)&gt;0,"I",IF(COUNTIF(Feiertage,DATE(Planungsjahr,3,BI15))&gt;0,"h","")),"")</f>
        <v/>
      </c>
      <c r="BK16" s="159" t="str">
        <f>IF(ISNUMBER(BI15),IF(COUNTIFS(JP_PAL,DATE(Planungsjahr,3,BI15),JP_ShowPAL,TRUE)&gt;0,"P",IF(COUNTIF(Feiertage,DATE(Planungsjahr,3,BI15))&gt;0,"h","")),"")</f>
        <v/>
      </c>
      <c r="BL16" s="159" t="str">
        <f>IF(ISNUMBER(BL15),IF(COUNTIFS(JP_StartSel,DATE(Planungsjahr,3,BL15),JP_ShowSel,TRUE)&gt;0,"S",IF(COUNTIF(Feiertage,DATE(Planungsjahr,3,BL15))&gt;0,"h","w")),"")</f>
        <v>w</v>
      </c>
      <c r="BM16" s="159" t="str">
        <f>IF(ISNUMBER(BL15),IF(COUNTIFS(JP_StartInhalt,DATE(Planungsjahr,3,BL15),JP_ShowInhalt,TRUE)&gt;0,"I",IF(COUNTIF(Feiertage,DATE(Planungsjahr,3,BL15))&gt;0,"h","w")),"")</f>
        <v>w</v>
      </c>
      <c r="BN16" s="159" t="str">
        <f>IF(ISNUMBER(BL15),IF(COUNTIFS(JP_PAL,DATE(Planungsjahr,3,BL15),JP_ShowPAL,TRUE)&gt;0,"P",IF(COUNTIF(Feiertage,DATE(Planungsjahr,3,BL15))&gt;0,"h","w")),"")</f>
        <v>w</v>
      </c>
      <c r="BO16" s="159" t="str">
        <f>IF(ISNUMBER(BO15),IF(COUNTIFS(JP_StartSel,DATE(Planungsjahr,3,BO15),JP_ShowSel,TRUE)&gt;0,"S",IF(COUNTIF(Feiertage,DATE(Planungsjahr,3,BO15))&gt;0,"h","w")),"")</f>
        <v>w</v>
      </c>
      <c r="BP16" s="159" t="str">
        <f>IF(ISNUMBER(BO15),IF(COUNTIFS(JP_StartInhalt,DATE(Planungsjahr,3,BO15),JP_ShowInhalt,TRUE)&gt;0,"I",IF(COUNTIF(Feiertage,DATE(Planungsjahr,3,BO15))&gt;0,"h","w")),"")</f>
        <v>w</v>
      </c>
      <c r="BQ16" s="180" t="str">
        <f>IF(ISNUMBER(BO15),IF(COUNTIFS(JP_PAL,DATE(Planungsjahr,3,BO15),JP_ShowPAL,TRUE)&gt;0,"P",IF(COUNTIF(Feiertage,DATE(Planungsjahr,3,BO15))&gt;0,"h","w")),"")</f>
        <v>w</v>
      </c>
      <c r="BS16" s="179"/>
      <c r="BT16" s="159" t="str">
        <f>IF(ISNUMBER(BT15),IF(COUNTIFS(JP_StartSel,DATE(Planungsjahr,4,BT15),JP_ShowSel,TRUE)&gt;0,"S",IF(COUNTIF(Feiertage,DATE(Planungsjahr,4,BT15))&gt;0,"h","")),"")</f>
        <v/>
      </c>
      <c r="BU16" s="159" t="str">
        <f>IF(ISNUMBER(BT15),IF(COUNTIFS(JP_StartInhalt,DATE(Planungsjahr,4,BT15),JP_ShowInhalt,TRUE)&gt;0,"I",IF(COUNTIF(Feiertage,DATE(Planungsjahr,4,BT15))&gt;0,"h","")),"")</f>
        <v/>
      </c>
      <c r="BV16" s="159" t="str">
        <f>IF(ISNUMBER(BT15),IF(COUNTIFS(JP_PAL,DATE(Planungsjahr,4,BT15),JP_ShowPAL,TRUE)&gt;0,"P",IF(COUNTIF(Feiertage,DATE(Planungsjahr,4,BT15))&gt;0,"h","")),"")</f>
        <v/>
      </c>
      <c r="BW16" s="159" t="str">
        <f>IF(ISNUMBER(BW15),IF(COUNTIFS(JP_StartSel,DATE(Planungsjahr,4,BW15),JP_ShowSel,TRUE)&gt;0,"S",IF(COUNTIF(Feiertage,DATE(Planungsjahr,4,BW15))&gt;0,"h","")),"")</f>
        <v/>
      </c>
      <c r="BX16" s="159" t="str">
        <f>IF(ISNUMBER(BW15),IF(COUNTIFS(JP_StartInhalt,DATE(Planungsjahr,4,BW15),JP_ShowInhalt,TRUE)&gt;0,"I",IF(COUNTIF(Feiertage,DATE(Planungsjahr,4,BW15))&gt;0,"h","")),"")</f>
        <v/>
      </c>
      <c r="BY16" s="159" t="str">
        <f>IF(ISNUMBER(BW15),IF(COUNTIFS(JP_PAL,DATE(Planungsjahr,4,BW15),JP_ShowPAL,TRUE)&gt;0,"P",IF(COUNTIF(Feiertage,DATE(Planungsjahr,4,BW15))&gt;0,"h","")),"")</f>
        <v/>
      </c>
      <c r="BZ16" s="159" t="str">
        <f>IF(ISNUMBER(BZ15),IF(COUNTIFS(JP_StartSel,DATE(Planungsjahr,4,BZ15),JP_ShowSel,TRUE)&gt;0,"S",IF(COUNTIF(Feiertage,DATE(Planungsjahr,4,BZ15))&gt;0,"h","")),"")</f>
        <v/>
      </c>
      <c r="CA16" s="159" t="str">
        <f>IF(ISNUMBER(BZ15),IF(COUNTIFS(JP_StartInhalt,DATE(Planungsjahr,4,BZ15),JP_ShowInhalt,TRUE)&gt;0,"I",IF(COUNTIF(Feiertage,DATE(Planungsjahr,4,BZ15))&gt;0,"h","")),"")</f>
        <v/>
      </c>
      <c r="CB16" s="159" t="str">
        <f>IF(ISNUMBER(BZ15),IF(COUNTIFS(JP_PAL,DATE(Planungsjahr,4,BZ15),JP_ShowPAL,TRUE)&gt;0,"P",IF(COUNTIF(Feiertage,DATE(Planungsjahr,4,BZ15))&gt;0,"h","")),"")</f>
        <v/>
      </c>
      <c r="CC16" s="159" t="str">
        <f>IF(ISNUMBER(CC15),IF(COUNTIFS(JP_StartSel,DATE(Planungsjahr,4,CC15),JP_ShowSel,TRUE)&gt;0,"S",IF(COUNTIF(Feiertage,DATE(Planungsjahr,4,CC15))&gt;0,"h","")),"")</f>
        <v/>
      </c>
      <c r="CD16" s="159" t="str">
        <f>IF(ISNUMBER(CC15),IF(COUNTIFS(JP_StartInhalt,DATE(Planungsjahr,4,CC15),JP_ShowInhalt,TRUE)&gt;0,"I",IF(COUNTIF(Feiertage,DATE(Planungsjahr,4,CC15))&gt;0,"h","")),"")</f>
        <v/>
      </c>
      <c r="CE16" s="159" t="str">
        <f>IF(ISNUMBER(CC15),IF(COUNTIFS(JP_PAL,DATE(Planungsjahr,4,CC15),JP_ShowPAL,TRUE)&gt;0,"P",IF(COUNTIF(Feiertage,DATE(Planungsjahr,4,CC15))&gt;0,"h","")),"")</f>
        <v/>
      </c>
      <c r="CF16" s="159" t="str">
        <f>IF(ISNUMBER(CF15),IF(COUNTIFS(JP_StartSel,DATE(Planungsjahr,4,CF15),JP_ShowSel,TRUE)&gt;0,"S",IF(COUNTIF(Feiertage,DATE(Planungsjahr,4,CF15))&gt;0,"h","")),"")</f>
        <v/>
      </c>
      <c r="CG16" s="159" t="str">
        <f>IF(ISNUMBER(CF15),IF(COUNTIFS(JP_StartInhalt,DATE(Planungsjahr,4,CF15),JP_ShowInhalt,TRUE)&gt;0,"I",IF(COUNTIF(Feiertage,DATE(Planungsjahr,4,CF15))&gt;0,"h","")),"")</f>
        <v/>
      </c>
      <c r="CH16" s="159" t="str">
        <f>IF(ISNUMBER(CF15),IF(COUNTIFS(JP_PAL,DATE(Planungsjahr,4,CF15),JP_ShowPAL,TRUE)&gt;0,"P",IF(COUNTIF(Feiertage,DATE(Planungsjahr,4,CF15))&gt;0,"h","")),"")</f>
        <v/>
      </c>
      <c r="CI16" s="159" t="str">
        <f>IF(ISNUMBER(CI15),IF(COUNTIFS(JP_StartSel,DATE(Planungsjahr,4,CI15),JP_ShowSel,TRUE)&gt;0,"S",IF(COUNTIF(Feiertage,DATE(Planungsjahr,4,CI15))&gt;0,"h","w")),"")</f>
        <v>w</v>
      </c>
      <c r="CJ16" s="159" t="str">
        <f>IF(ISNUMBER(CI15),IF(COUNTIFS(JP_StartInhalt,DATE(Planungsjahr,4,CI15),JP_ShowInhalt,TRUE)&gt;0,"I",IF(COUNTIF(Feiertage,DATE(Planungsjahr,4,CI15))&gt;0,"h","w")),"")</f>
        <v>w</v>
      </c>
      <c r="CK16" s="159" t="str">
        <f>IF(ISNUMBER(CI15),IF(COUNTIFS(JP_PAL,DATE(Planungsjahr,4,CI15),JP_ShowPAL,TRUE)&gt;0,"P",IF(COUNTIF(Feiertage,DATE(Planungsjahr,4,CI15))&gt;0,"h","w")),"")</f>
        <v>w</v>
      </c>
      <c r="CL16" s="159" t="str">
        <f>IF(ISNUMBER(CL15),IF(COUNTIFS(JP_StartSel,DATE(Planungsjahr,4,CL15),JP_ShowSel,TRUE)&gt;0,"S",IF(COUNTIF(Feiertage,DATE(Planungsjahr,4,CL15))&gt;0,"h","w")),"")</f>
        <v>w</v>
      </c>
      <c r="CM16" s="159" t="str">
        <f>IF(ISNUMBER(CL15),IF(COUNTIFS(JP_StartInhalt,DATE(Planungsjahr,4,CL15),JP_ShowInhalt,TRUE)&gt;0,"I",IF(COUNTIF(Feiertage,DATE(Planungsjahr,4,CL15))&gt;0,"h","w")),"")</f>
        <v>w</v>
      </c>
      <c r="CN16" s="180" t="str">
        <f>IF(ISNUMBER(CL15),IF(COUNTIFS(JP_PAL,DATE(Planungsjahr,4,CL15),JP_ShowPAL,TRUE)&gt;0,"P",IF(COUNTIF(Feiertage,DATE(Planungsjahr,4,CL15))&gt;0,"h","w")),"")</f>
        <v>w</v>
      </c>
    </row>
    <row r="17" spans="2:92" ht="15.95" customHeight="1" x14ac:dyDescent="0.25">
      <c r="B17" s="165">
        <f>IF(OR(ISNUMBER(C17),ISNUMBER(U17)),_xlfn.ISOWEEKNUM(DATE(Planungsjahr,1,1)-WEEKDAY(DATE(Planungsjahr,1,1),2)+15),"")</f>
        <v>2</v>
      </c>
      <c r="C17" s="188">
        <f>IF(MONTH(DATE(Planungsjahr,1,1)-WEEKDAY(DATE(Planungsjahr,1,1),2)+15)=1,DAY(DATE(Planungsjahr,1,1)-WEEKDAY(DATE(Planungsjahr,1,1),2)+15),"")</f>
        <v>11</v>
      </c>
      <c r="D17" s="188"/>
      <c r="E17" s="188"/>
      <c r="F17" s="188">
        <f>IF(MONTH(DATE(Planungsjahr,1,1)-WEEKDAY(DATE(Planungsjahr,1,1),2)+16)=1,DAY(DATE(Planungsjahr,1,1)-WEEKDAY(DATE(Planungsjahr,1,1),2)+16),"")</f>
        <v>12</v>
      </c>
      <c r="G17" s="188"/>
      <c r="H17" s="188"/>
      <c r="I17" s="188">
        <f>IF(MONTH(DATE(Planungsjahr,1,1)-WEEKDAY(DATE(Planungsjahr,1,1),2)+17)=1,DAY(DATE(Planungsjahr,1,1)-WEEKDAY(DATE(Planungsjahr,1,1),2)+17),"")</f>
        <v>13</v>
      </c>
      <c r="J17" s="188"/>
      <c r="K17" s="188"/>
      <c r="L17" s="188">
        <f>IF(MONTH(DATE(Planungsjahr,1,1)-WEEKDAY(DATE(Planungsjahr,1,1),2)+18)=1,DAY(DATE(Planungsjahr,1,1)-WEEKDAY(DATE(Planungsjahr,1,1),2)+18),"")</f>
        <v>14</v>
      </c>
      <c r="M17" s="188"/>
      <c r="N17" s="188"/>
      <c r="O17" s="188">
        <f>IF(MONTH(DATE(Planungsjahr,1,1)-WEEKDAY(DATE(Planungsjahr,1,1),2)+19)=1,DAY(DATE(Planungsjahr,1,1)-WEEKDAY(DATE(Planungsjahr,1,1),2)+19),"")</f>
        <v>15</v>
      </c>
      <c r="P17" s="188"/>
      <c r="Q17" s="188"/>
      <c r="R17" s="188">
        <f>IF(MONTH(DATE(Planungsjahr,1,1)-WEEKDAY(DATE(Planungsjahr,1,1),2)+20)=1,DAY(DATE(Planungsjahr,1,1)-WEEKDAY(DATE(Planungsjahr,1,1),2)+20),"")</f>
        <v>16</v>
      </c>
      <c r="S17" s="188"/>
      <c r="T17" s="188"/>
      <c r="U17" s="188">
        <f>IF(MONTH(DATE(Planungsjahr,1,1)-WEEKDAY(DATE(Planungsjahr,1,1),2)+21)=1,DAY(DATE(Planungsjahr,1,1)-WEEKDAY(DATE(Planungsjahr,1,1),2)+21),"")</f>
        <v>17</v>
      </c>
      <c r="V17" s="188"/>
      <c r="W17" s="189"/>
      <c r="Y17" s="177">
        <f>IF(OR(ISNUMBER(Z17),ISNUMBER(AR17)),_xlfn.ISOWEEKNUM(DATE(Planungsjahr,2,1)-WEEKDAY(DATE(Planungsjahr,2,1),2)+15),"")</f>
        <v>7</v>
      </c>
      <c r="Z17" s="188">
        <f>IF(MONTH(DATE(Planungsjahr,2,1)-WEEKDAY(DATE(Planungsjahr,2,1),2)+15)=2,DAY(DATE(Planungsjahr,2,1)-WEEKDAY(DATE(Planungsjahr,2,1),2)+15),"")</f>
        <v>15</v>
      </c>
      <c r="AA17" s="188"/>
      <c r="AB17" s="188"/>
      <c r="AC17" s="188">
        <f>IF(MONTH(DATE(Planungsjahr,2,1)-WEEKDAY(DATE(Planungsjahr,2,1),2)+16)=2,DAY(DATE(Planungsjahr,2,1)-WEEKDAY(DATE(Planungsjahr,2,1),2)+16),"")</f>
        <v>16</v>
      </c>
      <c r="AD17" s="188"/>
      <c r="AE17" s="188"/>
      <c r="AF17" s="188">
        <f>IF(MONTH(DATE(Planungsjahr,2,1)-WEEKDAY(DATE(Planungsjahr,2,1),2)+17)=2,DAY(DATE(Planungsjahr,2,1)-WEEKDAY(DATE(Planungsjahr,2,1),2)+17),"")</f>
        <v>17</v>
      </c>
      <c r="AG17" s="188"/>
      <c r="AH17" s="188"/>
      <c r="AI17" s="188">
        <f>IF(MONTH(DATE(Planungsjahr,2,1)-WEEKDAY(DATE(Planungsjahr,2,1),2)+18)=2,DAY(DATE(Planungsjahr,2,1)-WEEKDAY(DATE(Planungsjahr,2,1),2)+18),"")</f>
        <v>18</v>
      </c>
      <c r="AJ17" s="188"/>
      <c r="AK17" s="188"/>
      <c r="AL17" s="188">
        <f>IF(MONTH(DATE(Planungsjahr,2,1)-WEEKDAY(DATE(Planungsjahr,2,1),2)+19)=2,DAY(DATE(Planungsjahr,2,1)-WEEKDAY(DATE(Planungsjahr,2,1),2)+19),"")</f>
        <v>19</v>
      </c>
      <c r="AM17" s="188"/>
      <c r="AN17" s="188"/>
      <c r="AO17" s="188">
        <f>IF(MONTH(DATE(Planungsjahr,2,1)-WEEKDAY(DATE(Planungsjahr,2,1),2)+20)=2,DAY(DATE(Planungsjahr,2,1)-WEEKDAY(DATE(Planungsjahr,2,1),2)+20),"")</f>
        <v>20</v>
      </c>
      <c r="AP17" s="188"/>
      <c r="AQ17" s="188"/>
      <c r="AR17" s="188">
        <f>IF(MONTH(DATE(Planungsjahr,2,1)-WEEKDAY(DATE(Planungsjahr,2,1),2)+21)=2,DAY(DATE(Planungsjahr,2,1)-WEEKDAY(DATE(Planungsjahr,2,1),2)+21),"")</f>
        <v>21</v>
      </c>
      <c r="AS17" s="188"/>
      <c r="AT17" s="190"/>
      <c r="AV17" s="177">
        <f>IF(OR(ISNUMBER(AW17),ISNUMBER(BO17)),_xlfn.ISOWEEKNUM(DATE(Planungsjahr,3,1)-WEEKDAY(DATE(Planungsjahr,3,1),2)+15),"")</f>
        <v>11</v>
      </c>
      <c r="AW17" s="188">
        <f>IF(MONTH(DATE(Planungsjahr,3,1)-WEEKDAY(DATE(Planungsjahr,3,1),2)+15)=3,DAY(DATE(Planungsjahr,3,1)-WEEKDAY(DATE(Planungsjahr,3,1),2)+15),"")</f>
        <v>15</v>
      </c>
      <c r="AX17" s="188"/>
      <c r="AY17" s="188"/>
      <c r="AZ17" s="188">
        <f>IF(MONTH(DATE(Planungsjahr,3,1)-WEEKDAY(DATE(Planungsjahr,3,1),2)+16)=3,DAY(DATE(Planungsjahr,3,1)-WEEKDAY(DATE(Planungsjahr,3,1),2)+16),"")</f>
        <v>16</v>
      </c>
      <c r="BA17" s="188"/>
      <c r="BB17" s="188"/>
      <c r="BC17" s="188">
        <f>IF(MONTH(DATE(Planungsjahr,3,1)-WEEKDAY(DATE(Planungsjahr,3,1),2)+17)=3,DAY(DATE(Planungsjahr,3,1)-WEEKDAY(DATE(Planungsjahr,3,1),2)+17),"")</f>
        <v>17</v>
      </c>
      <c r="BD17" s="188"/>
      <c r="BE17" s="188"/>
      <c r="BF17" s="188">
        <f>IF(MONTH(DATE(Planungsjahr,3,1)-WEEKDAY(DATE(Planungsjahr,3,1),2)+18)=3,DAY(DATE(Planungsjahr,3,1)-WEEKDAY(DATE(Planungsjahr,3,1),2)+18),"")</f>
        <v>18</v>
      </c>
      <c r="BG17" s="188"/>
      <c r="BH17" s="188"/>
      <c r="BI17" s="188">
        <f>IF(MONTH(DATE(Planungsjahr,3,1)-WEEKDAY(DATE(Planungsjahr,3,1),2)+19)=3,DAY(DATE(Planungsjahr,3,1)-WEEKDAY(DATE(Planungsjahr,3,1),2)+19),"")</f>
        <v>19</v>
      </c>
      <c r="BJ17" s="188"/>
      <c r="BK17" s="188"/>
      <c r="BL17" s="188">
        <f>IF(MONTH(DATE(Planungsjahr,3,1)-WEEKDAY(DATE(Planungsjahr,3,1),2)+20)=3,DAY(DATE(Planungsjahr,3,1)-WEEKDAY(DATE(Planungsjahr,3,1),2)+20),"")</f>
        <v>20</v>
      </c>
      <c r="BM17" s="188"/>
      <c r="BN17" s="188"/>
      <c r="BO17" s="188">
        <f>IF(MONTH(DATE(Planungsjahr,3,1)-WEEKDAY(DATE(Planungsjahr,3,1),2)+21)=3,DAY(DATE(Planungsjahr,3,1)-WEEKDAY(DATE(Planungsjahr,3,1),2)+21),"")</f>
        <v>21</v>
      </c>
      <c r="BP17" s="188"/>
      <c r="BQ17" s="190"/>
      <c r="BS17" s="177">
        <f>IF(OR(ISNUMBER(BT17),ISNUMBER(CL17)),_xlfn.ISOWEEKNUM(DATE(Planungsjahr,4,1)-WEEKDAY(DATE(Planungsjahr,4,1),2)+15),"")</f>
        <v>15</v>
      </c>
      <c r="BT17" s="188">
        <f>IF(MONTH(DATE(Planungsjahr,4,1)-WEEKDAY(DATE(Planungsjahr,4,1),2)+15)=4,DAY(DATE(Planungsjahr,4,1)-WEEKDAY(DATE(Planungsjahr,4,1),2)+15),"")</f>
        <v>12</v>
      </c>
      <c r="BU17" s="188"/>
      <c r="BV17" s="188"/>
      <c r="BW17" s="188">
        <f>IF(MONTH(DATE(Planungsjahr,4,1)-WEEKDAY(DATE(Planungsjahr,4,1),2)+16)=4,DAY(DATE(Planungsjahr,4,1)-WEEKDAY(DATE(Planungsjahr,4,1),2)+16),"")</f>
        <v>13</v>
      </c>
      <c r="BX17" s="188"/>
      <c r="BY17" s="188"/>
      <c r="BZ17" s="188">
        <f>IF(MONTH(DATE(Planungsjahr,4,1)-WEEKDAY(DATE(Planungsjahr,4,1),2)+17)=4,DAY(DATE(Planungsjahr,4,1)-WEEKDAY(DATE(Planungsjahr,4,1),2)+17),"")</f>
        <v>14</v>
      </c>
      <c r="CA17" s="188"/>
      <c r="CB17" s="188"/>
      <c r="CC17" s="188">
        <f>IF(MONTH(DATE(Planungsjahr,4,1)-WEEKDAY(DATE(Planungsjahr,4,1),2)+18)=4,DAY(DATE(Planungsjahr,4,1)-WEEKDAY(DATE(Planungsjahr,4,1),2)+18),"")</f>
        <v>15</v>
      </c>
      <c r="CD17" s="188"/>
      <c r="CE17" s="188"/>
      <c r="CF17" s="188">
        <f>IF(MONTH(DATE(Planungsjahr,4,1)-WEEKDAY(DATE(Planungsjahr,4,1),2)+19)=4,DAY(DATE(Planungsjahr,4,1)-WEEKDAY(DATE(Planungsjahr,4,1),2)+19),"")</f>
        <v>16</v>
      </c>
      <c r="CG17" s="188"/>
      <c r="CH17" s="188"/>
      <c r="CI17" s="188">
        <f>IF(MONTH(DATE(Planungsjahr,4,1)-WEEKDAY(DATE(Planungsjahr,4,1),2)+20)=4,DAY(DATE(Planungsjahr,4,1)-WEEKDAY(DATE(Planungsjahr,4,1),2)+20),"")</f>
        <v>17</v>
      </c>
      <c r="CJ17" s="188"/>
      <c r="CK17" s="188"/>
      <c r="CL17" s="188">
        <f>IF(MONTH(DATE(Planungsjahr,4,1)-WEEKDAY(DATE(Planungsjahr,4,1),2)+21)=4,DAY(DATE(Planungsjahr,4,1)-WEEKDAY(DATE(Planungsjahr,4,1),2)+21),"")</f>
        <v>18</v>
      </c>
      <c r="CM17" s="188"/>
      <c r="CN17" s="190"/>
    </row>
    <row r="18" spans="2:92" ht="10.5" customHeight="1" x14ac:dyDescent="0.25">
      <c r="B18" s="167"/>
      <c r="C18" s="159" t="str">
        <f>IF(ISNUMBER(C17),IF(COUNTIFS(JP_StartSel,DATE(Planungsjahr,1,C17),JP_ShowSel,TRUE)&gt;0,"S",IF(COUNTIF(Feiertage,DATE(Planungsjahr,1,C17))&gt;0,"h","")),"")</f>
        <v/>
      </c>
      <c r="D18" s="159" t="str">
        <f>IF(ISNUMBER(C17),IF(COUNTIFS(JP_StartInhalt,DATE(Planungsjahr,1,C17),JP_ShowInhalt,TRUE)&gt;0,"I",IF(COUNTIF(Feiertage,DATE(Planungsjahr,1,C17))&gt;0,"h","")),"")</f>
        <v/>
      </c>
      <c r="E18" s="159" t="str">
        <f>IF(ISNUMBER(C17),IF(COUNTIFS(JP_PAL,DATE(Planungsjahr,1,C17),JP_ShowPAL,TRUE)&gt;0,"P",IF(COUNTIF(Feiertage,DATE(Planungsjahr,1,C17))&gt;0,"h","")),"")</f>
        <v/>
      </c>
      <c r="F18" s="159" t="str">
        <f>IF(ISNUMBER(F17),IF(COUNTIFS(JP_StartSel,DATE(Planungsjahr,1,F17),JP_ShowSel,TRUE)&gt;0,"S",IF(COUNTIF(Feiertage,DATE(Planungsjahr,1,F17))&gt;0,"h","")),"")</f>
        <v/>
      </c>
      <c r="G18" s="159" t="str">
        <f>IF(ISNUMBER(F17),IF(COUNTIFS(JP_StartInhalt,DATE(Planungsjahr,1,F17),JP_ShowInhalt,TRUE)&gt;0,"I",IF(COUNTIF(Feiertage,DATE(Planungsjahr,1,F17))&gt;0,"h","")),"")</f>
        <v/>
      </c>
      <c r="H18" s="159" t="str">
        <f>IF(ISNUMBER(F17),IF(COUNTIFS(JP_PAL,DATE(Planungsjahr,1,F17),JP_ShowPAL,TRUE)&gt;0,"P",IF(COUNTIF(Feiertage,DATE(Planungsjahr,1,F17))&gt;0,"h","")),"")</f>
        <v/>
      </c>
      <c r="I18" s="159" t="str">
        <f>IF(ISNUMBER(I17),IF(COUNTIFS(JP_StartSel,DATE(Planungsjahr,1,I17),JP_ShowSel,TRUE)&gt;0,"S",IF(COUNTIF(Feiertage,DATE(Planungsjahr,1,I17))&gt;0,"h","")),"")</f>
        <v/>
      </c>
      <c r="J18" s="159" t="str">
        <f>IF(ISNUMBER(I17),IF(COUNTIFS(JP_StartInhalt,DATE(Planungsjahr,1,I17),JP_ShowInhalt,TRUE)&gt;0,"I",IF(COUNTIF(Feiertage,DATE(Planungsjahr,1,I17))&gt;0,"h","")),"")</f>
        <v/>
      </c>
      <c r="K18" s="159" t="str">
        <f>IF(ISNUMBER(I17),IF(COUNTIFS(JP_PAL,DATE(Planungsjahr,1,I17),JP_ShowPAL,TRUE)&gt;0,"P",IF(COUNTIF(Feiertage,DATE(Planungsjahr,1,I17))&gt;0,"h","")),"")</f>
        <v/>
      </c>
      <c r="L18" s="159" t="str">
        <f>IF(ISNUMBER(L17),IF(COUNTIFS(JP_StartSel,DATE(Planungsjahr,1,L17),JP_ShowSel,TRUE)&gt;0,"S",IF(COUNTIF(Feiertage,DATE(Planungsjahr,1,L17))&gt;0,"h","")),"")</f>
        <v/>
      </c>
      <c r="M18" s="159" t="str">
        <f>IF(ISNUMBER(L17),IF(COUNTIFS(JP_StartInhalt,DATE(Planungsjahr,1,L17),JP_ShowInhalt,TRUE)&gt;0,"I",IF(COUNTIF(Feiertage,DATE(Planungsjahr,1,L17))&gt;0,"h","")),"")</f>
        <v/>
      </c>
      <c r="N18" s="159" t="str">
        <f>IF(ISNUMBER(L17),IF(COUNTIFS(JP_PAL,DATE(Planungsjahr,1,L17),JP_ShowPAL,TRUE)&gt;0,"P",IF(COUNTIF(Feiertage,DATE(Planungsjahr,1,L17))&gt;0,"h","")),"")</f>
        <v/>
      </c>
      <c r="O18" s="159" t="str">
        <f>IF(ISNUMBER(O17),IF(COUNTIFS(JP_StartSel,DATE(Planungsjahr,1,O17),JP_ShowSel,TRUE)&gt;0,"S",IF(COUNTIF(Feiertage,DATE(Planungsjahr,1,O17))&gt;0,"h","")),"")</f>
        <v/>
      </c>
      <c r="P18" s="159" t="str">
        <f>IF(ISNUMBER(O17),IF(COUNTIFS(JP_StartInhalt,DATE(Planungsjahr,1,O17),JP_ShowInhalt,TRUE)&gt;0,"I",IF(COUNTIF(Feiertage,DATE(Planungsjahr,1,O17))&gt;0,"h","")),"")</f>
        <v/>
      </c>
      <c r="Q18" s="159" t="str">
        <f>IF(ISNUMBER(O17),IF(COUNTIFS(JP_PAL,DATE(Planungsjahr,1,O17),JP_ShowPAL,TRUE)&gt;0,"P",IF(COUNTIF(Feiertage,DATE(Planungsjahr,1,O17))&gt;0,"h","")),"")</f>
        <v/>
      </c>
      <c r="R18" s="159" t="str">
        <f>IF(ISNUMBER(R17),IF(COUNTIFS(JP_StartSel,DATE(Planungsjahr,1,R17),JP_ShowSel,TRUE)&gt;0,"S",IF(COUNTIF(Feiertage,DATE(Planungsjahr,1,R17))&gt;0,"h","w")),"")</f>
        <v>w</v>
      </c>
      <c r="S18" s="159" t="str">
        <f>IF(ISNUMBER(R17),IF(COUNTIFS(JP_StartInhalt,DATE(Planungsjahr,1,R17),JP_ShowInhalt,TRUE)&gt;0,"I",IF(COUNTIF(Feiertage,DATE(Planungsjahr,1,R17))&gt;0,"h","w")),"")</f>
        <v>w</v>
      </c>
      <c r="T18" s="159" t="str">
        <f>IF(ISNUMBER(R17),IF(COUNTIFS(JP_PAL,DATE(Planungsjahr,1,R17),JP_ShowPAL,TRUE)&gt;0,"P",IF(COUNTIF(Feiertage,DATE(Planungsjahr,1,R17))&gt;0,"h","w")),"")</f>
        <v>w</v>
      </c>
      <c r="U18" s="159" t="str">
        <f>IF(ISNUMBER(U17),IF(COUNTIFS(JP_StartSel,DATE(Planungsjahr,1,U17),JP_ShowSel,TRUE)&gt;0,"S",IF(COUNTIF(Feiertage,DATE(Planungsjahr,1,U17))&gt;0,"h","w")),"")</f>
        <v>w</v>
      </c>
      <c r="V18" s="159" t="str">
        <f>IF(ISNUMBER(U17),IF(COUNTIFS(JP_StartInhalt,DATE(Planungsjahr,1,U17),JP_ShowInhalt,TRUE)&gt;0,"I",IF(COUNTIF(Feiertage,DATE(Planungsjahr,1,U17))&gt;0,"h","w")),"")</f>
        <v>w</v>
      </c>
      <c r="W18" s="168" t="str">
        <f>IF(ISNUMBER(U17),IF(COUNTIFS(JP_PAL,DATE(Planungsjahr,1,U17),JP_ShowPAL,TRUE)&gt;0,"P",IF(COUNTIF(Feiertage,DATE(Planungsjahr,1,U17))&gt;0,"h","w")),"")</f>
        <v>w</v>
      </c>
      <c r="Y18" s="179"/>
      <c r="Z18" s="159" t="str">
        <f>IF(ISNUMBER(Z17),IF(COUNTIFS(JP_StartSel,DATE(Planungsjahr,2,Z17),JP_ShowSel,TRUE)&gt;0,"S",IF(COUNTIF(Feiertage,DATE(Planungsjahr,2,Z17))&gt;0,"h","")),"")</f>
        <v/>
      </c>
      <c r="AA18" s="159" t="str">
        <f>IF(ISNUMBER(Z17),IF(COUNTIFS(JP_StartInhalt,DATE(Planungsjahr,2,Z17),JP_ShowInhalt,TRUE)&gt;0,"I",IF(COUNTIF(Feiertage,DATE(Planungsjahr,2,Z17))&gt;0,"h","")),"")</f>
        <v/>
      </c>
      <c r="AB18" s="159" t="str">
        <f>IF(ISNUMBER(Z17),IF(COUNTIFS(JP_PAL,DATE(Planungsjahr,2,Z17),JP_ShowPAL,TRUE)&gt;0,"P",IF(COUNTIF(Feiertage,DATE(Planungsjahr,2,Z17))&gt;0,"h","")),"")</f>
        <v/>
      </c>
      <c r="AC18" s="159" t="str">
        <f>IF(ISNUMBER(AC17),IF(COUNTIFS(JP_StartSel,DATE(Planungsjahr,2,AC17),JP_ShowSel,TRUE)&gt;0,"S",IF(COUNTIF(Feiertage,DATE(Planungsjahr,2,AC17))&gt;0,"h","")),"")</f>
        <v/>
      </c>
      <c r="AD18" s="159" t="str">
        <f>IF(ISNUMBER(AC17),IF(COUNTIFS(JP_StartInhalt,DATE(Planungsjahr,2,AC17),JP_ShowInhalt,TRUE)&gt;0,"I",IF(COUNTIF(Feiertage,DATE(Planungsjahr,2,AC17))&gt;0,"h","")),"")</f>
        <v/>
      </c>
      <c r="AE18" s="159" t="str">
        <f>IF(ISNUMBER(AC17),IF(COUNTIFS(JP_PAL,DATE(Planungsjahr,2,AC17),JP_ShowPAL,TRUE)&gt;0,"P",IF(COUNTIF(Feiertage,DATE(Planungsjahr,2,AC17))&gt;0,"h","")),"")</f>
        <v/>
      </c>
      <c r="AF18" s="159" t="str">
        <f>IF(ISNUMBER(AF17),IF(COUNTIFS(JP_StartSel,DATE(Planungsjahr,2,AF17),JP_ShowSel,TRUE)&gt;0,"S",IF(COUNTIF(Feiertage,DATE(Planungsjahr,2,AF17))&gt;0,"h","")),"")</f>
        <v/>
      </c>
      <c r="AG18" s="159" t="str">
        <f>IF(ISNUMBER(AF17),IF(COUNTIFS(JP_StartInhalt,DATE(Planungsjahr,2,AF17),JP_ShowInhalt,TRUE)&gt;0,"I",IF(COUNTIF(Feiertage,DATE(Planungsjahr,2,AF17))&gt;0,"h","")),"")</f>
        <v/>
      </c>
      <c r="AH18" s="159" t="str">
        <f>IF(ISNUMBER(AF17),IF(COUNTIFS(JP_PAL,DATE(Planungsjahr,2,AF17),JP_ShowPAL,TRUE)&gt;0,"P",IF(COUNTIF(Feiertage,DATE(Planungsjahr,2,AF17))&gt;0,"h","")),"")</f>
        <v/>
      </c>
      <c r="AI18" s="159" t="str">
        <f>IF(ISNUMBER(AI17),IF(COUNTIFS(JP_StartSel,DATE(Planungsjahr,2,AI17),JP_ShowSel,TRUE)&gt;0,"S",IF(COUNTIF(Feiertage,DATE(Planungsjahr,2,AI17))&gt;0,"h","")),"")</f>
        <v/>
      </c>
      <c r="AJ18" s="159" t="str">
        <f>IF(ISNUMBER(AI17),IF(COUNTIFS(JP_StartInhalt,DATE(Planungsjahr,2,AI17),JP_ShowInhalt,TRUE)&gt;0,"I",IF(COUNTIF(Feiertage,DATE(Planungsjahr,2,AI17))&gt;0,"h","")),"")</f>
        <v/>
      </c>
      <c r="AK18" s="159" t="str">
        <f>IF(ISNUMBER(AI17),IF(COUNTIFS(JP_PAL,DATE(Planungsjahr,2,AI17),JP_ShowPAL,TRUE)&gt;0,"P",IF(COUNTIF(Feiertage,DATE(Planungsjahr,2,AI17))&gt;0,"h","")),"")</f>
        <v/>
      </c>
      <c r="AL18" s="159" t="str">
        <f>IF(ISNUMBER(AL17),IF(COUNTIFS(JP_StartSel,DATE(Planungsjahr,2,AL17),JP_ShowSel,TRUE)&gt;0,"S",IF(COUNTIF(Feiertage,DATE(Planungsjahr,2,AL17))&gt;0,"h","")),"")</f>
        <v/>
      </c>
      <c r="AM18" s="159" t="str">
        <f>IF(ISNUMBER(AL17),IF(COUNTIFS(JP_StartInhalt,DATE(Planungsjahr,2,AL17),JP_ShowInhalt,TRUE)&gt;0,"I",IF(COUNTIF(Feiertage,DATE(Planungsjahr,2,AL17))&gt;0,"h","")),"")</f>
        <v/>
      </c>
      <c r="AN18" s="159" t="str">
        <f>IF(ISNUMBER(AL17),IF(COUNTIFS(JP_PAL,DATE(Planungsjahr,2,AL17),JP_ShowPAL,TRUE)&gt;0,"P",IF(COUNTIF(Feiertage,DATE(Planungsjahr,2,AL17))&gt;0,"h","")),"")</f>
        <v>P</v>
      </c>
      <c r="AO18" s="159" t="str">
        <f>IF(ISNUMBER(AO17),IF(COUNTIFS(JP_StartSel,DATE(Planungsjahr,2,AO17),JP_ShowSel,TRUE)&gt;0,"S",IF(COUNTIF(Feiertage,DATE(Planungsjahr,2,AO17))&gt;0,"h","w")),"")</f>
        <v>w</v>
      </c>
      <c r="AP18" s="159" t="str">
        <f>IF(ISNUMBER(AO17),IF(COUNTIFS(JP_StartInhalt,DATE(Planungsjahr,2,AO17),JP_ShowInhalt,TRUE)&gt;0,"I",IF(COUNTIF(Feiertage,DATE(Planungsjahr,2,AO17))&gt;0,"h","w")),"")</f>
        <v>w</v>
      </c>
      <c r="AQ18" s="159" t="str">
        <f>IF(ISNUMBER(AO17),IF(COUNTIFS(JP_PAL,DATE(Planungsjahr,2,AO17),JP_ShowPAL,TRUE)&gt;0,"P",IF(COUNTIF(Feiertage,DATE(Planungsjahr,2,AO17))&gt;0,"h","w")),"")</f>
        <v>w</v>
      </c>
      <c r="AR18" s="159" t="str">
        <f>IF(ISNUMBER(AR17),IF(COUNTIFS(JP_StartSel,DATE(Planungsjahr,2,AR17),JP_ShowSel,TRUE)&gt;0,"S",IF(COUNTIF(Feiertage,DATE(Planungsjahr,2,AR17))&gt;0,"h","w")),"")</f>
        <v>w</v>
      </c>
      <c r="AS18" s="159" t="str">
        <f>IF(ISNUMBER(AR17),IF(COUNTIFS(JP_StartInhalt,DATE(Planungsjahr,2,AR17),JP_ShowInhalt,TRUE)&gt;0,"I",IF(COUNTIF(Feiertage,DATE(Planungsjahr,2,AR17))&gt;0,"h","w")),"")</f>
        <v>w</v>
      </c>
      <c r="AT18" s="180" t="str">
        <f>IF(ISNUMBER(AR17),IF(COUNTIFS(JP_PAL,DATE(Planungsjahr,2,AR17),JP_ShowPAL,TRUE)&gt;0,"P",IF(COUNTIF(Feiertage,DATE(Planungsjahr,2,AR17))&gt;0,"h","w")),"")</f>
        <v>w</v>
      </c>
      <c r="AV18" s="179"/>
      <c r="AW18" s="159" t="str">
        <f>IF(ISNUMBER(AW17),IF(COUNTIFS(JP_StartSel,DATE(Planungsjahr,3,AW17),JP_ShowSel,TRUE)&gt;0,"S",IF(COUNTIF(Feiertage,DATE(Planungsjahr,3,AW17))&gt;0,"h","")),"")</f>
        <v/>
      </c>
      <c r="AX18" s="159" t="str">
        <f>IF(ISNUMBER(AW17),IF(COUNTIFS(JP_StartInhalt,DATE(Planungsjahr,3,AW17),JP_ShowInhalt,TRUE)&gt;0,"I",IF(COUNTIF(Feiertage,DATE(Planungsjahr,3,AW17))&gt;0,"h","")),"")</f>
        <v/>
      </c>
      <c r="AY18" s="159" t="str">
        <f>IF(ISNUMBER(AW17),IF(COUNTIFS(JP_PAL,DATE(Planungsjahr,3,AW17),JP_ShowPAL,TRUE)&gt;0,"P",IF(COUNTIF(Feiertage,DATE(Planungsjahr,3,AW17))&gt;0,"h","")),"")</f>
        <v/>
      </c>
      <c r="AZ18" s="159" t="str">
        <f>IF(ISNUMBER(AZ17),IF(COUNTIFS(JP_StartSel,DATE(Planungsjahr,3,AZ17),JP_ShowSel,TRUE)&gt;0,"S",IF(COUNTIF(Feiertage,DATE(Planungsjahr,3,AZ17))&gt;0,"h","")),"")</f>
        <v/>
      </c>
      <c r="BA18" s="159" t="str">
        <f>IF(ISNUMBER(AZ17),IF(COUNTIFS(JP_StartInhalt,DATE(Planungsjahr,3,AZ17),JP_ShowInhalt,TRUE)&gt;0,"I",IF(COUNTIF(Feiertage,DATE(Planungsjahr,3,AZ17))&gt;0,"h","")),"")</f>
        <v/>
      </c>
      <c r="BB18" s="159" t="str">
        <f>IF(ISNUMBER(AZ17),IF(COUNTIFS(JP_PAL,DATE(Planungsjahr,3,AZ17),JP_ShowPAL,TRUE)&gt;0,"P",IF(COUNTIF(Feiertage,DATE(Planungsjahr,3,AZ17))&gt;0,"h","")),"")</f>
        <v/>
      </c>
      <c r="BC18" s="159" t="str">
        <f>IF(ISNUMBER(BC17),IF(COUNTIFS(JP_StartSel,DATE(Planungsjahr,3,BC17),JP_ShowSel,TRUE)&gt;0,"S",IF(COUNTIF(Feiertage,DATE(Planungsjahr,3,BC17))&gt;0,"h","")),"")</f>
        <v/>
      </c>
      <c r="BD18" s="159" t="str">
        <f>IF(ISNUMBER(BC17),IF(COUNTIFS(JP_StartInhalt,DATE(Planungsjahr,3,BC17),JP_ShowInhalt,TRUE)&gt;0,"I",IF(COUNTIF(Feiertage,DATE(Planungsjahr,3,BC17))&gt;0,"h","")),"")</f>
        <v/>
      </c>
      <c r="BE18" s="159" t="str">
        <f>IF(ISNUMBER(BC17),IF(COUNTIFS(JP_PAL,DATE(Planungsjahr,3,BC17),JP_ShowPAL,TRUE)&gt;0,"P",IF(COUNTIF(Feiertage,DATE(Planungsjahr,3,BC17))&gt;0,"h","")),"")</f>
        <v/>
      </c>
      <c r="BF18" s="159" t="str">
        <f>IF(ISNUMBER(BF17),IF(COUNTIFS(JP_StartSel,DATE(Planungsjahr,3,BF17),JP_ShowSel,TRUE)&gt;0,"S",IF(COUNTIF(Feiertage,DATE(Planungsjahr,3,BF17))&gt;0,"h","")),"")</f>
        <v/>
      </c>
      <c r="BG18" s="159" t="str">
        <f>IF(ISNUMBER(BF17),IF(COUNTIFS(JP_StartInhalt,DATE(Planungsjahr,3,BF17),JP_ShowInhalt,TRUE)&gt;0,"I",IF(COUNTIF(Feiertage,DATE(Planungsjahr,3,BF17))&gt;0,"h","")),"")</f>
        <v/>
      </c>
      <c r="BH18" s="159" t="str">
        <f>IF(ISNUMBER(BF17),IF(COUNTIFS(JP_PAL,DATE(Planungsjahr,3,BF17),JP_ShowPAL,TRUE)&gt;0,"P",IF(COUNTIF(Feiertage,DATE(Planungsjahr,3,BF17))&gt;0,"h","")),"")</f>
        <v/>
      </c>
      <c r="BI18" s="159" t="str">
        <f>IF(ISNUMBER(BI17),IF(COUNTIFS(JP_StartSel,DATE(Planungsjahr,3,BI17),JP_ShowSel,TRUE)&gt;0,"S",IF(COUNTIF(Feiertage,DATE(Planungsjahr,3,BI17))&gt;0,"h","")),"")</f>
        <v/>
      </c>
      <c r="BJ18" s="159" t="str">
        <f>IF(ISNUMBER(BI17),IF(COUNTIFS(JP_StartInhalt,DATE(Planungsjahr,3,BI17),JP_ShowInhalt,TRUE)&gt;0,"I",IF(COUNTIF(Feiertage,DATE(Planungsjahr,3,BI17))&gt;0,"h","")),"")</f>
        <v/>
      </c>
      <c r="BK18" s="159" t="str">
        <f>IF(ISNUMBER(BI17),IF(COUNTIFS(JP_PAL,DATE(Planungsjahr,3,BI17),JP_ShowPAL,TRUE)&gt;0,"P",IF(COUNTIF(Feiertage,DATE(Planungsjahr,3,BI17))&gt;0,"h","")),"")</f>
        <v/>
      </c>
      <c r="BL18" s="159" t="str">
        <f>IF(ISNUMBER(BL17),IF(COUNTIFS(JP_StartSel,DATE(Planungsjahr,3,BL17),JP_ShowSel,TRUE)&gt;0,"S",IF(COUNTIF(Feiertage,DATE(Planungsjahr,3,BL17))&gt;0,"h","w")),"")</f>
        <v>w</v>
      </c>
      <c r="BM18" s="159" t="str">
        <f>IF(ISNUMBER(BL17),IF(COUNTIFS(JP_StartInhalt,DATE(Planungsjahr,3,BL17),JP_ShowInhalt,TRUE)&gt;0,"I",IF(COUNTIF(Feiertage,DATE(Planungsjahr,3,BL17))&gt;0,"h","w")),"")</f>
        <v>w</v>
      </c>
      <c r="BN18" s="159" t="str">
        <f>IF(ISNUMBER(BL17),IF(COUNTIFS(JP_PAL,DATE(Planungsjahr,3,BL17),JP_ShowPAL,TRUE)&gt;0,"P",IF(COUNTIF(Feiertage,DATE(Planungsjahr,3,BL17))&gt;0,"h","w")),"")</f>
        <v>w</v>
      </c>
      <c r="BO18" s="159" t="str">
        <f>IF(ISNUMBER(BO17),IF(COUNTIFS(JP_StartSel,DATE(Planungsjahr,3,BO17),JP_ShowSel,TRUE)&gt;0,"S",IF(COUNTIF(Feiertage,DATE(Planungsjahr,3,BO17))&gt;0,"h","w")),"")</f>
        <v>w</v>
      </c>
      <c r="BP18" s="159" t="str">
        <f>IF(ISNUMBER(BO17),IF(COUNTIFS(JP_StartInhalt,DATE(Planungsjahr,3,BO17),JP_ShowInhalt,TRUE)&gt;0,"I",IF(COUNTIF(Feiertage,DATE(Planungsjahr,3,BO17))&gt;0,"h","w")),"")</f>
        <v>w</v>
      </c>
      <c r="BQ18" s="180" t="str">
        <f>IF(ISNUMBER(BO17),IF(COUNTIFS(JP_PAL,DATE(Planungsjahr,3,BO17),JP_ShowPAL,TRUE)&gt;0,"P",IF(COUNTIF(Feiertage,DATE(Planungsjahr,3,BO17))&gt;0,"h","w")),"")</f>
        <v>w</v>
      </c>
      <c r="BS18" s="179"/>
      <c r="BT18" s="159" t="str">
        <f>IF(ISNUMBER(BT17),IF(COUNTIFS(JP_StartSel,DATE(Planungsjahr,4,BT17),JP_ShowSel,TRUE)&gt;0,"S",IF(COUNTIF(Feiertage,DATE(Planungsjahr,4,BT17))&gt;0,"h","")),"")</f>
        <v/>
      </c>
      <c r="BU18" s="159" t="str">
        <f>IF(ISNUMBER(BT17),IF(COUNTIFS(JP_StartInhalt,DATE(Planungsjahr,4,BT17),JP_ShowInhalt,TRUE)&gt;0,"I",IF(COUNTIF(Feiertage,DATE(Planungsjahr,4,BT17))&gt;0,"h","")),"")</f>
        <v/>
      </c>
      <c r="BV18" s="159" t="str">
        <f>IF(ISNUMBER(BT17),IF(COUNTIFS(JP_PAL,DATE(Planungsjahr,4,BT17),JP_ShowPAL,TRUE)&gt;0,"P",IF(COUNTIF(Feiertage,DATE(Planungsjahr,4,BT17))&gt;0,"h","")),"")</f>
        <v/>
      </c>
      <c r="BW18" s="159" t="str">
        <f>IF(ISNUMBER(BW17),IF(COUNTIFS(JP_StartSel,DATE(Planungsjahr,4,BW17),JP_ShowSel,TRUE)&gt;0,"S",IF(COUNTIF(Feiertage,DATE(Planungsjahr,4,BW17))&gt;0,"h","")),"")</f>
        <v/>
      </c>
      <c r="BX18" s="159" t="str">
        <f>IF(ISNUMBER(BW17),IF(COUNTIFS(JP_StartInhalt,DATE(Planungsjahr,4,BW17),JP_ShowInhalt,TRUE)&gt;0,"I",IF(COUNTIF(Feiertage,DATE(Planungsjahr,4,BW17))&gt;0,"h","")),"")</f>
        <v/>
      </c>
      <c r="BY18" s="159" t="str">
        <f>IF(ISNUMBER(BW17),IF(COUNTIFS(JP_PAL,DATE(Planungsjahr,4,BW17),JP_ShowPAL,TRUE)&gt;0,"P",IF(COUNTIF(Feiertage,DATE(Planungsjahr,4,BW17))&gt;0,"h","")),"")</f>
        <v/>
      </c>
      <c r="BZ18" s="159" t="str">
        <f>IF(ISNUMBER(BZ17),IF(COUNTIFS(JP_StartSel,DATE(Planungsjahr,4,BZ17),JP_ShowSel,TRUE)&gt;0,"S",IF(COUNTIF(Feiertage,DATE(Planungsjahr,4,BZ17))&gt;0,"h","")),"")</f>
        <v/>
      </c>
      <c r="CA18" s="159" t="str">
        <f>IF(ISNUMBER(BZ17),IF(COUNTIFS(JP_StartInhalt,DATE(Planungsjahr,4,BZ17),JP_ShowInhalt,TRUE)&gt;0,"I",IF(COUNTIF(Feiertage,DATE(Planungsjahr,4,BZ17))&gt;0,"h","")),"")</f>
        <v/>
      </c>
      <c r="CB18" s="159" t="str">
        <f>IF(ISNUMBER(BZ17),IF(COUNTIFS(JP_PAL,DATE(Planungsjahr,4,BZ17),JP_ShowPAL,TRUE)&gt;0,"P",IF(COUNTIF(Feiertage,DATE(Planungsjahr,4,BZ17))&gt;0,"h","")),"")</f>
        <v/>
      </c>
      <c r="CC18" s="159" t="str">
        <f>IF(ISNUMBER(CC17),IF(COUNTIFS(JP_StartSel,DATE(Planungsjahr,4,CC17),JP_ShowSel,TRUE)&gt;0,"S",IF(COUNTIF(Feiertage,DATE(Planungsjahr,4,CC17))&gt;0,"h","")),"")</f>
        <v/>
      </c>
      <c r="CD18" s="159" t="str">
        <f>IF(ISNUMBER(CC17),IF(COUNTIFS(JP_StartInhalt,DATE(Planungsjahr,4,CC17),JP_ShowInhalt,TRUE)&gt;0,"I",IF(COUNTIF(Feiertage,DATE(Planungsjahr,4,CC17))&gt;0,"h","")),"")</f>
        <v/>
      </c>
      <c r="CE18" s="159" t="str">
        <f>IF(ISNUMBER(CC17),IF(COUNTIFS(JP_PAL,DATE(Planungsjahr,4,CC17),JP_ShowPAL,TRUE)&gt;0,"P",IF(COUNTIF(Feiertage,DATE(Planungsjahr,4,CC17))&gt;0,"h","")),"")</f>
        <v/>
      </c>
      <c r="CF18" s="159" t="str">
        <f>IF(ISNUMBER(CF17),IF(COUNTIFS(JP_StartSel,DATE(Planungsjahr,4,CF17),JP_ShowSel,TRUE)&gt;0,"S",IF(COUNTIF(Feiertage,DATE(Planungsjahr,4,CF17))&gt;0,"h","")),"")</f>
        <v/>
      </c>
      <c r="CG18" s="159" t="str">
        <f>IF(ISNUMBER(CF17),IF(COUNTIFS(JP_StartInhalt,DATE(Planungsjahr,4,CF17),JP_ShowInhalt,TRUE)&gt;0,"I",IF(COUNTIF(Feiertage,DATE(Planungsjahr,4,CF17))&gt;0,"h","")),"")</f>
        <v/>
      </c>
      <c r="CH18" s="159" t="str">
        <f>IF(ISNUMBER(CF17),IF(COUNTIFS(JP_PAL,DATE(Planungsjahr,4,CF17),JP_ShowPAL,TRUE)&gt;0,"P",IF(COUNTIF(Feiertage,DATE(Planungsjahr,4,CF17))&gt;0,"h","")),"")</f>
        <v/>
      </c>
      <c r="CI18" s="159" t="str">
        <f>IF(ISNUMBER(CI17),IF(COUNTIFS(JP_StartSel,DATE(Planungsjahr,4,CI17),JP_ShowSel,TRUE)&gt;0,"S",IF(COUNTIF(Feiertage,DATE(Planungsjahr,4,CI17))&gt;0,"h","w")),"")</f>
        <v>w</v>
      </c>
      <c r="CJ18" s="159" t="str">
        <f>IF(ISNUMBER(CI17),IF(COUNTIFS(JP_StartInhalt,DATE(Planungsjahr,4,CI17),JP_ShowInhalt,TRUE)&gt;0,"I",IF(COUNTIF(Feiertage,DATE(Planungsjahr,4,CI17))&gt;0,"h","w")),"")</f>
        <v>w</v>
      </c>
      <c r="CK18" s="159" t="str">
        <f>IF(ISNUMBER(CI17),IF(COUNTIFS(JP_PAL,DATE(Planungsjahr,4,CI17),JP_ShowPAL,TRUE)&gt;0,"P",IF(COUNTIF(Feiertage,DATE(Planungsjahr,4,CI17))&gt;0,"h","w")),"")</f>
        <v>w</v>
      </c>
      <c r="CL18" s="159" t="str">
        <f>IF(ISNUMBER(CL17),IF(COUNTIFS(JP_StartSel,DATE(Planungsjahr,4,CL17),JP_ShowSel,TRUE)&gt;0,"S",IF(COUNTIF(Feiertage,DATE(Planungsjahr,4,CL17))&gt;0,"h","w")),"")</f>
        <v>w</v>
      </c>
      <c r="CM18" s="159" t="str">
        <f>IF(ISNUMBER(CL17),IF(COUNTIFS(JP_StartInhalt,DATE(Planungsjahr,4,CL17),JP_ShowInhalt,TRUE)&gt;0,"I",IF(COUNTIF(Feiertage,DATE(Planungsjahr,4,CL17))&gt;0,"h","w")),"")</f>
        <v>w</v>
      </c>
      <c r="CN18" s="180" t="str">
        <f>IF(ISNUMBER(CL17),IF(COUNTIFS(JP_PAL,DATE(Planungsjahr,4,CL17),JP_ShowPAL,TRUE)&gt;0,"P",IF(COUNTIF(Feiertage,DATE(Planungsjahr,4,CL17))&gt;0,"h","w")),"")</f>
        <v>w</v>
      </c>
    </row>
    <row r="19" spans="2:92" ht="15.95" customHeight="1" x14ac:dyDescent="0.25">
      <c r="B19" s="165">
        <f>IF(OR(ISNUMBER(C19),ISNUMBER(U19)),_xlfn.ISOWEEKNUM(DATE(Planungsjahr,1,1)-WEEKDAY(DATE(Planungsjahr,1,1),2)+22),"")</f>
        <v>3</v>
      </c>
      <c r="C19" s="188">
        <f>IF(MONTH(DATE(Planungsjahr,1,1)-WEEKDAY(DATE(Planungsjahr,1,1),2)+22)=1,DAY(DATE(Planungsjahr,1,1)-WEEKDAY(DATE(Planungsjahr,1,1),2)+22),"")</f>
        <v>18</v>
      </c>
      <c r="D19" s="188"/>
      <c r="E19" s="188"/>
      <c r="F19" s="188">
        <f>IF(MONTH(DATE(Planungsjahr,1,1)-WEEKDAY(DATE(Planungsjahr,1,1),2)+23)=1,DAY(DATE(Planungsjahr,1,1)-WEEKDAY(DATE(Planungsjahr,1,1),2)+23),"")</f>
        <v>19</v>
      </c>
      <c r="G19" s="188"/>
      <c r="H19" s="188"/>
      <c r="I19" s="188">
        <f>IF(MONTH(DATE(Planungsjahr,1,1)-WEEKDAY(DATE(Planungsjahr,1,1),2)+24)=1,DAY(DATE(Planungsjahr,1,1)-WEEKDAY(DATE(Planungsjahr,1,1),2)+24),"")</f>
        <v>20</v>
      </c>
      <c r="J19" s="188"/>
      <c r="K19" s="188"/>
      <c r="L19" s="188">
        <f>IF(MONTH(DATE(Planungsjahr,1,1)-WEEKDAY(DATE(Planungsjahr,1,1),2)+25)=1,DAY(DATE(Planungsjahr,1,1)-WEEKDAY(DATE(Planungsjahr,1,1),2)+25),"")</f>
        <v>21</v>
      </c>
      <c r="M19" s="188"/>
      <c r="N19" s="188"/>
      <c r="O19" s="188">
        <f>IF(MONTH(DATE(Planungsjahr,1,1)-WEEKDAY(DATE(Planungsjahr,1,1),2)+26)=1,DAY(DATE(Planungsjahr,1,1)-WEEKDAY(DATE(Planungsjahr,1,1),2)+26),"")</f>
        <v>22</v>
      </c>
      <c r="P19" s="188"/>
      <c r="Q19" s="188"/>
      <c r="R19" s="188">
        <f>IF(MONTH(DATE(Planungsjahr,1,1)-WEEKDAY(DATE(Planungsjahr,1,1),2)+27)=1,DAY(DATE(Planungsjahr,1,1)-WEEKDAY(DATE(Planungsjahr,1,1),2)+27),"")</f>
        <v>23</v>
      </c>
      <c r="S19" s="188"/>
      <c r="T19" s="188"/>
      <c r="U19" s="188">
        <f>IF(MONTH(DATE(Planungsjahr,1,1)-WEEKDAY(DATE(Planungsjahr,1,1),2)+28)=1,DAY(DATE(Planungsjahr,1,1)-WEEKDAY(DATE(Planungsjahr,1,1),2)+28),"")</f>
        <v>24</v>
      </c>
      <c r="V19" s="188"/>
      <c r="W19" s="189"/>
      <c r="Y19" s="177">
        <f>IF(OR(ISNUMBER(Z19),ISNUMBER(AR19)),_xlfn.ISOWEEKNUM(DATE(Planungsjahr,2,1)-WEEKDAY(DATE(Planungsjahr,2,1),2)+22),"")</f>
        <v>8</v>
      </c>
      <c r="Z19" s="188">
        <f>IF(MONTH(DATE(Planungsjahr,2,1)-WEEKDAY(DATE(Planungsjahr,2,1),2)+22)=2,DAY(DATE(Planungsjahr,2,1)-WEEKDAY(DATE(Planungsjahr,2,1),2)+22),"")</f>
        <v>22</v>
      </c>
      <c r="AA19" s="188"/>
      <c r="AB19" s="188"/>
      <c r="AC19" s="188">
        <f>IF(MONTH(DATE(Planungsjahr,2,1)-WEEKDAY(DATE(Planungsjahr,2,1),2)+23)=2,DAY(DATE(Planungsjahr,2,1)-WEEKDAY(DATE(Planungsjahr,2,1),2)+23),"")</f>
        <v>23</v>
      </c>
      <c r="AD19" s="188"/>
      <c r="AE19" s="188"/>
      <c r="AF19" s="188">
        <f>IF(MONTH(DATE(Planungsjahr,2,1)-WEEKDAY(DATE(Planungsjahr,2,1),2)+24)=2,DAY(DATE(Planungsjahr,2,1)-WEEKDAY(DATE(Planungsjahr,2,1),2)+24),"")</f>
        <v>24</v>
      </c>
      <c r="AG19" s="188"/>
      <c r="AH19" s="188"/>
      <c r="AI19" s="188">
        <f>IF(MONTH(DATE(Planungsjahr,2,1)-WEEKDAY(DATE(Planungsjahr,2,1),2)+25)=2,DAY(DATE(Planungsjahr,2,1)-WEEKDAY(DATE(Planungsjahr,2,1),2)+25),"")</f>
        <v>25</v>
      </c>
      <c r="AJ19" s="188"/>
      <c r="AK19" s="188"/>
      <c r="AL19" s="188">
        <f>IF(MONTH(DATE(Planungsjahr,2,1)-WEEKDAY(DATE(Planungsjahr,2,1),2)+26)=2,DAY(DATE(Planungsjahr,2,1)-WEEKDAY(DATE(Planungsjahr,2,1),2)+26),"")</f>
        <v>26</v>
      </c>
      <c r="AM19" s="188"/>
      <c r="AN19" s="188"/>
      <c r="AO19" s="188">
        <f>IF(MONTH(DATE(Planungsjahr,2,1)-WEEKDAY(DATE(Planungsjahr,2,1),2)+27)=2,DAY(DATE(Planungsjahr,2,1)-WEEKDAY(DATE(Planungsjahr,2,1),2)+27),"")</f>
        <v>27</v>
      </c>
      <c r="AP19" s="188"/>
      <c r="AQ19" s="188"/>
      <c r="AR19" s="188">
        <f>IF(MONTH(DATE(Planungsjahr,2,1)-WEEKDAY(DATE(Planungsjahr,2,1),2)+28)=2,DAY(DATE(Planungsjahr,2,1)-WEEKDAY(DATE(Planungsjahr,2,1),2)+28),"")</f>
        <v>28</v>
      </c>
      <c r="AS19" s="188"/>
      <c r="AT19" s="190"/>
      <c r="AV19" s="177">
        <f>IF(OR(ISNUMBER(AW19),ISNUMBER(BO19)),_xlfn.ISOWEEKNUM(DATE(Planungsjahr,3,1)-WEEKDAY(DATE(Planungsjahr,3,1),2)+22),"")</f>
        <v>12</v>
      </c>
      <c r="AW19" s="188">
        <f>IF(MONTH(DATE(Planungsjahr,3,1)-WEEKDAY(DATE(Planungsjahr,3,1),2)+22)=3,DAY(DATE(Planungsjahr,3,1)-WEEKDAY(DATE(Planungsjahr,3,1),2)+22),"")</f>
        <v>22</v>
      </c>
      <c r="AX19" s="188"/>
      <c r="AY19" s="188"/>
      <c r="AZ19" s="188">
        <f>IF(MONTH(DATE(Planungsjahr,3,1)-WEEKDAY(DATE(Planungsjahr,3,1),2)+23)=3,DAY(DATE(Planungsjahr,3,1)-WEEKDAY(DATE(Planungsjahr,3,1),2)+23),"")</f>
        <v>23</v>
      </c>
      <c r="BA19" s="188"/>
      <c r="BB19" s="188"/>
      <c r="BC19" s="188">
        <f>IF(MONTH(DATE(Planungsjahr,3,1)-WEEKDAY(DATE(Planungsjahr,3,1),2)+24)=3,DAY(DATE(Planungsjahr,3,1)-WEEKDAY(DATE(Planungsjahr,3,1),2)+24),"")</f>
        <v>24</v>
      </c>
      <c r="BD19" s="188"/>
      <c r="BE19" s="188"/>
      <c r="BF19" s="188">
        <f>IF(MONTH(DATE(Planungsjahr,3,1)-WEEKDAY(DATE(Planungsjahr,3,1),2)+25)=3,DAY(DATE(Planungsjahr,3,1)-WEEKDAY(DATE(Planungsjahr,3,1),2)+25),"")</f>
        <v>25</v>
      </c>
      <c r="BG19" s="188"/>
      <c r="BH19" s="188"/>
      <c r="BI19" s="188">
        <f>IF(MONTH(DATE(Planungsjahr,3,1)-WEEKDAY(DATE(Planungsjahr,3,1),2)+26)=3,DAY(DATE(Planungsjahr,3,1)-WEEKDAY(DATE(Planungsjahr,3,1),2)+26),"")</f>
        <v>26</v>
      </c>
      <c r="BJ19" s="188"/>
      <c r="BK19" s="188"/>
      <c r="BL19" s="188">
        <f>IF(MONTH(DATE(Planungsjahr,3,1)-WEEKDAY(DATE(Planungsjahr,3,1),2)+27)=3,DAY(DATE(Planungsjahr,3,1)-WEEKDAY(DATE(Planungsjahr,3,1),2)+27),"")</f>
        <v>27</v>
      </c>
      <c r="BM19" s="188"/>
      <c r="BN19" s="188"/>
      <c r="BO19" s="188">
        <f>IF(MONTH(DATE(Planungsjahr,3,1)-WEEKDAY(DATE(Planungsjahr,3,1),2)+28)=3,DAY(DATE(Planungsjahr,3,1)-WEEKDAY(DATE(Planungsjahr,3,1),2)+28),"")</f>
        <v>28</v>
      </c>
      <c r="BP19" s="188"/>
      <c r="BQ19" s="190"/>
      <c r="BS19" s="177">
        <f>IF(OR(ISNUMBER(BT19),ISNUMBER(CL19)),_xlfn.ISOWEEKNUM(DATE(Planungsjahr,4,1)-WEEKDAY(DATE(Planungsjahr,4,1),2)+22),"")</f>
        <v>16</v>
      </c>
      <c r="BT19" s="188">
        <f>IF(MONTH(DATE(Planungsjahr,4,1)-WEEKDAY(DATE(Planungsjahr,4,1),2)+22)=4,DAY(DATE(Planungsjahr,4,1)-WEEKDAY(DATE(Planungsjahr,4,1),2)+22),"")</f>
        <v>19</v>
      </c>
      <c r="BU19" s="188"/>
      <c r="BV19" s="188"/>
      <c r="BW19" s="188">
        <f>IF(MONTH(DATE(Planungsjahr,4,1)-WEEKDAY(DATE(Planungsjahr,4,1),2)+23)=4,DAY(DATE(Planungsjahr,4,1)-WEEKDAY(DATE(Planungsjahr,4,1),2)+23),"")</f>
        <v>20</v>
      </c>
      <c r="BX19" s="188"/>
      <c r="BY19" s="188"/>
      <c r="BZ19" s="188">
        <f>IF(MONTH(DATE(Planungsjahr,4,1)-WEEKDAY(DATE(Planungsjahr,4,1),2)+24)=4,DAY(DATE(Planungsjahr,4,1)-WEEKDAY(DATE(Planungsjahr,4,1),2)+24),"")</f>
        <v>21</v>
      </c>
      <c r="CA19" s="188"/>
      <c r="CB19" s="188"/>
      <c r="CC19" s="188">
        <f>IF(MONTH(DATE(Planungsjahr,4,1)-WEEKDAY(DATE(Planungsjahr,4,1),2)+25)=4,DAY(DATE(Planungsjahr,4,1)-WEEKDAY(DATE(Planungsjahr,4,1),2)+25),"")</f>
        <v>22</v>
      </c>
      <c r="CD19" s="188"/>
      <c r="CE19" s="188"/>
      <c r="CF19" s="188">
        <f>IF(MONTH(DATE(Planungsjahr,4,1)-WEEKDAY(DATE(Planungsjahr,4,1),2)+26)=4,DAY(DATE(Planungsjahr,4,1)-WEEKDAY(DATE(Planungsjahr,4,1),2)+26),"")</f>
        <v>23</v>
      </c>
      <c r="CG19" s="188"/>
      <c r="CH19" s="188"/>
      <c r="CI19" s="188">
        <f>IF(MONTH(DATE(Planungsjahr,4,1)-WEEKDAY(DATE(Planungsjahr,4,1),2)+27)=4,DAY(DATE(Planungsjahr,4,1)-WEEKDAY(DATE(Planungsjahr,4,1),2)+27),"")</f>
        <v>24</v>
      </c>
      <c r="CJ19" s="188"/>
      <c r="CK19" s="188"/>
      <c r="CL19" s="188">
        <f>IF(MONTH(DATE(Planungsjahr,4,1)-WEEKDAY(DATE(Planungsjahr,4,1),2)+28)=4,DAY(DATE(Planungsjahr,4,1)-WEEKDAY(DATE(Planungsjahr,4,1),2)+28),"")</f>
        <v>25</v>
      </c>
      <c r="CM19" s="188"/>
      <c r="CN19" s="190"/>
    </row>
    <row r="20" spans="2:92" ht="10.5" customHeight="1" x14ac:dyDescent="0.25">
      <c r="B20" s="167"/>
      <c r="C20" s="159" t="str">
        <f>IF(ISNUMBER(C19),IF(COUNTIFS(JP_StartSel,DATE(Planungsjahr,1,C19),JP_ShowSel,TRUE)&gt;0,"S",IF(COUNTIF(Feiertage,DATE(Planungsjahr,1,C19))&gt;0,"h","")),"")</f>
        <v/>
      </c>
      <c r="D20" s="159" t="str">
        <f>IF(ISNUMBER(C19),IF(COUNTIFS(JP_StartInhalt,DATE(Planungsjahr,1,C19),JP_ShowInhalt,TRUE)&gt;0,"I",IF(COUNTIF(Feiertage,DATE(Planungsjahr,1,C19))&gt;0,"h","")),"")</f>
        <v/>
      </c>
      <c r="E20" s="159" t="str">
        <f>IF(ISNUMBER(C19),IF(COUNTIFS(JP_PAL,DATE(Planungsjahr,1,C19),JP_ShowPAL,TRUE)&gt;0,"P",IF(COUNTIF(Feiertage,DATE(Planungsjahr,1,C19))&gt;0,"h","")),"")</f>
        <v/>
      </c>
      <c r="F20" s="159" t="str">
        <f>IF(ISNUMBER(F19),IF(COUNTIFS(JP_StartSel,DATE(Planungsjahr,1,F19),JP_ShowSel,TRUE)&gt;0,"S",IF(COUNTIF(Feiertage,DATE(Planungsjahr,1,F19))&gt;0,"h","")),"")</f>
        <v/>
      </c>
      <c r="G20" s="159" t="str">
        <f>IF(ISNUMBER(F19),IF(COUNTIFS(JP_StartInhalt,DATE(Planungsjahr,1,F19),JP_ShowInhalt,TRUE)&gt;0,"I",IF(COUNTIF(Feiertage,DATE(Planungsjahr,1,F19))&gt;0,"h","")),"")</f>
        <v/>
      </c>
      <c r="H20" s="159" t="str">
        <f>IF(ISNUMBER(F19),IF(COUNTIFS(JP_PAL,DATE(Planungsjahr,1,F19),JP_ShowPAL,TRUE)&gt;0,"P",IF(COUNTIF(Feiertage,DATE(Planungsjahr,1,F19))&gt;0,"h","")),"")</f>
        <v/>
      </c>
      <c r="I20" s="159" t="str">
        <f>IF(ISNUMBER(I19),IF(COUNTIFS(JP_StartSel,DATE(Planungsjahr,1,I19),JP_ShowSel,TRUE)&gt;0,"S",IF(COUNTIF(Feiertage,DATE(Planungsjahr,1,I19))&gt;0,"h","")),"")</f>
        <v/>
      </c>
      <c r="J20" s="159" t="str">
        <f>IF(ISNUMBER(I19),IF(COUNTIFS(JP_StartInhalt,DATE(Planungsjahr,1,I19),JP_ShowInhalt,TRUE)&gt;0,"I",IF(COUNTIF(Feiertage,DATE(Planungsjahr,1,I19))&gt;0,"h","")),"")</f>
        <v/>
      </c>
      <c r="K20" s="159" t="str">
        <f>IF(ISNUMBER(I19),IF(COUNTIFS(JP_PAL,DATE(Planungsjahr,1,I19),JP_ShowPAL,TRUE)&gt;0,"P",IF(COUNTIF(Feiertage,DATE(Planungsjahr,1,I19))&gt;0,"h","")),"")</f>
        <v/>
      </c>
      <c r="L20" s="159" t="str">
        <f>IF(ISNUMBER(L19),IF(COUNTIFS(JP_StartSel,DATE(Planungsjahr,1,L19),JP_ShowSel,TRUE)&gt;0,"S",IF(COUNTIF(Feiertage,DATE(Planungsjahr,1,L19))&gt;0,"h","")),"")</f>
        <v/>
      </c>
      <c r="M20" s="159" t="str">
        <f>IF(ISNUMBER(L19),IF(COUNTIFS(JP_StartInhalt,DATE(Planungsjahr,1,L19),JP_ShowInhalt,TRUE)&gt;0,"I",IF(COUNTIF(Feiertage,DATE(Planungsjahr,1,L19))&gt;0,"h","")),"")</f>
        <v/>
      </c>
      <c r="N20" s="159" t="str">
        <f>IF(ISNUMBER(L19),IF(COUNTIFS(JP_PAL,DATE(Planungsjahr,1,L19),JP_ShowPAL,TRUE)&gt;0,"P",IF(COUNTIF(Feiertage,DATE(Planungsjahr,1,L19))&gt;0,"h","")),"")</f>
        <v/>
      </c>
      <c r="O20" s="159" t="str">
        <f>IF(ISNUMBER(O19),IF(COUNTIFS(JP_StartSel,DATE(Planungsjahr,1,O19),JP_ShowSel,TRUE)&gt;0,"S",IF(COUNTIF(Feiertage,DATE(Planungsjahr,1,O19))&gt;0,"h","")),"")</f>
        <v/>
      </c>
      <c r="P20" s="159" t="str">
        <f>IF(ISNUMBER(O19),IF(COUNTIFS(JP_StartInhalt,DATE(Planungsjahr,1,O19),JP_ShowInhalt,TRUE)&gt;0,"I",IF(COUNTIF(Feiertage,DATE(Planungsjahr,1,O19))&gt;0,"h","")),"")</f>
        <v/>
      </c>
      <c r="Q20" s="159" t="str">
        <f>IF(ISNUMBER(O19),IF(COUNTIFS(JP_PAL,DATE(Planungsjahr,1,O19),JP_ShowPAL,TRUE)&gt;0,"P",IF(COUNTIF(Feiertage,DATE(Planungsjahr,1,O19))&gt;0,"h","")),"")</f>
        <v/>
      </c>
      <c r="R20" s="159" t="str">
        <f>IF(ISNUMBER(R19),IF(COUNTIFS(JP_StartSel,DATE(Planungsjahr,1,R19),JP_ShowSel,TRUE)&gt;0,"S",IF(COUNTIF(Feiertage,DATE(Planungsjahr,1,R19))&gt;0,"h","w")),"")</f>
        <v>w</v>
      </c>
      <c r="S20" s="159" t="str">
        <f>IF(ISNUMBER(R19),IF(COUNTIFS(JP_StartInhalt,DATE(Planungsjahr,1,R19),JP_ShowInhalt,TRUE)&gt;0,"I",IF(COUNTIF(Feiertage,DATE(Planungsjahr,1,R19))&gt;0,"h","w")),"")</f>
        <v>w</v>
      </c>
      <c r="T20" s="159" t="str">
        <f>IF(ISNUMBER(R19),IF(COUNTIFS(JP_PAL,DATE(Planungsjahr,1,R19),JP_ShowPAL,TRUE)&gt;0,"P",IF(COUNTIF(Feiertage,DATE(Planungsjahr,1,R19))&gt;0,"h","w")),"")</f>
        <v>w</v>
      </c>
      <c r="U20" s="159" t="str">
        <f>IF(ISNUMBER(U19),IF(COUNTIFS(JP_StartSel,DATE(Planungsjahr,1,U19),JP_ShowSel,TRUE)&gt;0,"S",IF(COUNTIF(Feiertage,DATE(Planungsjahr,1,U19))&gt;0,"h","w")),"")</f>
        <v>w</v>
      </c>
      <c r="V20" s="159" t="str">
        <f>IF(ISNUMBER(U19),IF(COUNTIFS(JP_StartInhalt,DATE(Planungsjahr,1,U19),JP_ShowInhalt,TRUE)&gt;0,"I",IF(COUNTIF(Feiertage,DATE(Planungsjahr,1,U19))&gt;0,"h","w")),"")</f>
        <v>w</v>
      </c>
      <c r="W20" s="168" t="str">
        <f>IF(ISNUMBER(U19),IF(COUNTIFS(JP_PAL,DATE(Planungsjahr,1,U19),JP_ShowPAL,TRUE)&gt;0,"P",IF(COUNTIF(Feiertage,DATE(Planungsjahr,1,U19))&gt;0,"h","w")),"")</f>
        <v>w</v>
      </c>
      <c r="Y20" s="179"/>
      <c r="Z20" s="159" t="str">
        <f>IF(ISNUMBER(Z19),IF(COUNTIFS(JP_StartSel,DATE(Planungsjahr,2,Z19),JP_ShowSel,TRUE)&gt;0,"S",IF(COUNTIF(Feiertage,DATE(Planungsjahr,2,Z19))&gt;0,"h","")),"")</f>
        <v/>
      </c>
      <c r="AA20" s="159" t="str">
        <f>IF(ISNUMBER(Z19),IF(COUNTIFS(JP_StartInhalt,DATE(Planungsjahr,2,Z19),JP_ShowInhalt,TRUE)&gt;0,"I",IF(COUNTIF(Feiertage,DATE(Planungsjahr,2,Z19))&gt;0,"h","")),"")</f>
        <v/>
      </c>
      <c r="AB20" s="159" t="str">
        <f>IF(ISNUMBER(Z19),IF(COUNTIFS(JP_PAL,DATE(Planungsjahr,2,Z19),JP_ShowPAL,TRUE)&gt;0,"P",IF(COUNTIF(Feiertage,DATE(Planungsjahr,2,Z19))&gt;0,"h","")),"")</f>
        <v/>
      </c>
      <c r="AC20" s="159" t="str">
        <f>IF(ISNUMBER(AC19),IF(COUNTIFS(JP_StartSel,DATE(Planungsjahr,2,AC19),JP_ShowSel,TRUE)&gt;0,"S",IF(COUNTIF(Feiertage,DATE(Planungsjahr,2,AC19))&gt;0,"h","")),"")</f>
        <v/>
      </c>
      <c r="AD20" s="159" t="str">
        <f>IF(ISNUMBER(AC19),IF(COUNTIFS(JP_StartInhalt,DATE(Planungsjahr,2,AC19),JP_ShowInhalt,TRUE)&gt;0,"I",IF(COUNTIF(Feiertage,DATE(Planungsjahr,2,AC19))&gt;0,"h","")),"")</f>
        <v/>
      </c>
      <c r="AE20" s="159" t="str">
        <f>IF(ISNUMBER(AC19),IF(COUNTIFS(JP_PAL,DATE(Planungsjahr,2,AC19),JP_ShowPAL,TRUE)&gt;0,"P",IF(COUNTIF(Feiertage,DATE(Planungsjahr,2,AC19))&gt;0,"h","")),"")</f>
        <v/>
      </c>
      <c r="AF20" s="159" t="str">
        <f>IF(ISNUMBER(AF19),IF(COUNTIFS(JP_StartSel,DATE(Planungsjahr,2,AF19),JP_ShowSel,TRUE)&gt;0,"S",IF(COUNTIF(Feiertage,DATE(Planungsjahr,2,AF19))&gt;0,"h","")),"")</f>
        <v/>
      </c>
      <c r="AG20" s="159" t="str">
        <f>IF(ISNUMBER(AF19),IF(COUNTIFS(JP_StartInhalt,DATE(Planungsjahr,2,AF19),JP_ShowInhalt,TRUE)&gt;0,"I",IF(COUNTIF(Feiertage,DATE(Planungsjahr,2,AF19))&gt;0,"h","")),"")</f>
        <v>I</v>
      </c>
      <c r="AH20" s="159" t="str">
        <f>IF(ISNUMBER(AF19),IF(COUNTIFS(JP_PAL,DATE(Planungsjahr,2,AF19),JP_ShowPAL,TRUE)&gt;0,"P",IF(COUNTIF(Feiertage,DATE(Planungsjahr,2,AF19))&gt;0,"h","")),"")</f>
        <v/>
      </c>
      <c r="AI20" s="159" t="str">
        <f>IF(ISNUMBER(AI19),IF(COUNTIFS(JP_StartSel,DATE(Planungsjahr,2,AI19),JP_ShowSel,TRUE)&gt;0,"S",IF(COUNTIF(Feiertage,DATE(Planungsjahr,2,AI19))&gt;0,"h","")),"")</f>
        <v/>
      </c>
      <c r="AJ20" s="159" t="str">
        <f>IF(ISNUMBER(AI19),IF(COUNTIFS(JP_StartInhalt,DATE(Planungsjahr,2,AI19),JP_ShowInhalt,TRUE)&gt;0,"I",IF(COUNTIF(Feiertage,DATE(Planungsjahr,2,AI19))&gt;0,"h","")),"")</f>
        <v/>
      </c>
      <c r="AK20" s="159" t="str">
        <f>IF(ISNUMBER(AI19),IF(COUNTIFS(JP_PAL,DATE(Planungsjahr,2,AI19),JP_ShowPAL,TRUE)&gt;0,"P",IF(COUNTIF(Feiertage,DATE(Planungsjahr,2,AI19))&gt;0,"h","")),"")</f>
        <v/>
      </c>
      <c r="AL20" s="159" t="str">
        <f>IF(ISNUMBER(AL19),IF(COUNTIFS(JP_StartSel,DATE(Planungsjahr,2,AL19),JP_ShowSel,TRUE)&gt;0,"S",IF(COUNTIF(Feiertage,DATE(Planungsjahr,2,AL19))&gt;0,"h","")),"")</f>
        <v/>
      </c>
      <c r="AM20" s="159" t="str">
        <f>IF(ISNUMBER(AL19),IF(COUNTIFS(JP_StartInhalt,DATE(Planungsjahr,2,AL19),JP_ShowInhalt,TRUE)&gt;0,"I",IF(COUNTIF(Feiertage,DATE(Planungsjahr,2,AL19))&gt;0,"h","")),"")</f>
        <v/>
      </c>
      <c r="AN20" s="159" t="str">
        <f>IF(ISNUMBER(AL19),IF(COUNTIFS(JP_PAL,DATE(Planungsjahr,2,AL19),JP_ShowPAL,TRUE)&gt;0,"P",IF(COUNTIF(Feiertage,DATE(Planungsjahr,2,AL19))&gt;0,"h","")),"")</f>
        <v/>
      </c>
      <c r="AO20" s="159" t="str">
        <f>IF(ISNUMBER(AO19),IF(COUNTIFS(JP_StartSel,DATE(Planungsjahr,2,AO19),JP_ShowSel,TRUE)&gt;0,"S",IF(COUNTIF(Feiertage,DATE(Planungsjahr,2,AO19))&gt;0,"h","w")),"")</f>
        <v>w</v>
      </c>
      <c r="AP20" s="159" t="str">
        <f>IF(ISNUMBER(AO19),IF(COUNTIFS(JP_StartInhalt,DATE(Planungsjahr,2,AO19),JP_ShowInhalt,TRUE)&gt;0,"I",IF(COUNTIF(Feiertage,DATE(Planungsjahr,2,AO19))&gt;0,"h","w")),"")</f>
        <v>w</v>
      </c>
      <c r="AQ20" s="159" t="str">
        <f>IF(ISNUMBER(AO19),IF(COUNTIFS(JP_PAL,DATE(Planungsjahr,2,AO19),JP_ShowPAL,TRUE)&gt;0,"P",IF(COUNTIF(Feiertage,DATE(Planungsjahr,2,AO19))&gt;0,"h","w")),"")</f>
        <v>w</v>
      </c>
      <c r="AR20" s="159" t="str">
        <f>IF(ISNUMBER(AR19),IF(COUNTIFS(JP_StartSel,DATE(Planungsjahr,2,AR19),JP_ShowSel,TRUE)&gt;0,"S",IF(COUNTIF(Feiertage,DATE(Planungsjahr,2,AR19))&gt;0,"h","w")),"")</f>
        <v>w</v>
      </c>
      <c r="AS20" s="159" t="str">
        <f>IF(ISNUMBER(AR19),IF(COUNTIFS(JP_StartInhalt,DATE(Planungsjahr,2,AR19),JP_ShowInhalt,TRUE)&gt;0,"I",IF(COUNTIF(Feiertage,DATE(Planungsjahr,2,AR19))&gt;0,"h","w")),"")</f>
        <v>w</v>
      </c>
      <c r="AT20" s="180" t="str">
        <f>IF(ISNUMBER(AR19),IF(COUNTIFS(JP_PAL,DATE(Planungsjahr,2,AR19),JP_ShowPAL,TRUE)&gt;0,"P",IF(COUNTIF(Feiertage,DATE(Planungsjahr,2,AR19))&gt;0,"h","w")),"")</f>
        <v>w</v>
      </c>
      <c r="AV20" s="179"/>
      <c r="AW20" s="159" t="str">
        <f>IF(ISNUMBER(AW19),IF(COUNTIFS(JP_StartSel,DATE(Planungsjahr,3,AW19),JP_ShowSel,TRUE)&gt;0,"S",IF(COUNTIF(Feiertage,DATE(Planungsjahr,3,AW19))&gt;0,"h","")),"")</f>
        <v/>
      </c>
      <c r="AX20" s="159" t="str">
        <f>IF(ISNUMBER(AW19),IF(COUNTIFS(JP_StartInhalt,DATE(Planungsjahr,3,AW19),JP_ShowInhalt,TRUE)&gt;0,"I",IF(COUNTIF(Feiertage,DATE(Planungsjahr,3,AW19))&gt;0,"h","")),"")</f>
        <v/>
      </c>
      <c r="AY20" s="159" t="str">
        <f>IF(ISNUMBER(AW19),IF(COUNTIFS(JP_PAL,DATE(Planungsjahr,3,AW19),JP_ShowPAL,TRUE)&gt;0,"P",IF(COUNTIF(Feiertage,DATE(Planungsjahr,3,AW19))&gt;0,"h","")),"")</f>
        <v/>
      </c>
      <c r="AZ20" s="159" t="str">
        <f>IF(ISNUMBER(AZ19),IF(COUNTIFS(JP_StartSel,DATE(Planungsjahr,3,AZ19),JP_ShowSel,TRUE)&gt;0,"S",IF(COUNTIF(Feiertage,DATE(Planungsjahr,3,AZ19))&gt;0,"h","")),"")</f>
        <v/>
      </c>
      <c r="BA20" s="159" t="str">
        <f>IF(ISNUMBER(AZ19),IF(COUNTIFS(JP_StartInhalt,DATE(Planungsjahr,3,AZ19),JP_ShowInhalt,TRUE)&gt;0,"I",IF(COUNTIF(Feiertage,DATE(Planungsjahr,3,AZ19))&gt;0,"h","")),"")</f>
        <v/>
      </c>
      <c r="BB20" s="159" t="str">
        <f>IF(ISNUMBER(AZ19),IF(COUNTIFS(JP_PAL,DATE(Planungsjahr,3,AZ19),JP_ShowPAL,TRUE)&gt;0,"P",IF(COUNTIF(Feiertage,DATE(Planungsjahr,3,AZ19))&gt;0,"h","")),"")</f>
        <v/>
      </c>
      <c r="BC20" s="159" t="str">
        <f>IF(ISNUMBER(BC19),IF(COUNTIFS(JP_StartSel,DATE(Planungsjahr,3,BC19),JP_ShowSel,TRUE)&gt;0,"S",IF(COUNTIF(Feiertage,DATE(Planungsjahr,3,BC19))&gt;0,"h","")),"")</f>
        <v/>
      </c>
      <c r="BD20" s="159" t="str">
        <f>IF(ISNUMBER(BC19),IF(COUNTIFS(JP_StartInhalt,DATE(Planungsjahr,3,BC19),JP_ShowInhalt,TRUE)&gt;0,"I",IF(COUNTIF(Feiertage,DATE(Planungsjahr,3,BC19))&gt;0,"h","")),"")</f>
        <v/>
      </c>
      <c r="BE20" s="159" t="str">
        <f>IF(ISNUMBER(BC19),IF(COUNTIFS(JP_PAL,DATE(Planungsjahr,3,BC19),JP_ShowPAL,TRUE)&gt;0,"P",IF(COUNTIF(Feiertage,DATE(Planungsjahr,3,BC19))&gt;0,"h","")),"")</f>
        <v/>
      </c>
      <c r="BF20" s="159" t="str">
        <f>IF(ISNUMBER(BF19),IF(COUNTIFS(JP_StartSel,DATE(Planungsjahr,3,BF19),JP_ShowSel,TRUE)&gt;0,"S",IF(COUNTIF(Feiertage,DATE(Planungsjahr,3,BF19))&gt;0,"h","")),"")</f>
        <v/>
      </c>
      <c r="BG20" s="159" t="str">
        <f>IF(ISNUMBER(BF19),IF(COUNTIFS(JP_StartInhalt,DATE(Planungsjahr,3,BF19),JP_ShowInhalt,TRUE)&gt;0,"I",IF(COUNTIF(Feiertage,DATE(Planungsjahr,3,BF19))&gt;0,"h","")),"")</f>
        <v/>
      </c>
      <c r="BH20" s="159" t="str">
        <f>IF(ISNUMBER(BF19),IF(COUNTIFS(JP_PAL,DATE(Planungsjahr,3,BF19),JP_ShowPAL,TRUE)&gt;0,"P",IF(COUNTIF(Feiertage,DATE(Planungsjahr,3,BF19))&gt;0,"h","")),"")</f>
        <v/>
      </c>
      <c r="BI20" s="159" t="str">
        <f>IF(ISNUMBER(BI19),IF(COUNTIFS(JP_StartSel,DATE(Planungsjahr,3,BI19),JP_ShowSel,TRUE)&gt;0,"S",IF(COUNTIF(Feiertage,DATE(Planungsjahr,3,BI19))&gt;0,"h","")),"")</f>
        <v>h</v>
      </c>
      <c r="BJ20" s="159" t="str">
        <f>IF(ISNUMBER(BI19),IF(COUNTIFS(JP_StartInhalt,DATE(Planungsjahr,3,BI19),JP_ShowInhalt,TRUE)&gt;0,"I",IF(COUNTIF(Feiertage,DATE(Planungsjahr,3,BI19))&gt;0,"h","")),"")</f>
        <v>h</v>
      </c>
      <c r="BK20" s="159" t="str">
        <f>IF(ISNUMBER(BI19),IF(COUNTIFS(JP_PAL,DATE(Planungsjahr,3,BI19),JP_ShowPAL,TRUE)&gt;0,"P",IF(COUNTIF(Feiertage,DATE(Planungsjahr,3,BI19))&gt;0,"h","")),"")</f>
        <v>h</v>
      </c>
      <c r="BL20" s="159" t="str">
        <f>IF(ISNUMBER(BL19),IF(COUNTIFS(JP_StartSel,DATE(Planungsjahr,3,BL19),JP_ShowSel,TRUE)&gt;0,"S",IF(COUNTIF(Feiertage,DATE(Planungsjahr,3,BL19))&gt;0,"h","w")),"")</f>
        <v>w</v>
      </c>
      <c r="BM20" s="159" t="str">
        <f>IF(ISNUMBER(BL19),IF(COUNTIFS(JP_StartInhalt,DATE(Planungsjahr,3,BL19),JP_ShowInhalt,TRUE)&gt;0,"I",IF(COUNTIF(Feiertage,DATE(Planungsjahr,3,BL19))&gt;0,"h","w")),"")</f>
        <v>w</v>
      </c>
      <c r="BN20" s="159" t="str">
        <f>IF(ISNUMBER(BL19),IF(COUNTIFS(JP_PAL,DATE(Planungsjahr,3,BL19),JP_ShowPAL,TRUE)&gt;0,"P",IF(COUNTIF(Feiertage,DATE(Planungsjahr,3,BL19))&gt;0,"h","w")),"")</f>
        <v>w</v>
      </c>
      <c r="BO20" s="159" t="str">
        <f>IF(ISNUMBER(BO19),IF(COUNTIFS(JP_StartSel,DATE(Planungsjahr,3,BO19),JP_ShowSel,TRUE)&gt;0,"S",IF(COUNTIF(Feiertage,DATE(Planungsjahr,3,BO19))&gt;0,"h","w")),"")</f>
        <v>w</v>
      </c>
      <c r="BP20" s="159" t="str">
        <f>IF(ISNUMBER(BO19),IF(COUNTIFS(JP_StartInhalt,DATE(Planungsjahr,3,BO19),JP_ShowInhalt,TRUE)&gt;0,"I",IF(COUNTIF(Feiertage,DATE(Planungsjahr,3,BO19))&gt;0,"h","w")),"")</f>
        <v>w</v>
      </c>
      <c r="BQ20" s="180" t="str">
        <f>IF(ISNUMBER(BO19),IF(COUNTIFS(JP_PAL,DATE(Planungsjahr,3,BO19),JP_ShowPAL,TRUE)&gt;0,"P",IF(COUNTIF(Feiertage,DATE(Planungsjahr,3,BO19))&gt;0,"h","w")),"")</f>
        <v>w</v>
      </c>
      <c r="BS20" s="179"/>
      <c r="BT20" s="159" t="str">
        <f>IF(ISNUMBER(BT19),IF(COUNTIFS(JP_StartSel,DATE(Planungsjahr,4,BT19),JP_ShowSel,TRUE)&gt;0,"S",IF(COUNTIF(Feiertage,DATE(Planungsjahr,4,BT19))&gt;0,"h","")),"")</f>
        <v/>
      </c>
      <c r="BU20" s="159" t="str">
        <f>IF(ISNUMBER(BT19),IF(COUNTIFS(JP_StartInhalt,DATE(Planungsjahr,4,BT19),JP_ShowInhalt,TRUE)&gt;0,"I",IF(COUNTIF(Feiertage,DATE(Planungsjahr,4,BT19))&gt;0,"h","")),"")</f>
        <v/>
      </c>
      <c r="BV20" s="159" t="str">
        <f>IF(ISNUMBER(BT19),IF(COUNTIFS(JP_PAL,DATE(Planungsjahr,4,BT19),JP_ShowPAL,TRUE)&gt;0,"P",IF(COUNTIF(Feiertage,DATE(Planungsjahr,4,BT19))&gt;0,"h","")),"")</f>
        <v/>
      </c>
      <c r="BW20" s="159" t="str">
        <f>IF(ISNUMBER(BW19),IF(COUNTIFS(JP_StartSel,DATE(Planungsjahr,4,BW19),JP_ShowSel,TRUE)&gt;0,"S",IF(COUNTIF(Feiertage,DATE(Planungsjahr,4,BW19))&gt;0,"h","")),"")</f>
        <v/>
      </c>
      <c r="BX20" s="159" t="str">
        <f>IF(ISNUMBER(BW19),IF(COUNTIFS(JP_StartInhalt,DATE(Planungsjahr,4,BW19),JP_ShowInhalt,TRUE)&gt;0,"I",IF(COUNTIF(Feiertage,DATE(Planungsjahr,4,BW19))&gt;0,"h","")),"")</f>
        <v/>
      </c>
      <c r="BY20" s="159" t="str">
        <f>IF(ISNUMBER(BW19),IF(COUNTIFS(JP_PAL,DATE(Planungsjahr,4,BW19),JP_ShowPAL,TRUE)&gt;0,"P",IF(COUNTIF(Feiertage,DATE(Planungsjahr,4,BW19))&gt;0,"h","")),"")</f>
        <v/>
      </c>
      <c r="BZ20" s="159" t="str">
        <f>IF(ISNUMBER(BZ19),IF(COUNTIFS(JP_StartSel,DATE(Planungsjahr,4,BZ19),JP_ShowSel,TRUE)&gt;0,"S",IF(COUNTIF(Feiertage,DATE(Planungsjahr,4,BZ19))&gt;0,"h","")),"")</f>
        <v/>
      </c>
      <c r="CA20" s="159" t="str">
        <f>IF(ISNUMBER(BZ19),IF(COUNTIFS(JP_StartInhalt,DATE(Planungsjahr,4,BZ19),JP_ShowInhalt,TRUE)&gt;0,"I",IF(COUNTIF(Feiertage,DATE(Planungsjahr,4,BZ19))&gt;0,"h","")),"")</f>
        <v/>
      </c>
      <c r="CB20" s="159" t="str">
        <f>IF(ISNUMBER(BZ19),IF(COUNTIFS(JP_PAL,DATE(Planungsjahr,4,BZ19),JP_ShowPAL,TRUE)&gt;0,"P",IF(COUNTIF(Feiertage,DATE(Planungsjahr,4,BZ19))&gt;0,"h","")),"")</f>
        <v/>
      </c>
      <c r="CC20" s="159" t="str">
        <f>IF(ISNUMBER(CC19),IF(COUNTIFS(JP_StartSel,DATE(Planungsjahr,4,CC19),JP_ShowSel,TRUE)&gt;0,"S",IF(COUNTIF(Feiertage,DATE(Planungsjahr,4,CC19))&gt;0,"h","")),"")</f>
        <v/>
      </c>
      <c r="CD20" s="159" t="str">
        <f>IF(ISNUMBER(CC19),IF(COUNTIFS(JP_StartInhalt,DATE(Planungsjahr,4,CC19),JP_ShowInhalt,TRUE)&gt;0,"I",IF(COUNTIF(Feiertage,DATE(Planungsjahr,4,CC19))&gt;0,"h","")),"")</f>
        <v>I</v>
      </c>
      <c r="CE20" s="159" t="str">
        <f>IF(ISNUMBER(CC19),IF(COUNTIFS(JP_PAL,DATE(Planungsjahr,4,CC19),JP_ShowPAL,TRUE)&gt;0,"P",IF(COUNTIF(Feiertage,DATE(Planungsjahr,4,CC19))&gt;0,"h","")),"")</f>
        <v/>
      </c>
      <c r="CF20" s="159" t="str">
        <f>IF(ISNUMBER(CF19),IF(COUNTIFS(JP_StartSel,DATE(Planungsjahr,4,CF19),JP_ShowSel,TRUE)&gt;0,"S",IF(COUNTIF(Feiertage,DATE(Planungsjahr,4,CF19))&gt;0,"h","")),"")</f>
        <v/>
      </c>
      <c r="CG20" s="159" t="str">
        <f>IF(ISNUMBER(CF19),IF(COUNTIFS(JP_StartInhalt,DATE(Planungsjahr,4,CF19),JP_ShowInhalt,TRUE)&gt;0,"I",IF(COUNTIF(Feiertage,DATE(Planungsjahr,4,CF19))&gt;0,"h","")),"")</f>
        <v/>
      </c>
      <c r="CH20" s="159" t="str">
        <f>IF(ISNUMBER(CF19),IF(COUNTIFS(JP_PAL,DATE(Planungsjahr,4,CF19),JP_ShowPAL,TRUE)&gt;0,"P",IF(COUNTIF(Feiertage,DATE(Planungsjahr,4,CF19))&gt;0,"h","")),"")</f>
        <v>P</v>
      </c>
      <c r="CI20" s="159" t="str">
        <f>IF(ISNUMBER(CI19),IF(COUNTIFS(JP_StartSel,DATE(Planungsjahr,4,CI19),JP_ShowSel,TRUE)&gt;0,"S",IF(COUNTIF(Feiertage,DATE(Planungsjahr,4,CI19))&gt;0,"h","w")),"")</f>
        <v>w</v>
      </c>
      <c r="CJ20" s="159" t="str">
        <f>IF(ISNUMBER(CI19),IF(COUNTIFS(JP_StartInhalt,DATE(Planungsjahr,4,CI19),JP_ShowInhalt,TRUE)&gt;0,"I",IF(COUNTIF(Feiertage,DATE(Planungsjahr,4,CI19))&gt;0,"h","w")),"")</f>
        <v>w</v>
      </c>
      <c r="CK20" s="159" t="str">
        <f>IF(ISNUMBER(CI19),IF(COUNTIFS(JP_PAL,DATE(Planungsjahr,4,CI19),JP_ShowPAL,TRUE)&gt;0,"P",IF(COUNTIF(Feiertage,DATE(Planungsjahr,4,CI19))&gt;0,"h","w")),"")</f>
        <v>w</v>
      </c>
      <c r="CL20" s="159" t="str">
        <f>IF(ISNUMBER(CL19),IF(COUNTIFS(JP_StartSel,DATE(Planungsjahr,4,CL19),JP_ShowSel,TRUE)&gt;0,"S",IF(COUNTIF(Feiertage,DATE(Planungsjahr,4,CL19))&gt;0,"h","w")),"")</f>
        <v>w</v>
      </c>
      <c r="CM20" s="159" t="str">
        <f>IF(ISNUMBER(CL19),IF(COUNTIFS(JP_StartInhalt,DATE(Planungsjahr,4,CL19),JP_ShowInhalt,TRUE)&gt;0,"I",IF(COUNTIF(Feiertage,DATE(Planungsjahr,4,CL19))&gt;0,"h","w")),"")</f>
        <v>w</v>
      </c>
      <c r="CN20" s="180" t="str">
        <f>IF(ISNUMBER(CL19),IF(COUNTIFS(JP_PAL,DATE(Planungsjahr,4,CL19),JP_ShowPAL,TRUE)&gt;0,"P",IF(COUNTIF(Feiertage,DATE(Planungsjahr,4,CL19))&gt;0,"h","w")),"")</f>
        <v>w</v>
      </c>
    </row>
    <row r="21" spans="2:92" ht="15.95" customHeight="1" x14ac:dyDescent="0.25">
      <c r="B21" s="165">
        <f>IF(OR(ISNUMBER(C21),ISNUMBER(U21)),_xlfn.ISOWEEKNUM(DATE(Planungsjahr,1,1)-WEEKDAY(DATE(Planungsjahr,1,1),2)+29),"")</f>
        <v>4</v>
      </c>
      <c r="C21" s="188">
        <f>IF(MONTH(DATE(Planungsjahr,1,1)-WEEKDAY(DATE(Planungsjahr,1,1),2)+29)=1,DAY(DATE(Planungsjahr,1,1)-WEEKDAY(DATE(Planungsjahr,1,1),2)+29),"")</f>
        <v>25</v>
      </c>
      <c r="D21" s="188"/>
      <c r="E21" s="188"/>
      <c r="F21" s="188">
        <f>IF(MONTH(DATE(Planungsjahr,1,1)-WEEKDAY(DATE(Planungsjahr,1,1),2)+30)=1,DAY(DATE(Planungsjahr,1,1)-WEEKDAY(DATE(Planungsjahr,1,1),2)+30),"")</f>
        <v>26</v>
      </c>
      <c r="G21" s="188"/>
      <c r="H21" s="188"/>
      <c r="I21" s="188">
        <f>IF(MONTH(DATE(Planungsjahr,1,1)-WEEKDAY(DATE(Planungsjahr,1,1),2)+31)=1,DAY(DATE(Planungsjahr,1,1)-WEEKDAY(DATE(Planungsjahr,1,1),2)+31),"")</f>
        <v>27</v>
      </c>
      <c r="J21" s="188"/>
      <c r="K21" s="188"/>
      <c r="L21" s="188">
        <f>IF(MONTH(DATE(Planungsjahr,1,1)-WEEKDAY(DATE(Planungsjahr,1,1),2)+32)=1,DAY(DATE(Planungsjahr,1,1)-WEEKDAY(DATE(Planungsjahr,1,1),2)+32),"")</f>
        <v>28</v>
      </c>
      <c r="M21" s="188"/>
      <c r="N21" s="188"/>
      <c r="O21" s="188">
        <f>IF(MONTH(DATE(Planungsjahr,1,1)-WEEKDAY(DATE(Planungsjahr,1,1),2)+33)=1,DAY(DATE(Planungsjahr,1,1)-WEEKDAY(DATE(Planungsjahr,1,1),2)+33),"")</f>
        <v>29</v>
      </c>
      <c r="P21" s="188"/>
      <c r="Q21" s="188"/>
      <c r="R21" s="188">
        <f>IF(MONTH(DATE(Planungsjahr,1,1)-WEEKDAY(DATE(Planungsjahr,1,1),2)+34)=1,DAY(DATE(Planungsjahr,1,1)-WEEKDAY(DATE(Planungsjahr,1,1),2)+34),"")</f>
        <v>30</v>
      </c>
      <c r="S21" s="188"/>
      <c r="T21" s="188"/>
      <c r="U21" s="188">
        <f>IF(MONTH(DATE(Planungsjahr,1,1)-WEEKDAY(DATE(Planungsjahr,1,1),2)+35)=1,DAY(DATE(Planungsjahr,1,1)-WEEKDAY(DATE(Planungsjahr,1,1),2)+35),"")</f>
        <v>31</v>
      </c>
      <c r="V21" s="188"/>
      <c r="W21" s="189"/>
      <c r="Y21" s="177" t="str">
        <f>IF(OR(ISNUMBER(Z21),ISNUMBER(AR21)),_xlfn.ISOWEEKNUM(DATE(Planungsjahr,2,1)-WEEKDAY(DATE(Planungsjahr,2,1),2)+29),"")</f>
        <v/>
      </c>
      <c r="Z21" s="188" t="str">
        <f>IF(MONTH(DATE(Planungsjahr,2,1)-WEEKDAY(DATE(Planungsjahr,2,1),2)+29)=2,DAY(DATE(Planungsjahr,2,1)-WEEKDAY(DATE(Planungsjahr,2,1),2)+29),"")</f>
        <v/>
      </c>
      <c r="AA21" s="188"/>
      <c r="AB21" s="188"/>
      <c r="AC21" s="188" t="str">
        <f>IF(MONTH(DATE(Planungsjahr,2,1)-WEEKDAY(DATE(Planungsjahr,2,1),2)+30)=2,DAY(DATE(Planungsjahr,2,1)-WEEKDAY(DATE(Planungsjahr,2,1),2)+30),"")</f>
        <v/>
      </c>
      <c r="AD21" s="188"/>
      <c r="AE21" s="188"/>
      <c r="AF21" s="188" t="str">
        <f>IF(MONTH(DATE(Planungsjahr,2,1)-WEEKDAY(DATE(Planungsjahr,2,1),2)+31)=2,DAY(DATE(Planungsjahr,2,1)-WEEKDAY(DATE(Planungsjahr,2,1),2)+31),"")</f>
        <v/>
      </c>
      <c r="AG21" s="188"/>
      <c r="AH21" s="188"/>
      <c r="AI21" s="188" t="str">
        <f>IF(MONTH(DATE(Planungsjahr,2,1)-WEEKDAY(DATE(Planungsjahr,2,1),2)+32)=2,DAY(DATE(Planungsjahr,2,1)-WEEKDAY(DATE(Planungsjahr,2,1),2)+32),"")</f>
        <v/>
      </c>
      <c r="AJ21" s="188"/>
      <c r="AK21" s="188"/>
      <c r="AL21" s="188" t="str">
        <f>IF(MONTH(DATE(Planungsjahr,2,1)-WEEKDAY(DATE(Planungsjahr,2,1),2)+33)=2,DAY(DATE(Planungsjahr,2,1)-WEEKDAY(DATE(Planungsjahr,2,1),2)+33),"")</f>
        <v/>
      </c>
      <c r="AM21" s="188"/>
      <c r="AN21" s="188"/>
      <c r="AO21" s="188" t="str">
        <f>IF(MONTH(DATE(Planungsjahr,2,1)-WEEKDAY(DATE(Planungsjahr,2,1),2)+34)=2,DAY(DATE(Planungsjahr,2,1)-WEEKDAY(DATE(Planungsjahr,2,1),2)+34),"")</f>
        <v/>
      </c>
      <c r="AP21" s="188"/>
      <c r="AQ21" s="188"/>
      <c r="AR21" s="188" t="str">
        <f>IF(MONTH(DATE(Planungsjahr,2,1)-WEEKDAY(DATE(Planungsjahr,2,1),2)+35)=2,DAY(DATE(Planungsjahr,2,1)-WEEKDAY(DATE(Planungsjahr,2,1),2)+35),"")</f>
        <v/>
      </c>
      <c r="AS21" s="188"/>
      <c r="AT21" s="190"/>
      <c r="AV21" s="177">
        <f>IF(OR(ISNUMBER(AW21),ISNUMBER(BO21)),_xlfn.ISOWEEKNUM(DATE(Planungsjahr,3,1)-WEEKDAY(DATE(Planungsjahr,3,1),2)+29),"")</f>
        <v>13</v>
      </c>
      <c r="AW21" s="188">
        <f>IF(MONTH(DATE(Planungsjahr,3,1)-WEEKDAY(DATE(Planungsjahr,3,1),2)+29)=3,DAY(DATE(Planungsjahr,3,1)-WEEKDAY(DATE(Planungsjahr,3,1),2)+29),"")</f>
        <v>29</v>
      </c>
      <c r="AX21" s="188"/>
      <c r="AY21" s="188"/>
      <c r="AZ21" s="188">
        <f>IF(MONTH(DATE(Planungsjahr,3,1)-WEEKDAY(DATE(Planungsjahr,3,1),2)+30)=3,DAY(DATE(Planungsjahr,3,1)-WEEKDAY(DATE(Planungsjahr,3,1),2)+30),"")</f>
        <v>30</v>
      </c>
      <c r="BA21" s="188"/>
      <c r="BB21" s="188"/>
      <c r="BC21" s="188">
        <f>IF(MONTH(DATE(Planungsjahr,3,1)-WEEKDAY(DATE(Planungsjahr,3,1),2)+31)=3,DAY(DATE(Planungsjahr,3,1)-WEEKDAY(DATE(Planungsjahr,3,1),2)+31),"")</f>
        <v>31</v>
      </c>
      <c r="BD21" s="188"/>
      <c r="BE21" s="188"/>
      <c r="BF21" s="188" t="str">
        <f>IF(MONTH(DATE(Planungsjahr,3,1)-WEEKDAY(DATE(Planungsjahr,3,1),2)+32)=3,DAY(DATE(Planungsjahr,3,1)-WEEKDAY(DATE(Planungsjahr,3,1),2)+32),"")</f>
        <v/>
      </c>
      <c r="BG21" s="188"/>
      <c r="BH21" s="188"/>
      <c r="BI21" s="188" t="str">
        <f>IF(MONTH(DATE(Planungsjahr,3,1)-WEEKDAY(DATE(Planungsjahr,3,1),2)+33)=3,DAY(DATE(Planungsjahr,3,1)-WEEKDAY(DATE(Planungsjahr,3,1),2)+33),"")</f>
        <v/>
      </c>
      <c r="BJ21" s="188"/>
      <c r="BK21" s="188"/>
      <c r="BL21" s="188" t="str">
        <f>IF(MONTH(DATE(Planungsjahr,3,1)-WEEKDAY(DATE(Planungsjahr,3,1),2)+34)=3,DAY(DATE(Planungsjahr,3,1)-WEEKDAY(DATE(Planungsjahr,3,1),2)+34),"")</f>
        <v/>
      </c>
      <c r="BM21" s="188"/>
      <c r="BN21" s="188"/>
      <c r="BO21" s="188" t="str">
        <f>IF(MONTH(DATE(Planungsjahr,3,1)-WEEKDAY(DATE(Planungsjahr,3,1),2)+35)=3,DAY(DATE(Planungsjahr,3,1)-WEEKDAY(DATE(Planungsjahr,3,1),2)+35),"")</f>
        <v/>
      </c>
      <c r="BP21" s="188"/>
      <c r="BQ21" s="190"/>
      <c r="BS21" s="177">
        <f>IF(OR(ISNUMBER(BT21),ISNUMBER(CL21)),_xlfn.ISOWEEKNUM(DATE(Planungsjahr,4,1)-WEEKDAY(DATE(Planungsjahr,4,1),2)+29),"")</f>
        <v>17</v>
      </c>
      <c r="BT21" s="188">
        <f>IF(MONTH(DATE(Planungsjahr,4,1)-WEEKDAY(DATE(Planungsjahr,4,1),2)+29)=4,DAY(DATE(Planungsjahr,4,1)-WEEKDAY(DATE(Planungsjahr,4,1),2)+29),"")</f>
        <v>26</v>
      </c>
      <c r="BU21" s="188"/>
      <c r="BV21" s="188"/>
      <c r="BW21" s="188">
        <f>IF(MONTH(DATE(Planungsjahr,4,1)-WEEKDAY(DATE(Planungsjahr,4,1),2)+30)=4,DAY(DATE(Planungsjahr,4,1)-WEEKDAY(DATE(Planungsjahr,4,1),2)+30),"")</f>
        <v>27</v>
      </c>
      <c r="BX21" s="188"/>
      <c r="BY21" s="188"/>
      <c r="BZ21" s="188">
        <f>IF(MONTH(DATE(Planungsjahr,4,1)-WEEKDAY(DATE(Planungsjahr,4,1),2)+31)=4,DAY(DATE(Planungsjahr,4,1)-WEEKDAY(DATE(Planungsjahr,4,1),2)+31),"")</f>
        <v>28</v>
      </c>
      <c r="CA21" s="188"/>
      <c r="CB21" s="188"/>
      <c r="CC21" s="188">
        <f>IF(MONTH(DATE(Planungsjahr,4,1)-WEEKDAY(DATE(Planungsjahr,4,1),2)+32)=4,DAY(DATE(Planungsjahr,4,1)-WEEKDAY(DATE(Planungsjahr,4,1),2)+32),"")</f>
        <v>29</v>
      </c>
      <c r="CD21" s="188"/>
      <c r="CE21" s="188"/>
      <c r="CF21" s="188">
        <f>IF(MONTH(DATE(Planungsjahr,4,1)-WEEKDAY(DATE(Planungsjahr,4,1),2)+33)=4,DAY(DATE(Planungsjahr,4,1)-WEEKDAY(DATE(Planungsjahr,4,1),2)+33),"")</f>
        <v>30</v>
      </c>
      <c r="CG21" s="188"/>
      <c r="CH21" s="188"/>
      <c r="CI21" s="188" t="str">
        <f>IF(MONTH(DATE(Planungsjahr,4,1)-WEEKDAY(DATE(Planungsjahr,4,1),2)+34)=4,DAY(DATE(Planungsjahr,4,1)-WEEKDAY(DATE(Planungsjahr,4,1),2)+34),"")</f>
        <v/>
      </c>
      <c r="CJ21" s="188"/>
      <c r="CK21" s="188"/>
      <c r="CL21" s="188" t="str">
        <f>IF(MONTH(DATE(Planungsjahr,4,1)-WEEKDAY(DATE(Planungsjahr,4,1),2)+35)=4,DAY(DATE(Planungsjahr,4,1)-WEEKDAY(DATE(Planungsjahr,4,1),2)+35),"")</f>
        <v/>
      </c>
      <c r="CM21" s="188"/>
      <c r="CN21" s="190"/>
    </row>
    <row r="22" spans="2:92" ht="10.5" customHeight="1" x14ac:dyDescent="0.25">
      <c r="B22" s="167"/>
      <c r="C22" s="159" t="str">
        <f>IF(ISNUMBER(C21),IF(COUNTIFS(JP_StartSel,DATE(Planungsjahr,1,C21),JP_ShowSel,TRUE)&gt;0,"S",IF(COUNTIF(Feiertage,DATE(Planungsjahr,1,C21))&gt;0,"h","")),"")</f>
        <v/>
      </c>
      <c r="D22" s="159" t="str">
        <f>IF(ISNUMBER(C21),IF(COUNTIFS(JP_StartInhalt,DATE(Planungsjahr,1,C21),JP_ShowInhalt,TRUE)&gt;0,"I",IF(COUNTIF(Feiertage,DATE(Planungsjahr,1,C21))&gt;0,"h","")),"")</f>
        <v/>
      </c>
      <c r="E22" s="159" t="str">
        <f>IF(ISNUMBER(C21),IF(COUNTIFS(JP_PAL,DATE(Planungsjahr,1,C21),JP_ShowPAL,TRUE)&gt;0,"P",IF(COUNTIF(Feiertage,DATE(Planungsjahr,1,C21))&gt;0,"h","")),"")</f>
        <v/>
      </c>
      <c r="F22" s="159" t="str">
        <f>IF(ISNUMBER(F21),IF(COUNTIFS(JP_StartSel,DATE(Planungsjahr,1,F21),JP_ShowSel,TRUE)&gt;0,"S",IF(COUNTIF(Feiertage,DATE(Planungsjahr,1,F21))&gt;0,"h","")),"")</f>
        <v/>
      </c>
      <c r="G22" s="159" t="str">
        <f>IF(ISNUMBER(F21),IF(COUNTIFS(JP_StartInhalt,DATE(Planungsjahr,1,F21),JP_ShowInhalt,TRUE)&gt;0,"I",IF(COUNTIF(Feiertage,DATE(Planungsjahr,1,F21))&gt;0,"h","")),"")</f>
        <v/>
      </c>
      <c r="H22" s="159" t="str">
        <f>IF(ISNUMBER(F21),IF(COUNTIFS(JP_PAL,DATE(Planungsjahr,1,F21),JP_ShowPAL,TRUE)&gt;0,"P",IF(COUNTIF(Feiertage,DATE(Planungsjahr,1,F21))&gt;0,"h","")),"")</f>
        <v/>
      </c>
      <c r="I22" s="159" t="str">
        <f>IF(ISNUMBER(I21),IF(COUNTIFS(JP_StartSel,DATE(Planungsjahr,1,I21),JP_ShowSel,TRUE)&gt;0,"S",IF(COUNTIF(Feiertage,DATE(Planungsjahr,1,I21))&gt;0,"h","")),"")</f>
        <v/>
      </c>
      <c r="J22" s="159" t="str">
        <f>IF(ISNUMBER(I21),IF(COUNTIFS(JP_StartInhalt,DATE(Planungsjahr,1,I21),JP_ShowInhalt,TRUE)&gt;0,"I",IF(COUNTIF(Feiertage,DATE(Planungsjahr,1,I21))&gt;0,"h","")),"")</f>
        <v/>
      </c>
      <c r="K22" s="159" t="str">
        <f>IF(ISNUMBER(I21),IF(COUNTIFS(JP_PAL,DATE(Planungsjahr,1,I21),JP_ShowPAL,TRUE)&gt;0,"P",IF(COUNTIF(Feiertage,DATE(Planungsjahr,1,I21))&gt;0,"h","")),"")</f>
        <v/>
      </c>
      <c r="L22" s="159" t="str">
        <f>IF(ISNUMBER(L21),IF(COUNTIFS(JP_StartSel,DATE(Planungsjahr,1,L21),JP_ShowSel,TRUE)&gt;0,"S",IF(COUNTIF(Feiertage,DATE(Planungsjahr,1,L21))&gt;0,"h","")),"")</f>
        <v/>
      </c>
      <c r="M22" s="159" t="str">
        <f>IF(ISNUMBER(L21),IF(COUNTIFS(JP_StartInhalt,DATE(Planungsjahr,1,L21),JP_ShowInhalt,TRUE)&gt;0,"I",IF(COUNTIF(Feiertage,DATE(Planungsjahr,1,L21))&gt;0,"h","")),"")</f>
        <v/>
      </c>
      <c r="N22" s="159" t="str">
        <f>IF(ISNUMBER(L21),IF(COUNTIFS(JP_PAL,DATE(Planungsjahr,1,L21),JP_ShowPAL,TRUE)&gt;0,"P",IF(COUNTIF(Feiertage,DATE(Planungsjahr,1,L21))&gt;0,"h","")),"")</f>
        <v/>
      </c>
      <c r="O22" s="159" t="str">
        <f>IF(ISNUMBER(O21),IF(COUNTIFS(JP_StartSel,DATE(Planungsjahr,1,O21),JP_ShowSel,TRUE)&gt;0,"S",IF(COUNTIF(Feiertage,DATE(Planungsjahr,1,O21))&gt;0,"h","")),"")</f>
        <v>S</v>
      </c>
      <c r="P22" s="159" t="str">
        <f>IF(ISNUMBER(O21),IF(COUNTIFS(JP_StartInhalt,DATE(Planungsjahr,1,O21),JP_ShowInhalt,TRUE)&gt;0,"I",IF(COUNTIF(Feiertage,DATE(Planungsjahr,1,O21))&gt;0,"h","")),"")</f>
        <v/>
      </c>
      <c r="Q22" s="159" t="str">
        <f>IF(ISNUMBER(O21),IF(COUNTIFS(JP_PAL,DATE(Planungsjahr,1,O21),JP_ShowPAL,TRUE)&gt;0,"P",IF(COUNTIF(Feiertage,DATE(Planungsjahr,1,O21))&gt;0,"h","")),"")</f>
        <v>P</v>
      </c>
      <c r="R22" s="159" t="str">
        <f>IF(ISNUMBER(R21),IF(COUNTIFS(JP_StartSel,DATE(Planungsjahr,1,R21),JP_ShowSel,TRUE)&gt;0,"S",IF(COUNTIF(Feiertage,DATE(Planungsjahr,1,R21))&gt;0,"h","w")),"")</f>
        <v>w</v>
      </c>
      <c r="S22" s="159" t="str">
        <f>IF(ISNUMBER(R21),IF(COUNTIFS(JP_StartInhalt,DATE(Planungsjahr,1,R21),JP_ShowInhalt,TRUE)&gt;0,"I",IF(COUNTIF(Feiertage,DATE(Planungsjahr,1,R21))&gt;0,"h","w")),"")</f>
        <v>w</v>
      </c>
      <c r="T22" s="159" t="str">
        <f>IF(ISNUMBER(R21),IF(COUNTIFS(JP_PAL,DATE(Planungsjahr,1,R21),JP_ShowPAL,TRUE)&gt;0,"P",IF(COUNTIF(Feiertage,DATE(Planungsjahr,1,R21))&gt;0,"h","w")),"")</f>
        <v>w</v>
      </c>
      <c r="U22" s="159" t="str">
        <f>IF(ISNUMBER(U21),IF(COUNTIFS(JP_StartSel,DATE(Planungsjahr,1,U21),JP_ShowSel,TRUE)&gt;0,"S",IF(COUNTIF(Feiertage,DATE(Planungsjahr,1,U21))&gt;0,"h","w")),"")</f>
        <v>w</v>
      </c>
      <c r="V22" s="159" t="str">
        <f>IF(ISNUMBER(U21),IF(COUNTIFS(JP_StartInhalt,DATE(Planungsjahr,1,U21),JP_ShowInhalt,TRUE)&gt;0,"I",IF(COUNTIF(Feiertage,DATE(Planungsjahr,1,U21))&gt;0,"h","w")),"")</f>
        <v>w</v>
      </c>
      <c r="W22" s="168" t="str">
        <f>IF(ISNUMBER(U21),IF(COUNTIFS(JP_PAL,DATE(Planungsjahr,1,U21),JP_ShowPAL,TRUE)&gt;0,"P",IF(COUNTIF(Feiertage,DATE(Planungsjahr,1,U21))&gt;0,"h","w")),"")</f>
        <v>w</v>
      </c>
      <c r="Y22" s="179"/>
      <c r="Z22" s="159" t="str">
        <f>IF(ISNUMBER(Z21),IF(COUNTIFS(JP_StartSel,DATE(Planungsjahr,2,Z21),JP_ShowSel,TRUE)&gt;0,"S",IF(COUNTIF(Feiertage,DATE(Planungsjahr,2,Z21))&gt;0,"h","")),"")</f>
        <v/>
      </c>
      <c r="AA22" s="159" t="str">
        <f>IF(ISNUMBER(Z21),IF(COUNTIFS(JP_StartInhalt,DATE(Planungsjahr,2,Z21),JP_ShowInhalt,TRUE)&gt;0,"I",IF(COUNTIF(Feiertage,DATE(Planungsjahr,2,Z21))&gt;0,"h","")),"")</f>
        <v/>
      </c>
      <c r="AB22" s="159" t="str">
        <f>IF(ISNUMBER(Z21),IF(COUNTIFS(JP_PAL,DATE(Planungsjahr,2,Z21),JP_ShowPAL,TRUE)&gt;0,"P",IF(COUNTIF(Feiertage,DATE(Planungsjahr,2,Z21))&gt;0,"h","")),"")</f>
        <v/>
      </c>
      <c r="AC22" s="159" t="str">
        <f>IF(ISNUMBER(AC21),IF(COUNTIFS(JP_StartSel,DATE(Planungsjahr,2,AC21),JP_ShowSel,TRUE)&gt;0,"S",IF(COUNTIF(Feiertage,DATE(Planungsjahr,2,AC21))&gt;0,"h","")),"")</f>
        <v/>
      </c>
      <c r="AD22" s="159" t="str">
        <f>IF(ISNUMBER(AC21),IF(COUNTIFS(JP_StartInhalt,DATE(Planungsjahr,2,AC21),JP_ShowInhalt,TRUE)&gt;0,"I",IF(COUNTIF(Feiertage,DATE(Planungsjahr,2,AC21))&gt;0,"h","")),"")</f>
        <v/>
      </c>
      <c r="AE22" s="159" t="str">
        <f>IF(ISNUMBER(AC21),IF(COUNTIFS(JP_PAL,DATE(Planungsjahr,2,AC21),JP_ShowPAL,TRUE)&gt;0,"P",IF(COUNTIF(Feiertage,DATE(Planungsjahr,2,AC21))&gt;0,"h","")),"")</f>
        <v/>
      </c>
      <c r="AF22" s="159" t="str">
        <f>IF(ISNUMBER(AF21),IF(COUNTIFS(JP_StartSel,DATE(Planungsjahr,2,AF21),JP_ShowSel,TRUE)&gt;0,"S",IF(COUNTIF(Feiertage,DATE(Planungsjahr,2,AF21))&gt;0,"h","")),"")</f>
        <v/>
      </c>
      <c r="AG22" s="159" t="str">
        <f>IF(ISNUMBER(AF21),IF(COUNTIFS(JP_StartInhalt,DATE(Planungsjahr,2,AF21),JP_ShowInhalt,TRUE)&gt;0,"I",IF(COUNTIF(Feiertage,DATE(Planungsjahr,2,AF21))&gt;0,"h","")),"")</f>
        <v/>
      </c>
      <c r="AH22" s="159" t="str">
        <f>IF(ISNUMBER(AF21),IF(COUNTIFS(JP_PAL,DATE(Planungsjahr,2,AF21),JP_ShowPAL,TRUE)&gt;0,"P",IF(COUNTIF(Feiertage,DATE(Planungsjahr,2,AF21))&gt;0,"h","")),"")</f>
        <v/>
      </c>
      <c r="AI22" s="159" t="str">
        <f>IF(ISNUMBER(AI21),IF(COUNTIFS(JP_StartSel,DATE(Planungsjahr,2,AI21),JP_ShowSel,TRUE)&gt;0,"S",IF(COUNTIF(Feiertage,DATE(Planungsjahr,2,AI21))&gt;0,"h","")),"")</f>
        <v/>
      </c>
      <c r="AJ22" s="159" t="str">
        <f>IF(ISNUMBER(AI21),IF(COUNTIFS(JP_StartInhalt,DATE(Planungsjahr,2,AI21),JP_ShowInhalt,TRUE)&gt;0,"I",IF(COUNTIF(Feiertage,DATE(Planungsjahr,2,AI21))&gt;0,"h","")),"")</f>
        <v/>
      </c>
      <c r="AK22" s="159" t="str">
        <f>IF(ISNUMBER(AI21),IF(COUNTIFS(JP_PAL,DATE(Planungsjahr,2,AI21),JP_ShowPAL,TRUE)&gt;0,"P",IF(COUNTIF(Feiertage,DATE(Planungsjahr,2,AI21))&gt;0,"h","")),"")</f>
        <v/>
      </c>
      <c r="AL22" s="159" t="str">
        <f>IF(ISNUMBER(AL21),IF(COUNTIFS(JP_StartSel,DATE(Planungsjahr,2,AL21),JP_ShowSel,TRUE)&gt;0,"S",IF(COUNTIF(Feiertage,DATE(Planungsjahr,2,AL21))&gt;0,"h","")),"")</f>
        <v/>
      </c>
      <c r="AM22" s="159" t="str">
        <f>IF(ISNUMBER(AL21),IF(COUNTIFS(JP_StartInhalt,DATE(Planungsjahr,2,AL21),JP_ShowInhalt,TRUE)&gt;0,"I",IF(COUNTIF(Feiertage,DATE(Planungsjahr,2,AL21))&gt;0,"h","")),"")</f>
        <v/>
      </c>
      <c r="AN22" s="159" t="str">
        <f>IF(ISNUMBER(AL21),IF(COUNTIFS(JP_PAL,DATE(Planungsjahr,2,AL21),JP_ShowPAL,TRUE)&gt;0,"P",IF(COUNTIF(Feiertage,DATE(Planungsjahr,2,AL21))&gt;0,"h","")),"")</f>
        <v/>
      </c>
      <c r="AO22" s="159" t="str">
        <f>IF(ISNUMBER(AO21),IF(COUNTIFS(JP_StartSel,DATE(Planungsjahr,2,AO21),JP_ShowSel,TRUE)&gt;0,"S",IF(COUNTIF(Feiertage,DATE(Planungsjahr,2,AO21))&gt;0,"h","w")),"")</f>
        <v/>
      </c>
      <c r="AP22" s="159" t="str">
        <f>IF(ISNUMBER(AO21),IF(COUNTIFS(JP_StartInhalt,DATE(Planungsjahr,2,AO21),JP_ShowInhalt,TRUE)&gt;0,"I",IF(COUNTIF(Feiertage,DATE(Planungsjahr,2,AO21))&gt;0,"h","w")),"")</f>
        <v/>
      </c>
      <c r="AQ22" s="159" t="str">
        <f>IF(ISNUMBER(AO21),IF(COUNTIFS(JP_PAL,DATE(Planungsjahr,2,AO21),JP_ShowPAL,TRUE)&gt;0,"P",IF(COUNTIF(Feiertage,DATE(Planungsjahr,2,AO21))&gt;0,"h","w")),"")</f>
        <v/>
      </c>
      <c r="AR22" s="159" t="str">
        <f>IF(ISNUMBER(AR21),IF(COUNTIFS(JP_StartSel,DATE(Planungsjahr,2,AR21),JP_ShowSel,TRUE)&gt;0,"S",IF(COUNTIF(Feiertage,DATE(Planungsjahr,2,AR21))&gt;0,"h","w")),"")</f>
        <v/>
      </c>
      <c r="AS22" s="159" t="str">
        <f>IF(ISNUMBER(AR21),IF(COUNTIFS(JP_StartInhalt,DATE(Planungsjahr,2,AR21),JP_ShowInhalt,TRUE)&gt;0,"I",IF(COUNTIF(Feiertage,DATE(Planungsjahr,2,AR21))&gt;0,"h","w")),"")</f>
        <v/>
      </c>
      <c r="AT22" s="180" t="str">
        <f>IF(ISNUMBER(AR21),IF(COUNTIFS(JP_PAL,DATE(Planungsjahr,2,AR21),JP_ShowPAL,TRUE)&gt;0,"P",IF(COUNTIF(Feiertage,DATE(Planungsjahr,2,AR21))&gt;0,"h","w")),"")</f>
        <v/>
      </c>
      <c r="AV22" s="179"/>
      <c r="AW22" s="159" t="str">
        <f>IF(ISNUMBER(AW21),IF(COUNTIFS(JP_StartSel,DATE(Planungsjahr,3,AW21),JP_ShowSel,TRUE)&gt;0,"S",IF(COUNTIF(Feiertage,DATE(Planungsjahr,3,AW21))&gt;0,"h","")),"")</f>
        <v>h</v>
      </c>
      <c r="AX22" s="159" t="str">
        <f>IF(ISNUMBER(AW21),IF(COUNTIFS(JP_StartInhalt,DATE(Planungsjahr,3,AW21),JP_ShowInhalt,TRUE)&gt;0,"I",IF(COUNTIF(Feiertage,DATE(Planungsjahr,3,AW21))&gt;0,"h","")),"")</f>
        <v>h</v>
      </c>
      <c r="AY22" s="159" t="str">
        <f>IF(ISNUMBER(AW21),IF(COUNTIFS(JP_PAL,DATE(Planungsjahr,3,AW21),JP_ShowPAL,TRUE)&gt;0,"P",IF(COUNTIF(Feiertage,DATE(Planungsjahr,3,AW21))&gt;0,"h","")),"")</f>
        <v>h</v>
      </c>
      <c r="AZ22" s="159" t="str">
        <f>IF(ISNUMBER(AZ21),IF(COUNTIFS(JP_StartSel,DATE(Planungsjahr,3,AZ21),JP_ShowSel,TRUE)&gt;0,"S",IF(COUNTIF(Feiertage,DATE(Planungsjahr,3,AZ21))&gt;0,"h","")),"")</f>
        <v/>
      </c>
      <c r="BA22" s="159" t="str">
        <f>IF(ISNUMBER(AZ21),IF(COUNTIFS(JP_StartInhalt,DATE(Planungsjahr,3,AZ21),JP_ShowInhalt,TRUE)&gt;0,"I",IF(COUNTIF(Feiertage,DATE(Planungsjahr,3,AZ21))&gt;0,"h","")),"")</f>
        <v/>
      </c>
      <c r="BB22" s="159" t="str">
        <f>IF(ISNUMBER(AZ21),IF(COUNTIFS(JP_PAL,DATE(Planungsjahr,3,AZ21),JP_ShowPAL,TRUE)&gt;0,"P",IF(COUNTIF(Feiertage,DATE(Planungsjahr,3,AZ21))&gt;0,"h","")),"")</f>
        <v/>
      </c>
      <c r="BC22" s="159" t="str">
        <f>IF(ISNUMBER(BC21),IF(COUNTIFS(JP_StartSel,DATE(Planungsjahr,3,BC21),JP_ShowSel,TRUE)&gt;0,"S",IF(COUNTIF(Feiertage,DATE(Planungsjahr,3,BC21))&gt;0,"h","")),"")</f>
        <v/>
      </c>
      <c r="BD22" s="159" t="str">
        <f>IF(ISNUMBER(BC21),IF(COUNTIFS(JP_StartInhalt,DATE(Planungsjahr,3,BC21),JP_ShowInhalt,TRUE)&gt;0,"I",IF(COUNTIF(Feiertage,DATE(Planungsjahr,3,BC21))&gt;0,"h","")),"")</f>
        <v/>
      </c>
      <c r="BE22" s="159" t="str">
        <f>IF(ISNUMBER(BC21),IF(COUNTIFS(JP_PAL,DATE(Planungsjahr,3,BC21),JP_ShowPAL,TRUE)&gt;0,"P",IF(COUNTIF(Feiertage,DATE(Planungsjahr,3,BC21))&gt;0,"h","")),"")</f>
        <v/>
      </c>
      <c r="BF22" s="159" t="str">
        <f>IF(ISNUMBER(BF21),IF(COUNTIFS(JP_StartSel,DATE(Planungsjahr,3,BF21),JP_ShowSel,TRUE)&gt;0,"S",IF(COUNTIF(Feiertage,DATE(Planungsjahr,3,BF21))&gt;0,"h","")),"")</f>
        <v/>
      </c>
      <c r="BG22" s="159" t="str">
        <f>IF(ISNUMBER(BF21),IF(COUNTIFS(JP_StartInhalt,DATE(Planungsjahr,3,BF21),JP_ShowInhalt,TRUE)&gt;0,"I",IF(COUNTIF(Feiertage,DATE(Planungsjahr,3,BF21))&gt;0,"h","")),"")</f>
        <v/>
      </c>
      <c r="BH22" s="159" t="str">
        <f>IF(ISNUMBER(BF21),IF(COUNTIFS(JP_PAL,DATE(Planungsjahr,3,BF21),JP_ShowPAL,TRUE)&gt;0,"P",IF(COUNTIF(Feiertage,DATE(Planungsjahr,3,BF21))&gt;0,"h","")),"")</f>
        <v/>
      </c>
      <c r="BI22" s="159" t="str">
        <f>IF(ISNUMBER(BI21),IF(COUNTIFS(JP_StartSel,DATE(Planungsjahr,3,BI21),JP_ShowSel,TRUE)&gt;0,"S",IF(COUNTIF(Feiertage,DATE(Planungsjahr,3,BI21))&gt;0,"h","")),"")</f>
        <v/>
      </c>
      <c r="BJ22" s="159" t="str">
        <f>IF(ISNUMBER(BI21),IF(COUNTIFS(JP_StartInhalt,DATE(Planungsjahr,3,BI21),JP_ShowInhalt,TRUE)&gt;0,"I",IF(COUNTIF(Feiertage,DATE(Planungsjahr,3,BI21))&gt;0,"h","")),"")</f>
        <v/>
      </c>
      <c r="BK22" s="159" t="str">
        <f>IF(ISNUMBER(BI21),IF(COUNTIFS(JP_PAL,DATE(Planungsjahr,3,BI21),JP_ShowPAL,TRUE)&gt;0,"P",IF(COUNTIF(Feiertage,DATE(Planungsjahr,3,BI21))&gt;0,"h","")),"")</f>
        <v/>
      </c>
      <c r="BL22" s="159" t="str">
        <f>IF(ISNUMBER(BL21),IF(COUNTIFS(JP_StartSel,DATE(Planungsjahr,3,BL21),JP_ShowSel,TRUE)&gt;0,"S",IF(COUNTIF(Feiertage,DATE(Planungsjahr,3,BL21))&gt;0,"h","w")),"")</f>
        <v/>
      </c>
      <c r="BM22" s="159" t="str">
        <f>IF(ISNUMBER(BL21),IF(COUNTIFS(JP_StartInhalt,DATE(Planungsjahr,3,BL21),JP_ShowInhalt,TRUE)&gt;0,"I",IF(COUNTIF(Feiertage,DATE(Planungsjahr,3,BL21))&gt;0,"h","w")),"")</f>
        <v/>
      </c>
      <c r="BN22" s="159" t="str">
        <f>IF(ISNUMBER(BL21),IF(COUNTIFS(JP_PAL,DATE(Planungsjahr,3,BL21),JP_ShowPAL,TRUE)&gt;0,"P",IF(COUNTIF(Feiertage,DATE(Planungsjahr,3,BL21))&gt;0,"h","w")),"")</f>
        <v/>
      </c>
      <c r="BO22" s="159" t="str">
        <f>IF(ISNUMBER(BO21),IF(COUNTIFS(JP_StartSel,DATE(Planungsjahr,3,BO21),JP_ShowSel,TRUE)&gt;0,"S",IF(COUNTIF(Feiertage,DATE(Planungsjahr,3,BO21))&gt;0,"h","w")),"")</f>
        <v/>
      </c>
      <c r="BP22" s="159" t="str">
        <f>IF(ISNUMBER(BO21),IF(COUNTIFS(JP_StartInhalt,DATE(Planungsjahr,3,BO21),JP_ShowInhalt,TRUE)&gt;0,"I",IF(COUNTIF(Feiertage,DATE(Planungsjahr,3,BO21))&gt;0,"h","w")),"")</f>
        <v/>
      </c>
      <c r="BQ22" s="180" t="str">
        <f>IF(ISNUMBER(BO21),IF(COUNTIFS(JP_PAL,DATE(Planungsjahr,3,BO21),JP_ShowPAL,TRUE)&gt;0,"P",IF(COUNTIF(Feiertage,DATE(Planungsjahr,3,BO21))&gt;0,"h","w")),"")</f>
        <v/>
      </c>
      <c r="BS22" s="179"/>
      <c r="BT22" s="159" t="str">
        <f>IF(ISNUMBER(BT21),IF(COUNTIFS(JP_StartSel,DATE(Planungsjahr,4,BT21),JP_ShowSel,TRUE)&gt;0,"S",IF(COUNTIF(Feiertage,DATE(Planungsjahr,4,BT21))&gt;0,"h","")),"")</f>
        <v/>
      </c>
      <c r="BU22" s="159" t="str">
        <f>IF(ISNUMBER(BT21),IF(COUNTIFS(JP_StartInhalt,DATE(Planungsjahr,4,BT21),JP_ShowInhalt,TRUE)&gt;0,"I",IF(COUNTIF(Feiertage,DATE(Planungsjahr,4,BT21))&gt;0,"h","")),"")</f>
        <v/>
      </c>
      <c r="BV22" s="159" t="str">
        <f>IF(ISNUMBER(BT21),IF(COUNTIFS(JP_PAL,DATE(Planungsjahr,4,BT21),JP_ShowPAL,TRUE)&gt;0,"P",IF(COUNTIF(Feiertage,DATE(Planungsjahr,4,BT21))&gt;0,"h","")),"")</f>
        <v/>
      </c>
      <c r="BW22" s="159" t="str">
        <f>IF(ISNUMBER(BW21),IF(COUNTIFS(JP_StartSel,DATE(Planungsjahr,4,BW21),JP_ShowSel,TRUE)&gt;0,"S",IF(COUNTIF(Feiertage,DATE(Planungsjahr,4,BW21))&gt;0,"h","")),"")</f>
        <v/>
      </c>
      <c r="BX22" s="159" t="str">
        <f>IF(ISNUMBER(BW21),IF(COUNTIFS(JP_StartInhalt,DATE(Planungsjahr,4,BW21),JP_ShowInhalt,TRUE)&gt;0,"I",IF(COUNTIF(Feiertage,DATE(Planungsjahr,4,BW21))&gt;0,"h","")),"")</f>
        <v/>
      </c>
      <c r="BY22" s="159" t="str">
        <f>IF(ISNUMBER(BW21),IF(COUNTIFS(JP_PAL,DATE(Planungsjahr,4,BW21),JP_ShowPAL,TRUE)&gt;0,"P",IF(COUNTIF(Feiertage,DATE(Planungsjahr,4,BW21))&gt;0,"h","")),"")</f>
        <v/>
      </c>
      <c r="BZ22" s="159" t="str">
        <f>IF(ISNUMBER(BZ21),IF(COUNTIFS(JP_StartSel,DATE(Planungsjahr,4,BZ21),JP_ShowSel,TRUE)&gt;0,"S",IF(COUNTIF(Feiertage,DATE(Planungsjahr,4,BZ21))&gt;0,"h","")),"")</f>
        <v/>
      </c>
      <c r="CA22" s="159" t="str">
        <f>IF(ISNUMBER(BZ21),IF(COUNTIFS(JP_StartInhalt,DATE(Planungsjahr,4,BZ21),JP_ShowInhalt,TRUE)&gt;0,"I",IF(COUNTIF(Feiertage,DATE(Planungsjahr,4,BZ21))&gt;0,"h","")),"")</f>
        <v/>
      </c>
      <c r="CB22" s="159" t="str">
        <f>IF(ISNUMBER(BZ21),IF(COUNTIFS(JP_PAL,DATE(Planungsjahr,4,BZ21),JP_ShowPAL,TRUE)&gt;0,"P",IF(COUNTIF(Feiertage,DATE(Planungsjahr,4,BZ21))&gt;0,"h","")),"")</f>
        <v/>
      </c>
      <c r="CC22" s="159" t="str">
        <f>IF(ISNUMBER(CC21),IF(COUNTIFS(JP_StartSel,DATE(Planungsjahr,4,CC21),JP_ShowSel,TRUE)&gt;0,"S",IF(COUNTIF(Feiertage,DATE(Planungsjahr,4,CC21))&gt;0,"h","")),"")</f>
        <v/>
      </c>
      <c r="CD22" s="159" t="str">
        <f>IF(ISNUMBER(CC21),IF(COUNTIFS(JP_StartInhalt,DATE(Planungsjahr,4,CC21),JP_ShowInhalt,TRUE)&gt;0,"I",IF(COUNTIF(Feiertage,DATE(Planungsjahr,4,CC21))&gt;0,"h","")),"")</f>
        <v/>
      </c>
      <c r="CE22" s="159" t="str">
        <f>IF(ISNUMBER(CC21),IF(COUNTIFS(JP_PAL,DATE(Planungsjahr,4,CC21),JP_ShowPAL,TRUE)&gt;0,"P",IF(COUNTIF(Feiertage,DATE(Planungsjahr,4,CC21))&gt;0,"h","")),"")</f>
        <v/>
      </c>
      <c r="CF22" s="159" t="str">
        <f>IF(ISNUMBER(CF21),IF(COUNTIFS(JP_StartSel,DATE(Planungsjahr,4,CF21),JP_ShowSel,TRUE)&gt;0,"S",IF(COUNTIF(Feiertage,DATE(Planungsjahr,4,CF21))&gt;0,"h","")),"")</f>
        <v/>
      </c>
      <c r="CG22" s="159" t="str">
        <f>IF(ISNUMBER(CF21),IF(COUNTIFS(JP_StartInhalt,DATE(Planungsjahr,4,CF21),JP_ShowInhalt,TRUE)&gt;0,"I",IF(COUNTIF(Feiertage,DATE(Planungsjahr,4,CF21))&gt;0,"h","")),"")</f>
        <v/>
      </c>
      <c r="CH22" s="159" t="str">
        <f>IF(ISNUMBER(CF21),IF(COUNTIFS(JP_PAL,DATE(Planungsjahr,4,CF21),JP_ShowPAL,TRUE)&gt;0,"P",IF(COUNTIF(Feiertage,DATE(Planungsjahr,4,CF21))&gt;0,"h","")),"")</f>
        <v/>
      </c>
      <c r="CI22" s="159" t="str">
        <f>IF(ISNUMBER(CI21),IF(COUNTIFS(JP_StartSel,DATE(Planungsjahr,4,CI21),JP_ShowSel,TRUE)&gt;0,"S",IF(COUNTIF(Feiertage,DATE(Planungsjahr,4,CI21))&gt;0,"h","w")),"")</f>
        <v/>
      </c>
      <c r="CJ22" s="159" t="str">
        <f>IF(ISNUMBER(CI21),IF(COUNTIFS(JP_StartInhalt,DATE(Planungsjahr,4,CI21),JP_ShowInhalt,TRUE)&gt;0,"I",IF(COUNTIF(Feiertage,DATE(Planungsjahr,4,CI21))&gt;0,"h","w")),"")</f>
        <v/>
      </c>
      <c r="CK22" s="159" t="str">
        <f>IF(ISNUMBER(CI21),IF(COUNTIFS(JP_PAL,DATE(Planungsjahr,4,CI21),JP_ShowPAL,TRUE)&gt;0,"P",IF(COUNTIF(Feiertage,DATE(Planungsjahr,4,CI21))&gt;0,"h","w")),"")</f>
        <v/>
      </c>
      <c r="CL22" s="159" t="str">
        <f>IF(ISNUMBER(CL21),IF(COUNTIFS(JP_StartSel,DATE(Planungsjahr,4,CL21),JP_ShowSel,TRUE)&gt;0,"S",IF(COUNTIF(Feiertage,DATE(Planungsjahr,4,CL21))&gt;0,"h","w")),"")</f>
        <v/>
      </c>
      <c r="CM22" s="159" t="str">
        <f>IF(ISNUMBER(CL21),IF(COUNTIFS(JP_StartInhalt,DATE(Planungsjahr,4,CL21),JP_ShowInhalt,TRUE)&gt;0,"I",IF(COUNTIF(Feiertage,DATE(Planungsjahr,4,CL21))&gt;0,"h","w")),"")</f>
        <v/>
      </c>
      <c r="CN22" s="180" t="str">
        <f>IF(ISNUMBER(CL21),IF(COUNTIFS(JP_PAL,DATE(Planungsjahr,4,CL21),JP_ShowPAL,TRUE)&gt;0,"P",IF(COUNTIF(Feiertage,DATE(Planungsjahr,4,CL21))&gt;0,"h","w")),"")</f>
        <v/>
      </c>
    </row>
    <row r="23" spans="2:92" ht="15.95" customHeight="1" x14ac:dyDescent="0.25">
      <c r="B23" s="165" t="str">
        <f>IF(OR(ISNUMBER(C23),ISNUMBER(U23)),_xlfn.ISOWEEKNUM(DATE(Planungsjahr,1,1)-WEEKDAY(DATE(Planungsjahr,1,1),2)+36),"")</f>
        <v/>
      </c>
      <c r="C23" s="188" t="str">
        <f>IF(MONTH(DATE(Planungsjahr,1,1)-WEEKDAY(DATE(Planungsjahr,1,1),2)+36)=1,DAY(DATE(Planungsjahr,1,1)-WEEKDAY(DATE(Planungsjahr,1,1),2)+36),"")</f>
        <v/>
      </c>
      <c r="D23" s="188"/>
      <c r="E23" s="188"/>
      <c r="F23" s="188" t="str">
        <f>IF(MONTH(DATE(Planungsjahr,1,1)-WEEKDAY(DATE(Planungsjahr,1,1),2)+37)=1,DAY(DATE(Planungsjahr,1,1)-WEEKDAY(DATE(Planungsjahr,1,1),2)+37),"")</f>
        <v/>
      </c>
      <c r="G23" s="188"/>
      <c r="H23" s="188"/>
      <c r="I23" s="188" t="str">
        <f>IF(MONTH(DATE(Planungsjahr,1,1)-WEEKDAY(DATE(Planungsjahr,1,1),2)+38)=1,DAY(DATE(Planungsjahr,1,1)-WEEKDAY(DATE(Planungsjahr,1,1),2)+38),"")</f>
        <v/>
      </c>
      <c r="J23" s="188"/>
      <c r="K23" s="188"/>
      <c r="L23" s="188" t="str">
        <f>IF(MONTH(DATE(Planungsjahr,1,1)-WEEKDAY(DATE(Planungsjahr,1,1),2)+39)=1,DAY(DATE(Planungsjahr,1,1)-WEEKDAY(DATE(Planungsjahr,1,1),2)+39),"")</f>
        <v/>
      </c>
      <c r="M23" s="188"/>
      <c r="N23" s="188"/>
      <c r="O23" s="188" t="str">
        <f>IF(MONTH(DATE(Planungsjahr,1,1)-WEEKDAY(DATE(Planungsjahr,1,1),2)+40)=1,DAY(DATE(Planungsjahr,1,1)-WEEKDAY(DATE(Planungsjahr,1,1),2)+40),"")</f>
        <v/>
      </c>
      <c r="P23" s="188"/>
      <c r="Q23" s="188"/>
      <c r="R23" s="188" t="str">
        <f>IF(MONTH(DATE(Planungsjahr,1,1)-WEEKDAY(DATE(Planungsjahr,1,1),2)+41)=1,DAY(DATE(Planungsjahr,1,1)-WEEKDAY(DATE(Planungsjahr,1,1),2)+41),"")</f>
        <v/>
      </c>
      <c r="S23" s="188"/>
      <c r="T23" s="188"/>
      <c r="U23" s="188" t="str">
        <f>IF(MONTH(DATE(Planungsjahr,1,1)-WEEKDAY(DATE(Planungsjahr,1,1),2)+42)=1,DAY(DATE(Planungsjahr,1,1)-WEEKDAY(DATE(Planungsjahr,1,1),2)+42),"")</f>
        <v/>
      </c>
      <c r="V23" s="188"/>
      <c r="W23" s="189"/>
      <c r="Y23" s="177" t="str">
        <f>IF(OR(ISNUMBER(Z23),ISNUMBER(AR23)),_xlfn.ISOWEEKNUM(DATE(Planungsjahr,2,1)-WEEKDAY(DATE(Planungsjahr,2,1),2)+36),"")</f>
        <v/>
      </c>
      <c r="Z23" s="188" t="str">
        <f>IF(MONTH(DATE(Planungsjahr,2,1)-WEEKDAY(DATE(Planungsjahr,2,1),2)+36)=2,DAY(DATE(Planungsjahr,2,1)-WEEKDAY(DATE(Planungsjahr,2,1),2)+36),"")</f>
        <v/>
      </c>
      <c r="AA23" s="188"/>
      <c r="AB23" s="188"/>
      <c r="AC23" s="188" t="str">
        <f>IF(MONTH(DATE(Planungsjahr,2,1)-WEEKDAY(DATE(Planungsjahr,2,1),2)+37)=2,DAY(DATE(Planungsjahr,2,1)-WEEKDAY(DATE(Planungsjahr,2,1),2)+37),"")</f>
        <v/>
      </c>
      <c r="AD23" s="188"/>
      <c r="AE23" s="188"/>
      <c r="AF23" s="188" t="str">
        <f>IF(MONTH(DATE(Planungsjahr,2,1)-WEEKDAY(DATE(Planungsjahr,2,1),2)+38)=2,DAY(DATE(Planungsjahr,2,1)-WEEKDAY(DATE(Planungsjahr,2,1),2)+38),"")</f>
        <v/>
      </c>
      <c r="AG23" s="188"/>
      <c r="AH23" s="188"/>
      <c r="AI23" s="188" t="str">
        <f>IF(MONTH(DATE(Planungsjahr,2,1)-WEEKDAY(DATE(Planungsjahr,2,1),2)+39)=2,DAY(DATE(Planungsjahr,2,1)-WEEKDAY(DATE(Planungsjahr,2,1),2)+39),"")</f>
        <v/>
      </c>
      <c r="AJ23" s="188"/>
      <c r="AK23" s="188"/>
      <c r="AL23" s="188" t="str">
        <f>IF(MONTH(DATE(Planungsjahr,2,1)-WEEKDAY(DATE(Planungsjahr,2,1),2)+40)=2,DAY(DATE(Planungsjahr,2,1)-WEEKDAY(DATE(Planungsjahr,2,1),2)+40),"")</f>
        <v/>
      </c>
      <c r="AM23" s="188"/>
      <c r="AN23" s="188"/>
      <c r="AO23" s="188" t="str">
        <f>IF(MONTH(DATE(Planungsjahr,2,1)-WEEKDAY(DATE(Planungsjahr,2,1),2)+41)=2,DAY(DATE(Planungsjahr,2,1)-WEEKDAY(DATE(Planungsjahr,2,1),2)+41),"")</f>
        <v/>
      </c>
      <c r="AP23" s="188"/>
      <c r="AQ23" s="188"/>
      <c r="AR23" s="188" t="str">
        <f>IF(MONTH(DATE(Planungsjahr,2,1)-WEEKDAY(DATE(Planungsjahr,2,1),2)+42)=2,DAY(DATE(Planungsjahr,2,1)-WEEKDAY(DATE(Planungsjahr,2,1),2)+42),"")</f>
        <v/>
      </c>
      <c r="AS23" s="188"/>
      <c r="AT23" s="190"/>
      <c r="AV23" s="177" t="str">
        <f>IF(OR(ISNUMBER(AW23),ISNUMBER(BO23)),_xlfn.ISOWEEKNUM(DATE(Planungsjahr,3,1)-WEEKDAY(DATE(Planungsjahr,3,1),2)+36),"")</f>
        <v/>
      </c>
      <c r="AW23" s="188" t="str">
        <f>IF(MONTH(DATE(Planungsjahr,3,1)-WEEKDAY(DATE(Planungsjahr,3,1),2)+36)=3,DAY(DATE(Planungsjahr,3,1)-WEEKDAY(DATE(Planungsjahr,3,1),2)+36),"")</f>
        <v/>
      </c>
      <c r="AX23" s="188"/>
      <c r="AY23" s="188"/>
      <c r="AZ23" s="188" t="str">
        <f>IF(MONTH(DATE(Planungsjahr,3,1)-WEEKDAY(DATE(Planungsjahr,3,1),2)+37)=3,DAY(DATE(Planungsjahr,3,1)-WEEKDAY(DATE(Planungsjahr,3,1),2)+37),"")</f>
        <v/>
      </c>
      <c r="BA23" s="188"/>
      <c r="BB23" s="188"/>
      <c r="BC23" s="188" t="str">
        <f>IF(MONTH(DATE(Planungsjahr,3,1)-WEEKDAY(DATE(Planungsjahr,3,1),2)+38)=3,DAY(DATE(Planungsjahr,3,1)-WEEKDAY(DATE(Planungsjahr,3,1),2)+38),"")</f>
        <v/>
      </c>
      <c r="BD23" s="188"/>
      <c r="BE23" s="188"/>
      <c r="BF23" s="188" t="str">
        <f>IF(MONTH(DATE(Planungsjahr,3,1)-WEEKDAY(DATE(Planungsjahr,3,1),2)+39)=3,DAY(DATE(Planungsjahr,3,1)-WEEKDAY(DATE(Planungsjahr,3,1),2)+39),"")</f>
        <v/>
      </c>
      <c r="BG23" s="188"/>
      <c r="BH23" s="188"/>
      <c r="BI23" s="188" t="str">
        <f>IF(MONTH(DATE(Planungsjahr,3,1)-WEEKDAY(DATE(Planungsjahr,3,1),2)+40)=3,DAY(DATE(Planungsjahr,3,1)-WEEKDAY(DATE(Planungsjahr,3,1),2)+40),"")</f>
        <v/>
      </c>
      <c r="BJ23" s="188"/>
      <c r="BK23" s="188"/>
      <c r="BL23" s="188" t="str">
        <f>IF(MONTH(DATE(Planungsjahr,3,1)-WEEKDAY(DATE(Planungsjahr,3,1),2)+41)=3,DAY(DATE(Planungsjahr,3,1)-WEEKDAY(DATE(Planungsjahr,3,1),2)+41),"")</f>
        <v/>
      </c>
      <c r="BM23" s="188"/>
      <c r="BN23" s="188"/>
      <c r="BO23" s="188" t="str">
        <f>IF(MONTH(DATE(Planungsjahr,3,1)-WEEKDAY(DATE(Planungsjahr,3,1),2)+42)=3,DAY(DATE(Planungsjahr,3,1)-WEEKDAY(DATE(Planungsjahr,3,1),2)+42),"")</f>
        <v/>
      </c>
      <c r="BP23" s="188"/>
      <c r="BQ23" s="190"/>
      <c r="BS23" s="177" t="str">
        <f>IF(OR(ISNUMBER(BT23),ISNUMBER(CL23)),_xlfn.ISOWEEKNUM(DATE(Planungsjahr,4,1)-WEEKDAY(DATE(Planungsjahr,4,1),2)+36),"")</f>
        <v/>
      </c>
      <c r="BT23" s="188" t="str">
        <f>IF(MONTH(DATE(Planungsjahr,4,1)-WEEKDAY(DATE(Planungsjahr,4,1),2)+36)=4,DAY(DATE(Planungsjahr,4,1)-WEEKDAY(DATE(Planungsjahr,4,1),2)+36),"")</f>
        <v/>
      </c>
      <c r="BU23" s="188"/>
      <c r="BV23" s="188"/>
      <c r="BW23" s="188" t="str">
        <f>IF(MONTH(DATE(Planungsjahr,4,1)-WEEKDAY(DATE(Planungsjahr,4,1),2)+37)=4,DAY(DATE(Planungsjahr,4,1)-WEEKDAY(DATE(Planungsjahr,4,1),2)+37),"")</f>
        <v/>
      </c>
      <c r="BX23" s="188"/>
      <c r="BY23" s="188"/>
      <c r="BZ23" s="188" t="str">
        <f>IF(MONTH(DATE(Planungsjahr,4,1)-WEEKDAY(DATE(Planungsjahr,4,1),2)+38)=4,DAY(DATE(Planungsjahr,4,1)-WEEKDAY(DATE(Planungsjahr,4,1),2)+38),"")</f>
        <v/>
      </c>
      <c r="CA23" s="188"/>
      <c r="CB23" s="188"/>
      <c r="CC23" s="188" t="str">
        <f>IF(MONTH(DATE(Planungsjahr,4,1)-WEEKDAY(DATE(Planungsjahr,4,1),2)+39)=4,DAY(DATE(Planungsjahr,4,1)-WEEKDAY(DATE(Planungsjahr,4,1),2)+39),"")</f>
        <v/>
      </c>
      <c r="CD23" s="188"/>
      <c r="CE23" s="188"/>
      <c r="CF23" s="188" t="str">
        <f>IF(MONTH(DATE(Planungsjahr,4,1)-WEEKDAY(DATE(Planungsjahr,4,1),2)+40)=4,DAY(DATE(Planungsjahr,4,1)-WEEKDAY(DATE(Planungsjahr,4,1),2)+40),"")</f>
        <v/>
      </c>
      <c r="CG23" s="188"/>
      <c r="CH23" s="188"/>
      <c r="CI23" s="188" t="str">
        <f>IF(MONTH(DATE(Planungsjahr,4,1)-WEEKDAY(DATE(Planungsjahr,4,1),2)+41)=4,DAY(DATE(Planungsjahr,4,1)-WEEKDAY(DATE(Planungsjahr,4,1),2)+41),"")</f>
        <v/>
      </c>
      <c r="CJ23" s="188"/>
      <c r="CK23" s="188"/>
      <c r="CL23" s="188" t="str">
        <f>IF(MONTH(DATE(Planungsjahr,4,1)-WEEKDAY(DATE(Planungsjahr,4,1),2)+42)=4,DAY(DATE(Planungsjahr,4,1)-WEEKDAY(DATE(Planungsjahr,4,1),2)+42),"")</f>
        <v/>
      </c>
      <c r="CM23" s="188"/>
      <c r="CN23" s="190"/>
    </row>
    <row r="24" spans="2:92" ht="10.5" customHeight="1" x14ac:dyDescent="0.25">
      <c r="B24" s="169"/>
      <c r="C24" s="170" t="str">
        <f>IF(ISNUMBER(C23),IF(COUNTIFS(JP_StartSel,DATE(Planungsjahr,1,C23),JP_ShowSel,TRUE)&gt;0,"S",IF(COUNTIF(Feiertage,DATE(Planungsjahr,1,C23))&gt;0,"h","")),"")</f>
        <v/>
      </c>
      <c r="D24" s="170" t="str">
        <f>IF(ISNUMBER(C23),IF(COUNTIFS(JP_StartInhalt,DATE(Planungsjahr,1,C23),JP_ShowInhalt,TRUE)&gt;0,"I",IF(COUNTIF(Feiertage,DATE(Planungsjahr,1,C23))&gt;0,"h","")),"")</f>
        <v/>
      </c>
      <c r="E24" s="170" t="str">
        <f>IF(ISNUMBER(C23),IF(COUNTIFS(JP_PAL,DATE(Planungsjahr,1,C23),JP_ShowPAL,TRUE)&gt;0,"P",IF(COUNTIF(Feiertage,DATE(Planungsjahr,1,C23))&gt;0,"h","")),"")</f>
        <v/>
      </c>
      <c r="F24" s="170" t="str">
        <f>IF(ISNUMBER(F23),IF(COUNTIFS(JP_StartSel,DATE(Planungsjahr,1,F23),JP_ShowSel,TRUE)&gt;0,"S",IF(COUNTIF(Feiertage,DATE(Planungsjahr,1,F23))&gt;0,"h","")),"")</f>
        <v/>
      </c>
      <c r="G24" s="170" t="str">
        <f>IF(ISNUMBER(F23),IF(COUNTIFS(JP_StartInhalt,DATE(Planungsjahr,1,F23),JP_ShowInhalt,TRUE)&gt;0,"I",IF(COUNTIF(Feiertage,DATE(Planungsjahr,1,F23))&gt;0,"h","")),"")</f>
        <v/>
      </c>
      <c r="H24" s="170" t="str">
        <f>IF(ISNUMBER(F23),IF(COUNTIFS(JP_PAL,DATE(Planungsjahr,1,F23),JP_ShowPAL,TRUE)&gt;0,"P",IF(COUNTIF(Feiertage,DATE(Planungsjahr,1,F23))&gt;0,"h","")),"")</f>
        <v/>
      </c>
      <c r="I24" s="170" t="str">
        <f>IF(ISNUMBER(I23),IF(COUNTIFS(JP_StartSel,DATE(Planungsjahr,1,I23),JP_ShowSel,TRUE)&gt;0,"S",IF(COUNTIF(Feiertage,DATE(Planungsjahr,1,I23))&gt;0,"h","")),"")</f>
        <v/>
      </c>
      <c r="J24" s="170" t="str">
        <f>IF(ISNUMBER(I23),IF(COUNTIFS(JP_StartInhalt,DATE(Planungsjahr,1,I23),JP_ShowInhalt,TRUE)&gt;0,"I",IF(COUNTIF(Feiertage,DATE(Planungsjahr,1,I23))&gt;0,"h","")),"")</f>
        <v/>
      </c>
      <c r="K24" s="170" t="str">
        <f>IF(ISNUMBER(I23),IF(COUNTIFS(JP_PAL,DATE(Planungsjahr,1,I23),JP_ShowPAL,TRUE)&gt;0,"P",IF(COUNTIF(Feiertage,DATE(Planungsjahr,1,I23))&gt;0,"h","")),"")</f>
        <v/>
      </c>
      <c r="L24" s="170" t="str">
        <f>IF(ISNUMBER(L23),IF(COUNTIFS(JP_StartSel,DATE(Planungsjahr,1,L23),JP_ShowSel,TRUE)&gt;0,"S",IF(COUNTIF(Feiertage,DATE(Planungsjahr,1,L23))&gt;0,"h","")),"")</f>
        <v/>
      </c>
      <c r="M24" s="170" t="str">
        <f>IF(ISNUMBER(L23),IF(COUNTIFS(JP_StartInhalt,DATE(Planungsjahr,1,L23),JP_ShowInhalt,TRUE)&gt;0,"I",IF(COUNTIF(Feiertage,DATE(Planungsjahr,1,L23))&gt;0,"h","")),"")</f>
        <v/>
      </c>
      <c r="N24" s="170" t="str">
        <f>IF(ISNUMBER(L23),IF(COUNTIFS(JP_PAL,DATE(Planungsjahr,1,L23),JP_ShowPAL,TRUE)&gt;0,"P",IF(COUNTIF(Feiertage,DATE(Planungsjahr,1,L23))&gt;0,"h","")),"")</f>
        <v/>
      </c>
      <c r="O24" s="170" t="str">
        <f>IF(ISNUMBER(O23),IF(COUNTIFS(JP_StartSel,DATE(Planungsjahr,1,O23),JP_ShowSel,TRUE)&gt;0,"S",IF(COUNTIF(Feiertage,DATE(Planungsjahr,1,O23))&gt;0,"h","")),"")</f>
        <v/>
      </c>
      <c r="P24" s="170" t="str">
        <f>IF(ISNUMBER(O23),IF(COUNTIFS(JP_StartInhalt,DATE(Planungsjahr,1,O23),JP_ShowInhalt,TRUE)&gt;0,"I",IF(COUNTIF(Feiertage,DATE(Planungsjahr,1,O23))&gt;0,"h","")),"")</f>
        <v/>
      </c>
      <c r="Q24" s="170" t="str">
        <f>IF(ISNUMBER(O23),IF(COUNTIFS(JP_PAL,DATE(Planungsjahr,1,O23),JP_ShowPAL,TRUE)&gt;0,"P",IF(COUNTIF(Feiertage,DATE(Planungsjahr,1,O23))&gt;0,"h","")),"")</f>
        <v/>
      </c>
      <c r="R24" s="170" t="str">
        <f>IF(ISNUMBER(R23),IF(COUNTIFS(JP_StartSel,DATE(Planungsjahr,1,R23),JP_ShowSel,TRUE)&gt;0,"S",IF(COUNTIF(Feiertage,DATE(Planungsjahr,1,R23))&gt;0,"h","w")),"")</f>
        <v/>
      </c>
      <c r="S24" s="170" t="str">
        <f>IF(ISNUMBER(R23),IF(COUNTIFS(JP_StartInhalt,DATE(Planungsjahr,1,R23),JP_ShowInhalt,TRUE)&gt;0,"I",IF(COUNTIF(Feiertage,DATE(Planungsjahr,1,R23))&gt;0,"h","w")),"")</f>
        <v/>
      </c>
      <c r="T24" s="170" t="str">
        <f>IF(ISNUMBER(R23),IF(COUNTIFS(JP_PAL,DATE(Planungsjahr,1,R23),JP_ShowPAL,TRUE)&gt;0,"P",IF(COUNTIF(Feiertage,DATE(Planungsjahr,1,R23))&gt;0,"h","w")),"")</f>
        <v/>
      </c>
      <c r="U24" s="170" t="str">
        <f>IF(ISNUMBER(U23),IF(COUNTIFS(JP_StartSel,DATE(Planungsjahr,1,U23),JP_ShowSel,TRUE)&gt;0,"S",IF(COUNTIF(Feiertage,DATE(Planungsjahr,1,U23))&gt;0,"h","w")),"")</f>
        <v/>
      </c>
      <c r="V24" s="170" t="str">
        <f>IF(ISNUMBER(U23),IF(COUNTIFS(JP_StartInhalt,DATE(Planungsjahr,1,U23),JP_ShowInhalt,TRUE)&gt;0,"I",IF(COUNTIF(Feiertage,DATE(Planungsjahr,1,U23))&gt;0,"h","w")),"")</f>
        <v/>
      </c>
      <c r="W24" s="171" t="str">
        <f>IF(ISNUMBER(U23),IF(COUNTIFS(JP_PAL,DATE(Planungsjahr,1,U23),JP_ShowPAL,TRUE)&gt;0,"P",IF(COUNTIF(Feiertage,DATE(Planungsjahr,1,U23))&gt;0,"h","w")),"")</f>
        <v/>
      </c>
      <c r="Y24" s="181"/>
      <c r="Z24" s="182" t="str">
        <f>IF(ISNUMBER(Z23),IF(COUNTIFS(JP_StartSel,DATE(Planungsjahr,2,Z23),JP_ShowSel,TRUE)&gt;0,"S",IF(COUNTIF(Feiertage,DATE(Planungsjahr,2,Z23))&gt;0,"h","")),"")</f>
        <v/>
      </c>
      <c r="AA24" s="182" t="str">
        <f>IF(ISNUMBER(Z23),IF(COUNTIFS(JP_StartInhalt,DATE(Planungsjahr,2,Z23),JP_ShowInhalt,TRUE)&gt;0,"I",IF(COUNTIF(Feiertage,DATE(Planungsjahr,2,Z23))&gt;0,"h","")),"")</f>
        <v/>
      </c>
      <c r="AB24" s="182" t="str">
        <f>IF(ISNUMBER(Z23),IF(COUNTIFS(JP_PAL,DATE(Planungsjahr,2,Z23),JP_ShowPAL,TRUE)&gt;0,"P",IF(COUNTIF(Feiertage,DATE(Planungsjahr,2,Z23))&gt;0,"h","")),"")</f>
        <v/>
      </c>
      <c r="AC24" s="182" t="str">
        <f>IF(ISNUMBER(AC23),IF(COUNTIFS(JP_StartSel,DATE(Planungsjahr,2,AC23),JP_ShowSel,TRUE)&gt;0,"S",IF(COUNTIF(Feiertage,DATE(Planungsjahr,2,AC23))&gt;0,"h","")),"")</f>
        <v/>
      </c>
      <c r="AD24" s="182" t="str">
        <f>IF(ISNUMBER(AC23),IF(COUNTIFS(JP_StartInhalt,DATE(Planungsjahr,2,AC23),JP_ShowInhalt,TRUE)&gt;0,"I",IF(COUNTIF(Feiertage,DATE(Planungsjahr,2,AC23))&gt;0,"h","")),"")</f>
        <v/>
      </c>
      <c r="AE24" s="182" t="str">
        <f>IF(ISNUMBER(AC23),IF(COUNTIFS(JP_PAL,DATE(Planungsjahr,2,AC23),JP_ShowPAL,TRUE)&gt;0,"P",IF(COUNTIF(Feiertage,DATE(Planungsjahr,2,AC23))&gt;0,"h","")),"")</f>
        <v/>
      </c>
      <c r="AF24" s="182" t="str">
        <f>IF(ISNUMBER(AF23),IF(COUNTIFS(JP_StartSel,DATE(Planungsjahr,2,AF23),JP_ShowSel,TRUE)&gt;0,"S",IF(COUNTIF(Feiertage,DATE(Planungsjahr,2,AF23))&gt;0,"h","")),"")</f>
        <v/>
      </c>
      <c r="AG24" s="182" t="str">
        <f>IF(ISNUMBER(AF23),IF(COUNTIFS(JP_StartInhalt,DATE(Planungsjahr,2,AF23),JP_ShowInhalt,TRUE)&gt;0,"I",IF(COUNTIF(Feiertage,DATE(Planungsjahr,2,AF23))&gt;0,"h","")),"")</f>
        <v/>
      </c>
      <c r="AH24" s="182" t="str">
        <f>IF(ISNUMBER(AF23),IF(COUNTIFS(JP_PAL,DATE(Planungsjahr,2,AF23),JP_ShowPAL,TRUE)&gt;0,"P",IF(COUNTIF(Feiertage,DATE(Planungsjahr,2,AF23))&gt;0,"h","")),"")</f>
        <v/>
      </c>
      <c r="AI24" s="182" t="str">
        <f>IF(ISNUMBER(AI23),IF(COUNTIFS(JP_StartSel,DATE(Planungsjahr,2,AI23),JP_ShowSel,TRUE)&gt;0,"S",IF(COUNTIF(Feiertage,DATE(Planungsjahr,2,AI23))&gt;0,"h","")),"")</f>
        <v/>
      </c>
      <c r="AJ24" s="182" t="str">
        <f>IF(ISNUMBER(AI23),IF(COUNTIFS(JP_StartInhalt,DATE(Planungsjahr,2,AI23),JP_ShowInhalt,TRUE)&gt;0,"I",IF(COUNTIF(Feiertage,DATE(Planungsjahr,2,AI23))&gt;0,"h","")),"")</f>
        <v/>
      </c>
      <c r="AK24" s="182" t="str">
        <f>IF(ISNUMBER(AI23),IF(COUNTIFS(JP_PAL,DATE(Planungsjahr,2,AI23),JP_ShowPAL,TRUE)&gt;0,"P",IF(COUNTIF(Feiertage,DATE(Planungsjahr,2,AI23))&gt;0,"h","")),"")</f>
        <v/>
      </c>
      <c r="AL24" s="182" t="str">
        <f>IF(ISNUMBER(AL23),IF(COUNTIFS(JP_StartSel,DATE(Planungsjahr,2,AL23),JP_ShowSel,TRUE)&gt;0,"S",IF(COUNTIF(Feiertage,DATE(Planungsjahr,2,AL23))&gt;0,"h","")),"")</f>
        <v/>
      </c>
      <c r="AM24" s="182" t="str">
        <f>IF(ISNUMBER(AL23),IF(COUNTIFS(JP_StartInhalt,DATE(Planungsjahr,2,AL23),JP_ShowInhalt,TRUE)&gt;0,"I",IF(COUNTIF(Feiertage,DATE(Planungsjahr,2,AL23))&gt;0,"h","")),"")</f>
        <v/>
      </c>
      <c r="AN24" s="182" t="str">
        <f>IF(ISNUMBER(AL23),IF(COUNTIFS(JP_PAL,DATE(Planungsjahr,2,AL23),JP_ShowPAL,TRUE)&gt;0,"P",IF(COUNTIF(Feiertage,DATE(Planungsjahr,2,AL23))&gt;0,"h","")),"")</f>
        <v/>
      </c>
      <c r="AO24" s="182" t="str">
        <f>IF(ISNUMBER(AO23),IF(COUNTIFS(JP_StartSel,DATE(Planungsjahr,2,AO23),JP_ShowSel,TRUE)&gt;0,"S",IF(COUNTIF(Feiertage,DATE(Planungsjahr,2,AO23))&gt;0,"h","w")),"")</f>
        <v/>
      </c>
      <c r="AP24" s="182" t="str">
        <f>IF(ISNUMBER(AO23),IF(COUNTIFS(JP_StartInhalt,DATE(Planungsjahr,2,AO23),JP_ShowInhalt,TRUE)&gt;0,"I",IF(COUNTIF(Feiertage,DATE(Planungsjahr,2,AO23))&gt;0,"h","w")),"")</f>
        <v/>
      </c>
      <c r="AQ24" s="182" t="str">
        <f>IF(ISNUMBER(AO23),IF(COUNTIFS(JP_PAL,DATE(Planungsjahr,2,AO23),JP_ShowPAL,TRUE)&gt;0,"P",IF(COUNTIF(Feiertage,DATE(Planungsjahr,2,AO23))&gt;0,"h","w")),"")</f>
        <v/>
      </c>
      <c r="AR24" s="182" t="str">
        <f>IF(ISNUMBER(AR23),IF(COUNTIFS(JP_StartSel,DATE(Planungsjahr,2,AR23),JP_ShowSel,TRUE)&gt;0,"S",IF(COUNTIF(Feiertage,DATE(Planungsjahr,2,AR23))&gt;0,"h","w")),"")</f>
        <v/>
      </c>
      <c r="AS24" s="182" t="str">
        <f>IF(ISNUMBER(AR23),IF(COUNTIFS(JP_StartInhalt,DATE(Planungsjahr,2,AR23),JP_ShowInhalt,TRUE)&gt;0,"I",IF(COUNTIF(Feiertage,DATE(Planungsjahr,2,AR23))&gt;0,"h","w")),"")</f>
        <v/>
      </c>
      <c r="AT24" s="183" t="str">
        <f>IF(ISNUMBER(AR23),IF(COUNTIFS(JP_PAL,DATE(Planungsjahr,2,AR23),JP_ShowPAL,TRUE)&gt;0,"P",IF(COUNTIF(Feiertage,DATE(Planungsjahr,2,AR23))&gt;0,"h","w")),"")</f>
        <v/>
      </c>
      <c r="AV24" s="181"/>
      <c r="AW24" s="182" t="str">
        <f>IF(ISNUMBER(AW23),IF(COUNTIFS(JP_StartSel,DATE(Planungsjahr,3,AW23),JP_ShowSel,TRUE)&gt;0,"S",IF(COUNTIF(Feiertage,DATE(Planungsjahr,3,AW23))&gt;0,"h","")),"")</f>
        <v/>
      </c>
      <c r="AX24" s="182" t="str">
        <f>IF(ISNUMBER(AW23),IF(COUNTIFS(JP_StartInhalt,DATE(Planungsjahr,3,AW23),JP_ShowInhalt,TRUE)&gt;0,"I",IF(COUNTIF(Feiertage,DATE(Planungsjahr,3,AW23))&gt;0,"h","")),"")</f>
        <v/>
      </c>
      <c r="AY24" s="182" t="str">
        <f>IF(ISNUMBER(AW23),IF(COUNTIFS(JP_PAL,DATE(Planungsjahr,3,AW23),JP_ShowPAL,TRUE)&gt;0,"P",IF(COUNTIF(Feiertage,DATE(Planungsjahr,3,AW23))&gt;0,"h","")),"")</f>
        <v/>
      </c>
      <c r="AZ24" s="182" t="str">
        <f>IF(ISNUMBER(AZ23),IF(COUNTIFS(JP_StartSel,DATE(Planungsjahr,3,AZ23),JP_ShowSel,TRUE)&gt;0,"S",IF(COUNTIF(Feiertage,DATE(Planungsjahr,3,AZ23))&gt;0,"h","")),"")</f>
        <v/>
      </c>
      <c r="BA24" s="182" t="str">
        <f>IF(ISNUMBER(AZ23),IF(COUNTIFS(JP_StartInhalt,DATE(Planungsjahr,3,AZ23),JP_ShowInhalt,TRUE)&gt;0,"I",IF(COUNTIF(Feiertage,DATE(Planungsjahr,3,AZ23))&gt;0,"h","")),"")</f>
        <v/>
      </c>
      <c r="BB24" s="182" t="str">
        <f>IF(ISNUMBER(AZ23),IF(COUNTIFS(JP_PAL,DATE(Planungsjahr,3,AZ23),JP_ShowPAL,TRUE)&gt;0,"P",IF(COUNTIF(Feiertage,DATE(Planungsjahr,3,AZ23))&gt;0,"h","")),"")</f>
        <v/>
      </c>
      <c r="BC24" s="182" t="str">
        <f>IF(ISNUMBER(BC23),IF(COUNTIFS(JP_StartSel,DATE(Planungsjahr,3,BC23),JP_ShowSel,TRUE)&gt;0,"S",IF(COUNTIF(Feiertage,DATE(Planungsjahr,3,BC23))&gt;0,"h","")),"")</f>
        <v/>
      </c>
      <c r="BD24" s="182" t="str">
        <f>IF(ISNUMBER(BC23),IF(COUNTIFS(JP_StartInhalt,DATE(Planungsjahr,3,BC23),JP_ShowInhalt,TRUE)&gt;0,"I",IF(COUNTIF(Feiertage,DATE(Planungsjahr,3,BC23))&gt;0,"h","")),"")</f>
        <v/>
      </c>
      <c r="BE24" s="182" t="str">
        <f>IF(ISNUMBER(BC23),IF(COUNTIFS(JP_PAL,DATE(Planungsjahr,3,BC23),JP_ShowPAL,TRUE)&gt;0,"P",IF(COUNTIF(Feiertage,DATE(Planungsjahr,3,BC23))&gt;0,"h","")),"")</f>
        <v/>
      </c>
      <c r="BF24" s="182" t="str">
        <f>IF(ISNUMBER(BF23),IF(COUNTIFS(JP_StartSel,DATE(Planungsjahr,3,BF23),JP_ShowSel,TRUE)&gt;0,"S",IF(COUNTIF(Feiertage,DATE(Planungsjahr,3,BF23))&gt;0,"h","")),"")</f>
        <v/>
      </c>
      <c r="BG24" s="182" t="str">
        <f>IF(ISNUMBER(BF23),IF(COUNTIFS(JP_StartInhalt,DATE(Planungsjahr,3,BF23),JP_ShowInhalt,TRUE)&gt;0,"I",IF(COUNTIF(Feiertage,DATE(Planungsjahr,3,BF23))&gt;0,"h","")),"")</f>
        <v/>
      </c>
      <c r="BH24" s="182" t="str">
        <f>IF(ISNUMBER(BF23),IF(COUNTIFS(JP_PAL,DATE(Planungsjahr,3,BF23),JP_ShowPAL,TRUE)&gt;0,"P",IF(COUNTIF(Feiertage,DATE(Planungsjahr,3,BF23))&gt;0,"h","")),"")</f>
        <v/>
      </c>
      <c r="BI24" s="182" t="str">
        <f>IF(ISNUMBER(BI23),IF(COUNTIFS(JP_StartSel,DATE(Planungsjahr,3,BI23),JP_ShowSel,TRUE)&gt;0,"S",IF(COUNTIF(Feiertage,DATE(Planungsjahr,3,BI23))&gt;0,"h","")),"")</f>
        <v/>
      </c>
      <c r="BJ24" s="182" t="str">
        <f>IF(ISNUMBER(BI23),IF(COUNTIFS(JP_StartInhalt,DATE(Planungsjahr,3,BI23),JP_ShowInhalt,TRUE)&gt;0,"I",IF(COUNTIF(Feiertage,DATE(Planungsjahr,3,BI23))&gt;0,"h","")),"")</f>
        <v/>
      </c>
      <c r="BK24" s="182" t="str">
        <f>IF(ISNUMBER(BI23),IF(COUNTIFS(JP_PAL,DATE(Planungsjahr,3,BI23),JP_ShowPAL,TRUE)&gt;0,"P",IF(COUNTIF(Feiertage,DATE(Planungsjahr,3,BI23))&gt;0,"h","")),"")</f>
        <v/>
      </c>
      <c r="BL24" s="182" t="str">
        <f>IF(ISNUMBER(BL23),IF(COUNTIFS(JP_StartSel,DATE(Planungsjahr,3,BL23),JP_ShowSel,TRUE)&gt;0,"S",IF(COUNTIF(Feiertage,DATE(Planungsjahr,3,BL23))&gt;0,"h","w")),"")</f>
        <v/>
      </c>
      <c r="BM24" s="182" t="str">
        <f>IF(ISNUMBER(BL23),IF(COUNTIFS(JP_StartInhalt,DATE(Planungsjahr,3,BL23),JP_ShowInhalt,TRUE)&gt;0,"I",IF(COUNTIF(Feiertage,DATE(Planungsjahr,3,BL23))&gt;0,"h","w")),"")</f>
        <v/>
      </c>
      <c r="BN24" s="182" t="str">
        <f>IF(ISNUMBER(BL23),IF(COUNTIFS(JP_PAL,DATE(Planungsjahr,3,BL23),JP_ShowPAL,TRUE)&gt;0,"P",IF(COUNTIF(Feiertage,DATE(Planungsjahr,3,BL23))&gt;0,"h","w")),"")</f>
        <v/>
      </c>
      <c r="BO24" s="182" t="str">
        <f>IF(ISNUMBER(BO23),IF(COUNTIFS(JP_StartSel,DATE(Planungsjahr,3,BO23),JP_ShowSel,TRUE)&gt;0,"S",IF(COUNTIF(Feiertage,DATE(Planungsjahr,3,BO23))&gt;0,"h","w")),"")</f>
        <v/>
      </c>
      <c r="BP24" s="182" t="str">
        <f>IF(ISNUMBER(BO23),IF(COUNTIFS(JP_StartInhalt,DATE(Planungsjahr,3,BO23),JP_ShowInhalt,TRUE)&gt;0,"I",IF(COUNTIF(Feiertage,DATE(Planungsjahr,3,BO23))&gt;0,"h","w")),"")</f>
        <v/>
      </c>
      <c r="BQ24" s="183" t="str">
        <f>IF(ISNUMBER(BO23),IF(COUNTIFS(JP_PAL,DATE(Planungsjahr,3,BO23),JP_ShowPAL,TRUE)&gt;0,"P",IF(COUNTIF(Feiertage,DATE(Planungsjahr,3,BO23))&gt;0,"h","w")),"")</f>
        <v/>
      </c>
      <c r="BS24" s="181"/>
      <c r="BT24" s="182" t="str">
        <f>IF(ISNUMBER(BT23),IF(COUNTIFS(JP_StartSel,DATE(Planungsjahr,4,BT23),JP_ShowSel,TRUE)&gt;0,"S",IF(COUNTIF(Feiertage,DATE(Planungsjahr,4,BT23))&gt;0,"h","")),"")</f>
        <v/>
      </c>
      <c r="BU24" s="182" t="str">
        <f>IF(ISNUMBER(BT23),IF(COUNTIFS(JP_StartInhalt,DATE(Planungsjahr,4,BT23),JP_ShowInhalt,TRUE)&gt;0,"I",IF(COUNTIF(Feiertage,DATE(Planungsjahr,4,BT23))&gt;0,"h","")),"")</f>
        <v/>
      </c>
      <c r="BV24" s="182" t="str">
        <f>IF(ISNUMBER(BT23),IF(COUNTIFS(JP_PAL,DATE(Planungsjahr,4,BT23),JP_ShowPAL,TRUE)&gt;0,"P",IF(COUNTIF(Feiertage,DATE(Planungsjahr,4,BT23))&gt;0,"h","")),"")</f>
        <v/>
      </c>
      <c r="BW24" s="182" t="str">
        <f>IF(ISNUMBER(BW23),IF(COUNTIFS(JP_StartSel,DATE(Planungsjahr,4,BW23),JP_ShowSel,TRUE)&gt;0,"S",IF(COUNTIF(Feiertage,DATE(Planungsjahr,4,BW23))&gt;0,"h","")),"")</f>
        <v/>
      </c>
      <c r="BX24" s="182" t="str">
        <f>IF(ISNUMBER(BW23),IF(COUNTIFS(JP_StartInhalt,DATE(Planungsjahr,4,BW23),JP_ShowInhalt,TRUE)&gt;0,"I",IF(COUNTIF(Feiertage,DATE(Planungsjahr,4,BW23))&gt;0,"h","")),"")</f>
        <v/>
      </c>
      <c r="BY24" s="182" t="str">
        <f>IF(ISNUMBER(BW23),IF(COUNTIFS(JP_PAL,DATE(Planungsjahr,4,BW23),JP_ShowPAL,TRUE)&gt;0,"P",IF(COUNTIF(Feiertage,DATE(Planungsjahr,4,BW23))&gt;0,"h","")),"")</f>
        <v/>
      </c>
      <c r="BZ24" s="182" t="str">
        <f>IF(ISNUMBER(BZ23),IF(COUNTIFS(JP_StartSel,DATE(Planungsjahr,4,BZ23),JP_ShowSel,TRUE)&gt;0,"S",IF(COUNTIF(Feiertage,DATE(Planungsjahr,4,BZ23))&gt;0,"h","")),"")</f>
        <v/>
      </c>
      <c r="CA24" s="182" t="str">
        <f>IF(ISNUMBER(BZ23),IF(COUNTIFS(JP_StartInhalt,DATE(Planungsjahr,4,BZ23),JP_ShowInhalt,TRUE)&gt;0,"I",IF(COUNTIF(Feiertage,DATE(Planungsjahr,4,BZ23))&gt;0,"h","")),"")</f>
        <v/>
      </c>
      <c r="CB24" s="182" t="str">
        <f>IF(ISNUMBER(BZ23),IF(COUNTIFS(JP_PAL,DATE(Planungsjahr,4,BZ23),JP_ShowPAL,TRUE)&gt;0,"P",IF(COUNTIF(Feiertage,DATE(Planungsjahr,4,BZ23))&gt;0,"h","")),"")</f>
        <v/>
      </c>
      <c r="CC24" s="182" t="str">
        <f>IF(ISNUMBER(CC23),IF(COUNTIFS(JP_StartSel,DATE(Planungsjahr,4,CC23),JP_ShowSel,TRUE)&gt;0,"S",IF(COUNTIF(Feiertage,DATE(Planungsjahr,4,CC23))&gt;0,"h","")),"")</f>
        <v/>
      </c>
      <c r="CD24" s="182" t="str">
        <f>IF(ISNUMBER(CC23),IF(COUNTIFS(JP_StartInhalt,DATE(Planungsjahr,4,CC23),JP_ShowInhalt,TRUE)&gt;0,"I",IF(COUNTIF(Feiertage,DATE(Planungsjahr,4,CC23))&gt;0,"h","")),"")</f>
        <v/>
      </c>
      <c r="CE24" s="182" t="str">
        <f>IF(ISNUMBER(CC23),IF(COUNTIFS(JP_PAL,DATE(Planungsjahr,4,CC23),JP_ShowPAL,TRUE)&gt;0,"P",IF(COUNTIF(Feiertage,DATE(Planungsjahr,4,CC23))&gt;0,"h","")),"")</f>
        <v/>
      </c>
      <c r="CF24" s="182" t="str">
        <f>IF(ISNUMBER(CF23),IF(COUNTIFS(JP_StartSel,DATE(Planungsjahr,4,CF23),JP_ShowSel,TRUE)&gt;0,"S",IF(COUNTIF(Feiertage,DATE(Planungsjahr,4,CF23))&gt;0,"h","")),"")</f>
        <v/>
      </c>
      <c r="CG24" s="182" t="str">
        <f>IF(ISNUMBER(CF23),IF(COUNTIFS(JP_StartInhalt,DATE(Planungsjahr,4,CF23),JP_ShowInhalt,TRUE)&gt;0,"I",IF(COUNTIF(Feiertage,DATE(Planungsjahr,4,CF23))&gt;0,"h","")),"")</f>
        <v/>
      </c>
      <c r="CH24" s="182" t="str">
        <f>IF(ISNUMBER(CF23),IF(COUNTIFS(JP_PAL,DATE(Planungsjahr,4,CF23),JP_ShowPAL,TRUE)&gt;0,"P",IF(COUNTIF(Feiertage,DATE(Planungsjahr,4,CF23))&gt;0,"h","")),"")</f>
        <v/>
      </c>
      <c r="CI24" s="182" t="str">
        <f>IF(ISNUMBER(CI23),IF(COUNTIFS(JP_StartSel,DATE(Planungsjahr,4,CI23),JP_ShowSel,TRUE)&gt;0,"S",IF(COUNTIF(Feiertage,DATE(Planungsjahr,4,CI23))&gt;0,"h","w")),"")</f>
        <v/>
      </c>
      <c r="CJ24" s="182" t="str">
        <f>IF(ISNUMBER(CI23),IF(COUNTIFS(JP_StartInhalt,DATE(Planungsjahr,4,CI23),JP_ShowInhalt,TRUE)&gt;0,"I",IF(COUNTIF(Feiertage,DATE(Planungsjahr,4,CI23))&gt;0,"h","w")),"")</f>
        <v/>
      </c>
      <c r="CK24" s="182" t="str">
        <f>IF(ISNUMBER(CI23),IF(COUNTIFS(JP_PAL,DATE(Planungsjahr,4,CI23),JP_ShowPAL,TRUE)&gt;0,"P",IF(COUNTIF(Feiertage,DATE(Planungsjahr,4,CI23))&gt;0,"h","w")),"")</f>
        <v/>
      </c>
      <c r="CL24" s="182" t="str">
        <f>IF(ISNUMBER(CL23),IF(COUNTIFS(JP_StartSel,DATE(Planungsjahr,4,CL23),JP_ShowSel,TRUE)&gt;0,"S",IF(COUNTIF(Feiertage,DATE(Planungsjahr,4,CL23))&gt;0,"h","w")),"")</f>
        <v/>
      </c>
      <c r="CM24" s="182" t="str">
        <f>IF(ISNUMBER(CL23),IF(COUNTIFS(JP_StartInhalt,DATE(Planungsjahr,4,CL23),JP_ShowInhalt,TRUE)&gt;0,"I",IF(COUNTIF(Feiertage,DATE(Planungsjahr,4,CL23))&gt;0,"h","w")),"")</f>
        <v/>
      </c>
      <c r="CN24" s="183" t="str">
        <f>IF(ISNUMBER(CL23),IF(COUNTIFS(JP_PAL,DATE(Planungsjahr,4,CL23),JP_ShowPAL,TRUE)&gt;0,"P",IF(COUNTIF(Feiertage,DATE(Planungsjahr,4,CL23))&gt;0,"h","w")),"")</f>
        <v/>
      </c>
    </row>
    <row r="25" spans="2:92" ht="21.95" customHeight="1" x14ac:dyDescent="0.25">
      <c r="B25" s="184" t="str">
        <f t="array" ref="B25">_xlfn.TEXTJOIN("  ·  ",TRUE,IF(MONTH(Feiertage)=1,TEXT(DAY(Feiertage),"00")&amp;"."&amp;TEXT(MONTH(Feiertage),"00")&amp;". "&amp;Feiertage_Name,""))</f>
        <v>01.01. Neujahr</v>
      </c>
      <c r="C25" s="184"/>
      <c r="D25" s="184"/>
      <c r="E25" s="184"/>
      <c r="F25" s="184"/>
      <c r="G25" s="184"/>
      <c r="H25" s="184"/>
      <c r="I25" s="184"/>
      <c r="J25" s="184"/>
      <c r="K25" s="184"/>
      <c r="L25" s="184"/>
      <c r="M25" s="184"/>
      <c r="N25" s="184"/>
      <c r="O25" s="184"/>
      <c r="P25" s="184"/>
      <c r="Q25" s="184"/>
      <c r="R25" s="184"/>
      <c r="S25" s="184"/>
      <c r="T25" s="184"/>
      <c r="U25" s="184"/>
      <c r="V25" s="184"/>
      <c r="W25" s="184"/>
      <c r="Y25" s="184" t="str">
        <f t="array" ref="Y25">_xlfn.TEXTJOIN("  ·  ",TRUE,IF(MONTH(Feiertage)=2,TEXT(DAY(Feiertage),"00")&amp;"."&amp;TEXT(MONTH(Feiertage),"00")&amp;". "&amp;Feiertage_Name,""))</f>
        <v/>
      </c>
      <c r="Z25" s="184"/>
      <c r="AA25" s="184"/>
      <c r="AB25" s="184"/>
      <c r="AC25" s="184"/>
      <c r="AD25" s="184"/>
      <c r="AE25" s="184"/>
      <c r="AF25" s="184"/>
      <c r="AG25" s="184"/>
      <c r="AH25" s="184"/>
      <c r="AI25" s="184"/>
      <c r="AJ25" s="184"/>
      <c r="AK25" s="184"/>
      <c r="AL25" s="184"/>
      <c r="AM25" s="184"/>
      <c r="AN25" s="184"/>
      <c r="AO25" s="184"/>
      <c r="AP25" s="184"/>
      <c r="AQ25" s="184"/>
      <c r="AR25" s="184"/>
      <c r="AS25" s="184"/>
      <c r="AT25" s="184"/>
      <c r="AV25" s="184" t="str">
        <f t="array" ref="AV25">_xlfn.TEXTJOIN("  ·  ",TRUE,IF(MONTH(Feiertage)=3,TEXT(DAY(Feiertage),"00")&amp;"."&amp;TEXT(MONTH(Feiertage),"00")&amp;". "&amp;Feiertage_Name,""))</f>
        <v>26.03. Karfreitag  ·  29.03. Ostermontag</v>
      </c>
      <c r="AW25" s="184"/>
      <c r="AX25" s="184"/>
      <c r="AY25" s="184"/>
      <c r="AZ25" s="184"/>
      <c r="BA25" s="184"/>
      <c r="BB25" s="184"/>
      <c r="BC25" s="184"/>
      <c r="BD25" s="184"/>
      <c r="BE25" s="184"/>
      <c r="BF25" s="184"/>
      <c r="BG25" s="184"/>
      <c r="BH25" s="184"/>
      <c r="BI25" s="184"/>
      <c r="BJ25" s="184"/>
      <c r="BK25" s="184"/>
      <c r="BL25" s="184"/>
      <c r="BM25" s="184"/>
      <c r="BN25" s="184"/>
      <c r="BO25" s="184"/>
      <c r="BP25" s="184"/>
      <c r="BQ25" s="184"/>
      <c r="BS25" s="184" t="str">
        <f t="array" ref="BS25">_xlfn.TEXTJOIN("  ·  ",TRUE,IF(MONTH(Feiertage)=4,TEXT(DAY(Feiertage),"00")&amp;"."&amp;TEXT(MONTH(Feiertage),"00")&amp;". "&amp;Feiertage_Name,""))</f>
        <v/>
      </c>
      <c r="BT25" s="184"/>
      <c r="BU25" s="184"/>
      <c r="BV25" s="184"/>
      <c r="BW25" s="184"/>
      <c r="BX25" s="184"/>
      <c r="BY25" s="184"/>
      <c r="BZ25" s="184"/>
      <c r="CA25" s="184"/>
      <c r="CB25" s="184"/>
      <c r="CC25" s="184"/>
      <c r="CD25" s="184"/>
      <c r="CE25" s="184"/>
      <c r="CF25" s="184"/>
      <c r="CG25" s="184"/>
      <c r="CH25" s="184"/>
      <c r="CI25" s="184"/>
      <c r="CJ25" s="184"/>
      <c r="CK25" s="184"/>
      <c r="CL25" s="184"/>
      <c r="CM25" s="184"/>
      <c r="CN25" s="184"/>
    </row>
    <row r="26" spans="2:92" ht="8.1" customHeight="1" x14ac:dyDescent="0.25"/>
    <row r="27" spans="2:92" ht="20.100000000000001" customHeight="1" x14ac:dyDescent="0.25">
      <c r="B27" s="172" t="str">
        <f>"Mai "&amp;Planungsjahr</f>
        <v>Mai 2027</v>
      </c>
      <c r="C27" s="173"/>
      <c r="D27" s="173"/>
      <c r="E27" s="173"/>
      <c r="F27" s="173"/>
      <c r="G27" s="173"/>
      <c r="H27" s="173"/>
      <c r="I27" s="173"/>
      <c r="J27" s="173"/>
      <c r="K27" s="173"/>
      <c r="L27" s="173"/>
      <c r="M27" s="173"/>
      <c r="N27" s="173"/>
      <c r="O27" s="173"/>
      <c r="P27" s="173"/>
      <c r="Q27" s="173"/>
      <c r="R27" s="173"/>
      <c r="S27" s="173"/>
      <c r="T27" s="173"/>
      <c r="U27" s="173"/>
      <c r="V27" s="173"/>
      <c r="W27" s="174"/>
      <c r="Y27" s="172" t="str">
        <f>"Juni "&amp;Planungsjahr</f>
        <v>Juni 2027</v>
      </c>
      <c r="Z27" s="173"/>
      <c r="AA27" s="173"/>
      <c r="AB27" s="173"/>
      <c r="AC27" s="173"/>
      <c r="AD27" s="173"/>
      <c r="AE27" s="173"/>
      <c r="AF27" s="173"/>
      <c r="AG27" s="173"/>
      <c r="AH27" s="173"/>
      <c r="AI27" s="173"/>
      <c r="AJ27" s="173"/>
      <c r="AK27" s="173"/>
      <c r="AL27" s="173"/>
      <c r="AM27" s="173"/>
      <c r="AN27" s="173"/>
      <c r="AO27" s="173"/>
      <c r="AP27" s="173"/>
      <c r="AQ27" s="173"/>
      <c r="AR27" s="173"/>
      <c r="AS27" s="173"/>
      <c r="AT27" s="174"/>
      <c r="AV27" s="172" t="str">
        <f>"Juli "&amp;Planungsjahr</f>
        <v>Juli 2027</v>
      </c>
      <c r="AW27" s="173"/>
      <c r="AX27" s="173"/>
      <c r="AY27" s="173"/>
      <c r="AZ27" s="173"/>
      <c r="BA27" s="173"/>
      <c r="BB27" s="173"/>
      <c r="BC27" s="173"/>
      <c r="BD27" s="173"/>
      <c r="BE27" s="173"/>
      <c r="BF27" s="173"/>
      <c r="BG27" s="173"/>
      <c r="BH27" s="173"/>
      <c r="BI27" s="173"/>
      <c r="BJ27" s="173"/>
      <c r="BK27" s="173"/>
      <c r="BL27" s="173"/>
      <c r="BM27" s="173"/>
      <c r="BN27" s="173"/>
      <c r="BO27" s="173"/>
      <c r="BP27" s="173"/>
      <c r="BQ27" s="174"/>
      <c r="BS27" s="172" t="str">
        <f>"August "&amp;Planungsjahr</f>
        <v>August 2027</v>
      </c>
      <c r="BT27" s="173"/>
      <c r="BU27" s="173"/>
      <c r="BV27" s="173"/>
      <c r="BW27" s="173"/>
      <c r="BX27" s="173"/>
      <c r="BY27" s="173"/>
      <c r="BZ27" s="173"/>
      <c r="CA27" s="173"/>
      <c r="CB27" s="173"/>
      <c r="CC27" s="173"/>
      <c r="CD27" s="173"/>
      <c r="CE27" s="173"/>
      <c r="CF27" s="173"/>
      <c r="CG27" s="173"/>
      <c r="CH27" s="173"/>
      <c r="CI27" s="173"/>
      <c r="CJ27" s="173"/>
      <c r="CK27" s="173"/>
      <c r="CL27" s="173"/>
      <c r="CM27" s="173"/>
      <c r="CN27" s="174"/>
    </row>
    <row r="28" spans="2:92" ht="14.1" customHeight="1" x14ac:dyDescent="0.25">
      <c r="B28" s="175" t="s">
        <v>72</v>
      </c>
      <c r="C28" s="191" t="s">
        <v>73</v>
      </c>
      <c r="D28" s="191"/>
      <c r="E28" s="191"/>
      <c r="F28" s="191" t="s">
        <v>74</v>
      </c>
      <c r="G28" s="191"/>
      <c r="H28" s="191"/>
      <c r="I28" s="191" t="s">
        <v>75</v>
      </c>
      <c r="J28" s="191"/>
      <c r="K28" s="191"/>
      <c r="L28" s="191" t="s">
        <v>76</v>
      </c>
      <c r="M28" s="191"/>
      <c r="N28" s="191"/>
      <c r="O28" s="191" t="s">
        <v>77</v>
      </c>
      <c r="P28" s="191"/>
      <c r="Q28" s="191"/>
      <c r="R28" s="191" t="s">
        <v>78</v>
      </c>
      <c r="S28" s="191"/>
      <c r="T28" s="191"/>
      <c r="U28" s="191" t="s">
        <v>79</v>
      </c>
      <c r="V28" s="191"/>
      <c r="W28" s="193"/>
      <c r="Y28" s="175" t="s">
        <v>72</v>
      </c>
      <c r="Z28" s="191" t="s">
        <v>73</v>
      </c>
      <c r="AA28" s="191"/>
      <c r="AB28" s="191"/>
      <c r="AC28" s="191" t="s">
        <v>74</v>
      </c>
      <c r="AD28" s="191"/>
      <c r="AE28" s="191"/>
      <c r="AF28" s="191" t="s">
        <v>75</v>
      </c>
      <c r="AG28" s="191"/>
      <c r="AH28" s="191"/>
      <c r="AI28" s="191" t="s">
        <v>76</v>
      </c>
      <c r="AJ28" s="191"/>
      <c r="AK28" s="191"/>
      <c r="AL28" s="191" t="s">
        <v>77</v>
      </c>
      <c r="AM28" s="191"/>
      <c r="AN28" s="191"/>
      <c r="AO28" s="191" t="s">
        <v>78</v>
      </c>
      <c r="AP28" s="191"/>
      <c r="AQ28" s="191"/>
      <c r="AR28" s="191" t="s">
        <v>79</v>
      </c>
      <c r="AS28" s="191"/>
      <c r="AT28" s="193"/>
      <c r="AV28" s="175" t="s">
        <v>72</v>
      </c>
      <c r="AW28" s="191" t="s">
        <v>73</v>
      </c>
      <c r="AX28" s="191"/>
      <c r="AY28" s="191"/>
      <c r="AZ28" s="191" t="s">
        <v>74</v>
      </c>
      <c r="BA28" s="191"/>
      <c r="BB28" s="191"/>
      <c r="BC28" s="191" t="s">
        <v>75</v>
      </c>
      <c r="BD28" s="191"/>
      <c r="BE28" s="191"/>
      <c r="BF28" s="191" t="s">
        <v>76</v>
      </c>
      <c r="BG28" s="191"/>
      <c r="BH28" s="191"/>
      <c r="BI28" s="191" t="s">
        <v>77</v>
      </c>
      <c r="BJ28" s="191"/>
      <c r="BK28" s="191"/>
      <c r="BL28" s="191" t="s">
        <v>78</v>
      </c>
      <c r="BM28" s="191"/>
      <c r="BN28" s="191"/>
      <c r="BO28" s="191" t="s">
        <v>79</v>
      </c>
      <c r="BP28" s="191"/>
      <c r="BQ28" s="193"/>
      <c r="BS28" s="175" t="s">
        <v>72</v>
      </c>
      <c r="BT28" s="191" t="s">
        <v>73</v>
      </c>
      <c r="BU28" s="191"/>
      <c r="BV28" s="191"/>
      <c r="BW28" s="191" t="s">
        <v>74</v>
      </c>
      <c r="BX28" s="191"/>
      <c r="BY28" s="191"/>
      <c r="BZ28" s="191" t="s">
        <v>75</v>
      </c>
      <c r="CA28" s="191"/>
      <c r="CB28" s="191"/>
      <c r="CC28" s="191" t="s">
        <v>76</v>
      </c>
      <c r="CD28" s="191"/>
      <c r="CE28" s="191"/>
      <c r="CF28" s="191" t="s">
        <v>77</v>
      </c>
      <c r="CG28" s="191"/>
      <c r="CH28" s="191"/>
      <c r="CI28" s="191" t="s">
        <v>78</v>
      </c>
      <c r="CJ28" s="191"/>
      <c r="CK28" s="191"/>
      <c r="CL28" s="191" t="s">
        <v>79</v>
      </c>
      <c r="CM28" s="191"/>
      <c r="CN28" s="193"/>
    </row>
    <row r="29" spans="2:92" ht="15.95" customHeight="1" x14ac:dyDescent="0.25">
      <c r="B29" s="177">
        <f>IF(OR(ISNUMBER(C29),ISNUMBER(U29)),_xlfn.ISOWEEKNUM(DATE(Planungsjahr,5,1)-WEEKDAY(DATE(Planungsjahr,5,1),2)+1),"")</f>
        <v>17</v>
      </c>
      <c r="C29" s="188" t="str">
        <f>IF(MONTH(DATE(Planungsjahr,5,1)-WEEKDAY(DATE(Planungsjahr,5,1),2)+1)=5,DAY(DATE(Planungsjahr,5,1)-WEEKDAY(DATE(Planungsjahr,5,1),2)+1),"")</f>
        <v/>
      </c>
      <c r="D29" s="188"/>
      <c r="E29" s="188"/>
      <c r="F29" s="188" t="str">
        <f>IF(MONTH(DATE(Planungsjahr,5,1)-WEEKDAY(DATE(Planungsjahr,5,1),2)+2)=5,DAY(DATE(Planungsjahr,5,1)-WEEKDAY(DATE(Planungsjahr,5,1),2)+2),"")</f>
        <v/>
      </c>
      <c r="G29" s="188"/>
      <c r="H29" s="188"/>
      <c r="I29" s="188" t="str">
        <f>IF(MONTH(DATE(Planungsjahr,5,1)-WEEKDAY(DATE(Planungsjahr,5,1),2)+3)=5,DAY(DATE(Planungsjahr,5,1)-WEEKDAY(DATE(Planungsjahr,5,1),2)+3),"")</f>
        <v/>
      </c>
      <c r="J29" s="188"/>
      <c r="K29" s="188"/>
      <c r="L29" s="188" t="str">
        <f>IF(MONTH(DATE(Planungsjahr,5,1)-WEEKDAY(DATE(Planungsjahr,5,1),2)+4)=5,DAY(DATE(Planungsjahr,5,1)-WEEKDAY(DATE(Planungsjahr,5,1),2)+4),"")</f>
        <v/>
      </c>
      <c r="M29" s="188"/>
      <c r="N29" s="188"/>
      <c r="O29" s="188" t="str">
        <f>IF(MONTH(DATE(Planungsjahr,5,1)-WEEKDAY(DATE(Planungsjahr,5,1),2)+5)=5,DAY(DATE(Planungsjahr,5,1)-WEEKDAY(DATE(Planungsjahr,5,1),2)+5),"")</f>
        <v/>
      </c>
      <c r="P29" s="188"/>
      <c r="Q29" s="188"/>
      <c r="R29" s="188">
        <f>IF(MONTH(DATE(Planungsjahr,5,1)-WEEKDAY(DATE(Planungsjahr,5,1),2)+6)=5,DAY(DATE(Planungsjahr,5,1)-WEEKDAY(DATE(Planungsjahr,5,1),2)+6),"")</f>
        <v>1</v>
      </c>
      <c r="S29" s="188"/>
      <c r="T29" s="188"/>
      <c r="U29" s="188">
        <f>IF(MONTH(DATE(Planungsjahr,5,1)-WEEKDAY(DATE(Planungsjahr,5,1),2)+7)=5,DAY(DATE(Planungsjahr,5,1)-WEEKDAY(DATE(Planungsjahr,5,1),2)+7),"")</f>
        <v>2</v>
      </c>
      <c r="V29" s="188"/>
      <c r="W29" s="190"/>
      <c r="Y29" s="177">
        <f>IF(OR(ISNUMBER(Z29),ISNUMBER(AR29)),_xlfn.ISOWEEKNUM(DATE(Planungsjahr,6,1)-WEEKDAY(DATE(Planungsjahr,6,1),2)+1),"")</f>
        <v>22</v>
      </c>
      <c r="Z29" s="188" t="str">
        <f>IF(MONTH(DATE(Planungsjahr,6,1)-WEEKDAY(DATE(Planungsjahr,6,1),2)+1)=6,DAY(DATE(Planungsjahr,6,1)-WEEKDAY(DATE(Planungsjahr,6,1),2)+1),"")</f>
        <v/>
      </c>
      <c r="AA29" s="188"/>
      <c r="AB29" s="188"/>
      <c r="AC29" s="188">
        <f>IF(MONTH(DATE(Planungsjahr,6,1)-WEEKDAY(DATE(Planungsjahr,6,1),2)+2)=6,DAY(DATE(Planungsjahr,6,1)-WEEKDAY(DATE(Planungsjahr,6,1),2)+2),"")</f>
        <v>1</v>
      </c>
      <c r="AD29" s="188"/>
      <c r="AE29" s="188"/>
      <c r="AF29" s="188">
        <f>IF(MONTH(DATE(Planungsjahr,6,1)-WEEKDAY(DATE(Planungsjahr,6,1),2)+3)=6,DAY(DATE(Planungsjahr,6,1)-WEEKDAY(DATE(Planungsjahr,6,1),2)+3),"")</f>
        <v>2</v>
      </c>
      <c r="AG29" s="188"/>
      <c r="AH29" s="188"/>
      <c r="AI29" s="188">
        <f>IF(MONTH(DATE(Planungsjahr,6,1)-WEEKDAY(DATE(Planungsjahr,6,1),2)+4)=6,DAY(DATE(Planungsjahr,6,1)-WEEKDAY(DATE(Planungsjahr,6,1),2)+4),"")</f>
        <v>3</v>
      </c>
      <c r="AJ29" s="188"/>
      <c r="AK29" s="188"/>
      <c r="AL29" s="188">
        <f>IF(MONTH(DATE(Planungsjahr,6,1)-WEEKDAY(DATE(Planungsjahr,6,1),2)+5)=6,DAY(DATE(Planungsjahr,6,1)-WEEKDAY(DATE(Planungsjahr,6,1),2)+5),"")</f>
        <v>4</v>
      </c>
      <c r="AM29" s="188"/>
      <c r="AN29" s="188"/>
      <c r="AO29" s="188">
        <f>IF(MONTH(DATE(Planungsjahr,6,1)-WEEKDAY(DATE(Planungsjahr,6,1),2)+6)=6,DAY(DATE(Planungsjahr,6,1)-WEEKDAY(DATE(Planungsjahr,6,1),2)+6),"")</f>
        <v>5</v>
      </c>
      <c r="AP29" s="188"/>
      <c r="AQ29" s="188"/>
      <c r="AR29" s="188">
        <f>IF(MONTH(DATE(Planungsjahr,6,1)-WEEKDAY(DATE(Planungsjahr,6,1),2)+7)=6,DAY(DATE(Planungsjahr,6,1)-WEEKDAY(DATE(Planungsjahr,6,1),2)+7),"")</f>
        <v>6</v>
      </c>
      <c r="AS29" s="188"/>
      <c r="AT29" s="190"/>
      <c r="AV29" s="177">
        <f>IF(OR(ISNUMBER(AW29),ISNUMBER(BO29)),_xlfn.ISOWEEKNUM(DATE(Planungsjahr,7,1)-WEEKDAY(DATE(Planungsjahr,7,1),2)+1),"")</f>
        <v>26</v>
      </c>
      <c r="AW29" s="188" t="str">
        <f>IF(MONTH(DATE(Planungsjahr,7,1)-WEEKDAY(DATE(Planungsjahr,7,1),2)+1)=7,DAY(DATE(Planungsjahr,7,1)-WEEKDAY(DATE(Planungsjahr,7,1),2)+1),"")</f>
        <v/>
      </c>
      <c r="AX29" s="188"/>
      <c r="AY29" s="188"/>
      <c r="AZ29" s="188" t="str">
        <f>IF(MONTH(DATE(Planungsjahr,7,1)-WEEKDAY(DATE(Planungsjahr,7,1),2)+2)=7,DAY(DATE(Planungsjahr,7,1)-WEEKDAY(DATE(Planungsjahr,7,1),2)+2),"")</f>
        <v/>
      </c>
      <c r="BA29" s="188"/>
      <c r="BB29" s="188"/>
      <c r="BC29" s="188" t="str">
        <f>IF(MONTH(DATE(Planungsjahr,7,1)-WEEKDAY(DATE(Planungsjahr,7,1),2)+3)=7,DAY(DATE(Planungsjahr,7,1)-WEEKDAY(DATE(Planungsjahr,7,1),2)+3),"")</f>
        <v/>
      </c>
      <c r="BD29" s="188"/>
      <c r="BE29" s="188"/>
      <c r="BF29" s="188">
        <f>IF(MONTH(DATE(Planungsjahr,7,1)-WEEKDAY(DATE(Planungsjahr,7,1),2)+4)=7,DAY(DATE(Planungsjahr,7,1)-WEEKDAY(DATE(Planungsjahr,7,1),2)+4),"")</f>
        <v>1</v>
      </c>
      <c r="BG29" s="188"/>
      <c r="BH29" s="188"/>
      <c r="BI29" s="188">
        <f>IF(MONTH(DATE(Planungsjahr,7,1)-WEEKDAY(DATE(Planungsjahr,7,1),2)+5)=7,DAY(DATE(Planungsjahr,7,1)-WEEKDAY(DATE(Planungsjahr,7,1),2)+5),"")</f>
        <v>2</v>
      </c>
      <c r="BJ29" s="188"/>
      <c r="BK29" s="188"/>
      <c r="BL29" s="188">
        <f>IF(MONTH(DATE(Planungsjahr,7,1)-WEEKDAY(DATE(Planungsjahr,7,1),2)+6)=7,DAY(DATE(Planungsjahr,7,1)-WEEKDAY(DATE(Planungsjahr,7,1),2)+6),"")</f>
        <v>3</v>
      </c>
      <c r="BM29" s="188"/>
      <c r="BN29" s="188"/>
      <c r="BO29" s="188">
        <f>IF(MONTH(DATE(Planungsjahr,7,1)-WEEKDAY(DATE(Planungsjahr,7,1),2)+7)=7,DAY(DATE(Planungsjahr,7,1)-WEEKDAY(DATE(Planungsjahr,7,1),2)+7),"")</f>
        <v>4</v>
      </c>
      <c r="BP29" s="188"/>
      <c r="BQ29" s="190"/>
      <c r="BS29" s="177">
        <f>IF(OR(ISNUMBER(BT29),ISNUMBER(CL29)),_xlfn.ISOWEEKNUM(DATE(Planungsjahr,8,1)-WEEKDAY(DATE(Planungsjahr,8,1),2)+1),"")</f>
        <v>30</v>
      </c>
      <c r="BT29" s="188" t="str">
        <f>IF(MONTH(DATE(Planungsjahr,8,1)-WEEKDAY(DATE(Planungsjahr,8,1),2)+1)=8,DAY(DATE(Planungsjahr,8,1)-WEEKDAY(DATE(Planungsjahr,8,1),2)+1),"")</f>
        <v/>
      </c>
      <c r="BU29" s="188"/>
      <c r="BV29" s="188"/>
      <c r="BW29" s="188" t="str">
        <f>IF(MONTH(DATE(Planungsjahr,8,1)-WEEKDAY(DATE(Planungsjahr,8,1),2)+2)=8,DAY(DATE(Planungsjahr,8,1)-WEEKDAY(DATE(Planungsjahr,8,1),2)+2),"")</f>
        <v/>
      </c>
      <c r="BX29" s="188"/>
      <c r="BY29" s="188"/>
      <c r="BZ29" s="188" t="str">
        <f>IF(MONTH(DATE(Planungsjahr,8,1)-WEEKDAY(DATE(Planungsjahr,8,1),2)+3)=8,DAY(DATE(Planungsjahr,8,1)-WEEKDAY(DATE(Planungsjahr,8,1),2)+3),"")</f>
        <v/>
      </c>
      <c r="CA29" s="188"/>
      <c r="CB29" s="188"/>
      <c r="CC29" s="188" t="str">
        <f>IF(MONTH(DATE(Planungsjahr,8,1)-WEEKDAY(DATE(Planungsjahr,8,1),2)+4)=8,DAY(DATE(Planungsjahr,8,1)-WEEKDAY(DATE(Planungsjahr,8,1),2)+4),"")</f>
        <v/>
      </c>
      <c r="CD29" s="188"/>
      <c r="CE29" s="188"/>
      <c r="CF29" s="188" t="str">
        <f>IF(MONTH(DATE(Planungsjahr,8,1)-WEEKDAY(DATE(Planungsjahr,8,1),2)+5)=8,DAY(DATE(Planungsjahr,8,1)-WEEKDAY(DATE(Planungsjahr,8,1),2)+5),"")</f>
        <v/>
      </c>
      <c r="CG29" s="188"/>
      <c r="CH29" s="188"/>
      <c r="CI29" s="188" t="str">
        <f>IF(MONTH(DATE(Planungsjahr,8,1)-WEEKDAY(DATE(Planungsjahr,8,1),2)+6)=8,DAY(DATE(Planungsjahr,8,1)-WEEKDAY(DATE(Planungsjahr,8,1),2)+6),"")</f>
        <v/>
      </c>
      <c r="CJ29" s="188"/>
      <c r="CK29" s="188"/>
      <c r="CL29" s="188">
        <f>IF(MONTH(DATE(Planungsjahr,8,1)-WEEKDAY(DATE(Planungsjahr,8,1),2)+7)=8,DAY(DATE(Planungsjahr,8,1)-WEEKDAY(DATE(Planungsjahr,8,1),2)+7),"")</f>
        <v>1</v>
      </c>
      <c r="CM29" s="188"/>
      <c r="CN29" s="190"/>
    </row>
    <row r="30" spans="2:92" ht="10.5" customHeight="1" x14ac:dyDescent="0.25">
      <c r="B30" s="179"/>
      <c r="C30" s="159" t="str">
        <f>IF(ISNUMBER(C29),IF(COUNTIFS(JP_StartSel,DATE(Planungsjahr,5,C29),JP_ShowSel,TRUE)&gt;0,"S",IF(COUNTIF(Feiertage,DATE(Planungsjahr,5,C29))&gt;0,"h","")),"")</f>
        <v/>
      </c>
      <c r="D30" s="159" t="str">
        <f>IF(ISNUMBER(C29),IF(COUNTIFS(JP_StartInhalt,DATE(Planungsjahr,5,C29),JP_ShowInhalt,TRUE)&gt;0,"I",IF(COUNTIF(Feiertage,DATE(Planungsjahr,5,C29))&gt;0,"h","")),"")</f>
        <v/>
      </c>
      <c r="E30" s="159" t="str">
        <f>IF(ISNUMBER(C29),IF(COUNTIFS(JP_PAL,DATE(Planungsjahr,5,C29),JP_ShowPAL,TRUE)&gt;0,"P",IF(COUNTIF(Feiertage,DATE(Planungsjahr,5,C29))&gt;0,"h","")),"")</f>
        <v/>
      </c>
      <c r="F30" s="159" t="str">
        <f>IF(ISNUMBER(F29),IF(COUNTIFS(JP_StartSel,DATE(Planungsjahr,5,F29),JP_ShowSel,TRUE)&gt;0,"S",IF(COUNTIF(Feiertage,DATE(Planungsjahr,5,F29))&gt;0,"h","")),"")</f>
        <v/>
      </c>
      <c r="G30" s="159" t="str">
        <f>IF(ISNUMBER(F29),IF(COUNTIFS(JP_StartInhalt,DATE(Planungsjahr,5,F29),JP_ShowInhalt,TRUE)&gt;0,"I",IF(COUNTIF(Feiertage,DATE(Planungsjahr,5,F29))&gt;0,"h","")),"")</f>
        <v/>
      </c>
      <c r="H30" s="159" t="str">
        <f>IF(ISNUMBER(F29),IF(COUNTIFS(JP_PAL,DATE(Planungsjahr,5,F29),JP_ShowPAL,TRUE)&gt;0,"P",IF(COUNTIF(Feiertage,DATE(Planungsjahr,5,F29))&gt;0,"h","")),"")</f>
        <v/>
      </c>
      <c r="I30" s="159" t="str">
        <f>IF(ISNUMBER(I29),IF(COUNTIFS(JP_StartSel,DATE(Planungsjahr,5,I29),JP_ShowSel,TRUE)&gt;0,"S",IF(COUNTIF(Feiertage,DATE(Planungsjahr,5,I29))&gt;0,"h","")),"")</f>
        <v/>
      </c>
      <c r="J30" s="159" t="str">
        <f>IF(ISNUMBER(I29),IF(COUNTIFS(JP_StartInhalt,DATE(Planungsjahr,5,I29),JP_ShowInhalt,TRUE)&gt;0,"I",IF(COUNTIF(Feiertage,DATE(Planungsjahr,5,I29))&gt;0,"h","")),"")</f>
        <v/>
      </c>
      <c r="K30" s="159" t="str">
        <f>IF(ISNUMBER(I29),IF(COUNTIFS(JP_PAL,DATE(Planungsjahr,5,I29),JP_ShowPAL,TRUE)&gt;0,"P",IF(COUNTIF(Feiertage,DATE(Planungsjahr,5,I29))&gt;0,"h","")),"")</f>
        <v/>
      </c>
      <c r="L30" s="159" t="str">
        <f>IF(ISNUMBER(L29),IF(COUNTIFS(JP_StartSel,DATE(Planungsjahr,5,L29),JP_ShowSel,TRUE)&gt;0,"S",IF(COUNTIF(Feiertage,DATE(Planungsjahr,5,L29))&gt;0,"h","")),"")</f>
        <v/>
      </c>
      <c r="M30" s="159" t="str">
        <f>IF(ISNUMBER(L29),IF(COUNTIFS(JP_StartInhalt,DATE(Planungsjahr,5,L29),JP_ShowInhalt,TRUE)&gt;0,"I",IF(COUNTIF(Feiertage,DATE(Planungsjahr,5,L29))&gt;0,"h","")),"")</f>
        <v/>
      </c>
      <c r="N30" s="159" t="str">
        <f>IF(ISNUMBER(L29),IF(COUNTIFS(JP_PAL,DATE(Planungsjahr,5,L29),JP_ShowPAL,TRUE)&gt;0,"P",IF(COUNTIF(Feiertage,DATE(Planungsjahr,5,L29))&gt;0,"h","")),"")</f>
        <v/>
      </c>
      <c r="O30" s="159" t="str">
        <f>IF(ISNUMBER(O29),IF(COUNTIFS(JP_StartSel,DATE(Planungsjahr,5,O29),JP_ShowSel,TRUE)&gt;0,"S",IF(COUNTIF(Feiertage,DATE(Planungsjahr,5,O29))&gt;0,"h","")),"")</f>
        <v/>
      </c>
      <c r="P30" s="159" t="str">
        <f>IF(ISNUMBER(O29),IF(COUNTIFS(JP_StartInhalt,DATE(Planungsjahr,5,O29),JP_ShowInhalt,TRUE)&gt;0,"I",IF(COUNTIF(Feiertage,DATE(Planungsjahr,5,O29))&gt;0,"h","")),"")</f>
        <v/>
      </c>
      <c r="Q30" s="159" t="str">
        <f>IF(ISNUMBER(O29),IF(COUNTIFS(JP_PAL,DATE(Planungsjahr,5,O29),JP_ShowPAL,TRUE)&gt;0,"P",IF(COUNTIF(Feiertage,DATE(Planungsjahr,5,O29))&gt;0,"h","")),"")</f>
        <v/>
      </c>
      <c r="R30" s="159" t="str">
        <f>IF(ISNUMBER(R29),IF(COUNTIFS(JP_StartSel,DATE(Planungsjahr,5,R29),JP_ShowSel,TRUE)&gt;0,"S",IF(COUNTIF(Feiertage,DATE(Planungsjahr,5,R29))&gt;0,"h","w")),"")</f>
        <v>h</v>
      </c>
      <c r="S30" s="159" t="str">
        <f>IF(ISNUMBER(R29),IF(COUNTIFS(JP_StartInhalt,DATE(Planungsjahr,5,R29),JP_ShowInhalt,TRUE)&gt;0,"I",IF(COUNTIF(Feiertage,DATE(Planungsjahr,5,R29))&gt;0,"h","w")),"")</f>
        <v>h</v>
      </c>
      <c r="T30" s="159" t="str">
        <f>IF(ISNUMBER(R29),IF(COUNTIFS(JP_PAL,DATE(Planungsjahr,5,R29),JP_ShowPAL,TRUE)&gt;0,"P",IF(COUNTIF(Feiertage,DATE(Planungsjahr,5,R29))&gt;0,"h","w")),"")</f>
        <v>h</v>
      </c>
      <c r="U30" s="159" t="str">
        <f>IF(ISNUMBER(U29),IF(COUNTIFS(JP_StartSel,DATE(Planungsjahr,5,U29),JP_ShowSel,TRUE)&gt;0,"S",IF(COUNTIF(Feiertage,DATE(Planungsjahr,5,U29))&gt;0,"h","w")),"")</f>
        <v>w</v>
      </c>
      <c r="V30" s="159" t="str">
        <f>IF(ISNUMBER(U29),IF(COUNTIFS(JP_StartInhalt,DATE(Planungsjahr,5,U29),JP_ShowInhalt,TRUE)&gt;0,"I",IF(COUNTIF(Feiertage,DATE(Planungsjahr,5,U29))&gt;0,"h","w")),"")</f>
        <v>w</v>
      </c>
      <c r="W30" s="180" t="str">
        <f>IF(ISNUMBER(U29),IF(COUNTIFS(JP_PAL,DATE(Planungsjahr,5,U29),JP_ShowPAL,TRUE)&gt;0,"P",IF(COUNTIF(Feiertage,DATE(Planungsjahr,5,U29))&gt;0,"h","w")),"")</f>
        <v>w</v>
      </c>
      <c r="Y30" s="179"/>
      <c r="Z30" s="159" t="str">
        <f>IF(ISNUMBER(Z29),IF(COUNTIFS(JP_StartSel,DATE(Planungsjahr,6,Z29),JP_ShowSel,TRUE)&gt;0,"S",IF(COUNTIF(Feiertage,DATE(Planungsjahr,6,Z29))&gt;0,"h","")),"")</f>
        <v/>
      </c>
      <c r="AA30" s="159" t="str">
        <f>IF(ISNUMBER(Z29),IF(COUNTIFS(JP_StartInhalt,DATE(Planungsjahr,6,Z29),JP_ShowInhalt,TRUE)&gt;0,"I",IF(COUNTIF(Feiertage,DATE(Planungsjahr,6,Z29))&gt;0,"h","")),"")</f>
        <v/>
      </c>
      <c r="AB30" s="159" t="str">
        <f>IF(ISNUMBER(Z29),IF(COUNTIFS(JP_PAL,DATE(Planungsjahr,6,Z29),JP_ShowPAL,TRUE)&gt;0,"P",IF(COUNTIF(Feiertage,DATE(Planungsjahr,6,Z29))&gt;0,"h","")),"")</f>
        <v/>
      </c>
      <c r="AC30" s="159" t="str">
        <f>IF(ISNUMBER(AC29),IF(COUNTIFS(JP_StartSel,DATE(Planungsjahr,6,AC29),JP_ShowSel,TRUE)&gt;0,"S",IF(COUNTIF(Feiertage,DATE(Planungsjahr,6,AC29))&gt;0,"h","")),"")</f>
        <v/>
      </c>
      <c r="AD30" s="159" t="str">
        <f>IF(ISNUMBER(AC29),IF(COUNTIFS(JP_StartInhalt,DATE(Planungsjahr,6,AC29),JP_ShowInhalt,TRUE)&gt;0,"I",IF(COUNTIF(Feiertage,DATE(Planungsjahr,6,AC29))&gt;0,"h","")),"")</f>
        <v/>
      </c>
      <c r="AE30" s="159" t="str">
        <f>IF(ISNUMBER(AC29),IF(COUNTIFS(JP_PAL,DATE(Planungsjahr,6,AC29),JP_ShowPAL,TRUE)&gt;0,"P",IF(COUNTIF(Feiertage,DATE(Planungsjahr,6,AC29))&gt;0,"h","")),"")</f>
        <v/>
      </c>
      <c r="AF30" s="159" t="str">
        <f>IF(ISNUMBER(AF29),IF(COUNTIFS(JP_StartSel,DATE(Planungsjahr,6,AF29),JP_ShowSel,TRUE)&gt;0,"S",IF(COUNTIF(Feiertage,DATE(Planungsjahr,6,AF29))&gt;0,"h","")),"")</f>
        <v/>
      </c>
      <c r="AG30" s="159" t="str">
        <f>IF(ISNUMBER(AF29),IF(COUNTIFS(JP_StartInhalt,DATE(Planungsjahr,6,AF29),JP_ShowInhalt,TRUE)&gt;0,"I",IF(COUNTIF(Feiertage,DATE(Planungsjahr,6,AF29))&gt;0,"h","")),"")</f>
        <v/>
      </c>
      <c r="AH30" s="159" t="str">
        <f>IF(ISNUMBER(AF29),IF(COUNTIFS(JP_PAL,DATE(Planungsjahr,6,AF29),JP_ShowPAL,TRUE)&gt;0,"P",IF(COUNTIF(Feiertage,DATE(Planungsjahr,6,AF29))&gt;0,"h","")),"")</f>
        <v/>
      </c>
      <c r="AI30" s="159" t="str">
        <f>IF(ISNUMBER(AI29),IF(COUNTIFS(JP_StartSel,DATE(Planungsjahr,6,AI29),JP_ShowSel,TRUE)&gt;0,"S",IF(COUNTIF(Feiertage,DATE(Planungsjahr,6,AI29))&gt;0,"h","")),"")</f>
        <v/>
      </c>
      <c r="AJ30" s="159" t="str">
        <f>IF(ISNUMBER(AI29),IF(COUNTIFS(JP_StartInhalt,DATE(Planungsjahr,6,AI29),JP_ShowInhalt,TRUE)&gt;0,"I",IF(COUNTIF(Feiertage,DATE(Planungsjahr,6,AI29))&gt;0,"h","")),"")</f>
        <v/>
      </c>
      <c r="AK30" s="159" t="str">
        <f>IF(ISNUMBER(AI29),IF(COUNTIFS(JP_PAL,DATE(Planungsjahr,6,AI29),JP_ShowPAL,TRUE)&gt;0,"P",IF(COUNTIF(Feiertage,DATE(Planungsjahr,6,AI29))&gt;0,"h","")),"")</f>
        <v/>
      </c>
      <c r="AL30" s="159" t="str">
        <f>IF(ISNUMBER(AL29),IF(COUNTIFS(JP_StartSel,DATE(Planungsjahr,6,AL29),JP_ShowSel,TRUE)&gt;0,"S",IF(COUNTIF(Feiertage,DATE(Planungsjahr,6,AL29))&gt;0,"h","")),"")</f>
        <v/>
      </c>
      <c r="AM30" s="159" t="str">
        <f>IF(ISNUMBER(AL29),IF(COUNTIFS(JP_StartInhalt,DATE(Planungsjahr,6,AL29),JP_ShowInhalt,TRUE)&gt;0,"I",IF(COUNTIF(Feiertage,DATE(Planungsjahr,6,AL29))&gt;0,"h","")),"")</f>
        <v/>
      </c>
      <c r="AN30" s="159" t="str">
        <f>IF(ISNUMBER(AL29),IF(COUNTIFS(JP_PAL,DATE(Planungsjahr,6,AL29),JP_ShowPAL,TRUE)&gt;0,"P",IF(COUNTIF(Feiertage,DATE(Planungsjahr,6,AL29))&gt;0,"h","")),"")</f>
        <v/>
      </c>
      <c r="AO30" s="159" t="str">
        <f>IF(ISNUMBER(AO29),IF(COUNTIFS(JP_StartSel,DATE(Planungsjahr,6,AO29),JP_ShowSel,TRUE)&gt;0,"S",IF(COUNTIF(Feiertage,DATE(Planungsjahr,6,AO29))&gt;0,"h","w")),"")</f>
        <v>w</v>
      </c>
      <c r="AP30" s="159" t="str">
        <f>IF(ISNUMBER(AO29),IF(COUNTIFS(JP_StartInhalt,DATE(Planungsjahr,6,AO29),JP_ShowInhalt,TRUE)&gt;0,"I",IF(COUNTIF(Feiertage,DATE(Planungsjahr,6,AO29))&gt;0,"h","w")),"")</f>
        <v>w</v>
      </c>
      <c r="AQ30" s="159" t="str">
        <f>IF(ISNUMBER(AO29),IF(COUNTIFS(JP_PAL,DATE(Planungsjahr,6,AO29),JP_ShowPAL,TRUE)&gt;0,"P",IF(COUNTIF(Feiertage,DATE(Planungsjahr,6,AO29))&gt;0,"h","w")),"")</f>
        <v>w</v>
      </c>
      <c r="AR30" s="159" t="str">
        <f>IF(ISNUMBER(AR29),IF(COUNTIFS(JP_StartSel,DATE(Planungsjahr,6,AR29),JP_ShowSel,TRUE)&gt;0,"S",IF(COUNTIF(Feiertage,DATE(Planungsjahr,6,AR29))&gt;0,"h","w")),"")</f>
        <v>w</v>
      </c>
      <c r="AS30" s="159" t="str">
        <f>IF(ISNUMBER(AR29),IF(COUNTIFS(JP_StartInhalt,DATE(Planungsjahr,6,AR29),JP_ShowInhalt,TRUE)&gt;0,"I",IF(COUNTIF(Feiertage,DATE(Planungsjahr,6,AR29))&gt;0,"h","w")),"")</f>
        <v>w</v>
      </c>
      <c r="AT30" s="180" t="str">
        <f>IF(ISNUMBER(AR29),IF(COUNTIFS(JP_PAL,DATE(Planungsjahr,6,AR29),JP_ShowPAL,TRUE)&gt;0,"P",IF(COUNTIF(Feiertage,DATE(Planungsjahr,6,AR29))&gt;0,"h","w")),"")</f>
        <v>w</v>
      </c>
      <c r="AV30" s="179"/>
      <c r="AW30" s="159" t="str">
        <f>IF(ISNUMBER(AW29),IF(COUNTIFS(JP_StartSel,DATE(Planungsjahr,7,AW29),JP_ShowSel,TRUE)&gt;0,"S",IF(COUNTIF(Feiertage,DATE(Planungsjahr,7,AW29))&gt;0,"h","")),"")</f>
        <v/>
      </c>
      <c r="AX30" s="159" t="str">
        <f>IF(ISNUMBER(AW29),IF(COUNTIFS(JP_StartInhalt,DATE(Planungsjahr,7,AW29),JP_ShowInhalt,TRUE)&gt;0,"I",IF(COUNTIF(Feiertage,DATE(Planungsjahr,7,AW29))&gt;0,"h","")),"")</f>
        <v/>
      </c>
      <c r="AY30" s="159" t="str">
        <f>IF(ISNUMBER(AW29),IF(COUNTIFS(JP_PAL,DATE(Planungsjahr,7,AW29),JP_ShowPAL,TRUE)&gt;0,"P",IF(COUNTIF(Feiertage,DATE(Planungsjahr,7,AW29))&gt;0,"h","")),"")</f>
        <v/>
      </c>
      <c r="AZ30" s="159" t="str">
        <f>IF(ISNUMBER(AZ29),IF(COUNTIFS(JP_StartSel,DATE(Planungsjahr,7,AZ29),JP_ShowSel,TRUE)&gt;0,"S",IF(COUNTIF(Feiertage,DATE(Planungsjahr,7,AZ29))&gt;0,"h","")),"")</f>
        <v/>
      </c>
      <c r="BA30" s="159" t="str">
        <f>IF(ISNUMBER(AZ29),IF(COUNTIFS(JP_StartInhalt,DATE(Planungsjahr,7,AZ29),JP_ShowInhalt,TRUE)&gt;0,"I",IF(COUNTIF(Feiertage,DATE(Planungsjahr,7,AZ29))&gt;0,"h","")),"")</f>
        <v/>
      </c>
      <c r="BB30" s="159" t="str">
        <f>IF(ISNUMBER(AZ29),IF(COUNTIFS(JP_PAL,DATE(Planungsjahr,7,AZ29),JP_ShowPAL,TRUE)&gt;0,"P",IF(COUNTIF(Feiertage,DATE(Planungsjahr,7,AZ29))&gt;0,"h","")),"")</f>
        <v/>
      </c>
      <c r="BC30" s="159" t="str">
        <f>IF(ISNUMBER(BC29),IF(COUNTIFS(JP_StartSel,DATE(Planungsjahr,7,BC29),JP_ShowSel,TRUE)&gt;0,"S",IF(COUNTIF(Feiertage,DATE(Planungsjahr,7,BC29))&gt;0,"h","")),"")</f>
        <v/>
      </c>
      <c r="BD30" s="159" t="str">
        <f>IF(ISNUMBER(BC29),IF(COUNTIFS(JP_StartInhalt,DATE(Planungsjahr,7,BC29),JP_ShowInhalt,TRUE)&gt;0,"I",IF(COUNTIF(Feiertage,DATE(Planungsjahr,7,BC29))&gt;0,"h","")),"")</f>
        <v/>
      </c>
      <c r="BE30" s="159" t="str">
        <f>IF(ISNUMBER(BC29),IF(COUNTIFS(JP_PAL,DATE(Planungsjahr,7,BC29),JP_ShowPAL,TRUE)&gt;0,"P",IF(COUNTIF(Feiertage,DATE(Planungsjahr,7,BC29))&gt;0,"h","")),"")</f>
        <v/>
      </c>
      <c r="BF30" s="159" t="str">
        <f>IF(ISNUMBER(BF29),IF(COUNTIFS(JP_StartSel,DATE(Planungsjahr,7,BF29),JP_ShowSel,TRUE)&gt;0,"S",IF(COUNTIF(Feiertage,DATE(Planungsjahr,7,BF29))&gt;0,"h","")),"")</f>
        <v/>
      </c>
      <c r="BG30" s="159" t="str">
        <f>IF(ISNUMBER(BF29),IF(COUNTIFS(JP_StartInhalt,DATE(Planungsjahr,7,BF29),JP_ShowInhalt,TRUE)&gt;0,"I",IF(COUNTIF(Feiertage,DATE(Planungsjahr,7,BF29))&gt;0,"h","")),"")</f>
        <v/>
      </c>
      <c r="BH30" s="159" t="str">
        <f>IF(ISNUMBER(BF29),IF(COUNTIFS(JP_PAL,DATE(Planungsjahr,7,BF29),JP_ShowPAL,TRUE)&gt;0,"P",IF(COUNTIF(Feiertage,DATE(Planungsjahr,7,BF29))&gt;0,"h","")),"")</f>
        <v/>
      </c>
      <c r="BI30" s="159" t="str">
        <f>IF(ISNUMBER(BI29),IF(COUNTIFS(JP_StartSel,DATE(Planungsjahr,7,BI29),JP_ShowSel,TRUE)&gt;0,"S",IF(COUNTIF(Feiertage,DATE(Planungsjahr,7,BI29))&gt;0,"h","")),"")</f>
        <v/>
      </c>
      <c r="BJ30" s="159" t="str">
        <f>IF(ISNUMBER(BI29),IF(COUNTIFS(JP_StartInhalt,DATE(Planungsjahr,7,BI29),JP_ShowInhalt,TRUE)&gt;0,"I",IF(COUNTIF(Feiertage,DATE(Planungsjahr,7,BI29))&gt;0,"h","")),"")</f>
        <v/>
      </c>
      <c r="BK30" s="159" t="str">
        <f>IF(ISNUMBER(BI29),IF(COUNTIFS(JP_PAL,DATE(Planungsjahr,7,BI29),JP_ShowPAL,TRUE)&gt;0,"P",IF(COUNTIF(Feiertage,DATE(Planungsjahr,7,BI29))&gt;0,"h","")),"")</f>
        <v/>
      </c>
      <c r="BL30" s="159" t="str">
        <f>IF(ISNUMBER(BL29),IF(COUNTIFS(JP_StartSel,DATE(Planungsjahr,7,BL29),JP_ShowSel,TRUE)&gt;0,"S",IF(COUNTIF(Feiertage,DATE(Planungsjahr,7,BL29))&gt;0,"h","w")),"")</f>
        <v>w</v>
      </c>
      <c r="BM30" s="159" t="str">
        <f>IF(ISNUMBER(BL29),IF(COUNTIFS(JP_StartInhalt,DATE(Planungsjahr,7,BL29),JP_ShowInhalt,TRUE)&gt;0,"I",IF(COUNTIF(Feiertage,DATE(Planungsjahr,7,BL29))&gt;0,"h","w")),"")</f>
        <v>w</v>
      </c>
      <c r="BN30" s="159" t="str">
        <f>IF(ISNUMBER(BL29),IF(COUNTIFS(JP_PAL,DATE(Planungsjahr,7,BL29),JP_ShowPAL,TRUE)&gt;0,"P",IF(COUNTIF(Feiertage,DATE(Planungsjahr,7,BL29))&gt;0,"h","w")),"")</f>
        <v>w</v>
      </c>
      <c r="BO30" s="159" t="str">
        <f>IF(ISNUMBER(BO29),IF(COUNTIFS(JP_StartSel,DATE(Planungsjahr,7,BO29),JP_ShowSel,TRUE)&gt;0,"S",IF(COUNTIF(Feiertage,DATE(Planungsjahr,7,BO29))&gt;0,"h","w")),"")</f>
        <v>w</v>
      </c>
      <c r="BP30" s="159" t="str">
        <f>IF(ISNUMBER(BO29),IF(COUNTIFS(JP_StartInhalt,DATE(Planungsjahr,7,BO29),JP_ShowInhalt,TRUE)&gt;0,"I",IF(COUNTIF(Feiertage,DATE(Planungsjahr,7,BO29))&gt;0,"h","w")),"")</f>
        <v>w</v>
      </c>
      <c r="BQ30" s="180" t="str">
        <f>IF(ISNUMBER(BO29),IF(COUNTIFS(JP_PAL,DATE(Planungsjahr,7,BO29),JP_ShowPAL,TRUE)&gt;0,"P",IF(COUNTIF(Feiertage,DATE(Planungsjahr,7,BO29))&gt;0,"h","w")),"")</f>
        <v>w</v>
      </c>
      <c r="BS30" s="179"/>
      <c r="BT30" s="159" t="str">
        <f>IF(ISNUMBER(BT29),IF(COUNTIFS(JP_StartSel,DATE(Planungsjahr,8,BT29),JP_ShowSel,TRUE)&gt;0,"S",IF(COUNTIF(Feiertage,DATE(Planungsjahr,8,BT29))&gt;0,"h","")),"")</f>
        <v/>
      </c>
      <c r="BU30" s="159" t="str">
        <f>IF(ISNUMBER(BT29),IF(COUNTIFS(JP_StartInhalt,DATE(Planungsjahr,8,BT29),JP_ShowInhalt,TRUE)&gt;0,"I",IF(COUNTIF(Feiertage,DATE(Planungsjahr,8,BT29))&gt;0,"h","")),"")</f>
        <v/>
      </c>
      <c r="BV30" s="159" t="str">
        <f>IF(ISNUMBER(BT29),IF(COUNTIFS(JP_PAL,DATE(Planungsjahr,8,BT29),JP_ShowPAL,TRUE)&gt;0,"P",IF(COUNTIF(Feiertage,DATE(Planungsjahr,8,BT29))&gt;0,"h","")),"")</f>
        <v/>
      </c>
      <c r="BW30" s="159" t="str">
        <f>IF(ISNUMBER(BW29),IF(COUNTIFS(JP_StartSel,DATE(Planungsjahr,8,BW29),JP_ShowSel,TRUE)&gt;0,"S",IF(COUNTIF(Feiertage,DATE(Planungsjahr,8,BW29))&gt;0,"h","")),"")</f>
        <v/>
      </c>
      <c r="BX30" s="159" t="str">
        <f>IF(ISNUMBER(BW29),IF(COUNTIFS(JP_StartInhalt,DATE(Planungsjahr,8,BW29),JP_ShowInhalt,TRUE)&gt;0,"I",IF(COUNTIF(Feiertage,DATE(Planungsjahr,8,BW29))&gt;0,"h","")),"")</f>
        <v/>
      </c>
      <c r="BY30" s="159" t="str">
        <f>IF(ISNUMBER(BW29),IF(COUNTIFS(JP_PAL,DATE(Planungsjahr,8,BW29),JP_ShowPAL,TRUE)&gt;0,"P",IF(COUNTIF(Feiertage,DATE(Planungsjahr,8,BW29))&gt;0,"h","")),"")</f>
        <v/>
      </c>
      <c r="BZ30" s="159" t="str">
        <f>IF(ISNUMBER(BZ29),IF(COUNTIFS(JP_StartSel,DATE(Planungsjahr,8,BZ29),JP_ShowSel,TRUE)&gt;0,"S",IF(COUNTIF(Feiertage,DATE(Planungsjahr,8,BZ29))&gt;0,"h","")),"")</f>
        <v/>
      </c>
      <c r="CA30" s="159" t="str">
        <f>IF(ISNUMBER(BZ29),IF(COUNTIFS(JP_StartInhalt,DATE(Planungsjahr,8,BZ29),JP_ShowInhalt,TRUE)&gt;0,"I",IF(COUNTIF(Feiertage,DATE(Planungsjahr,8,BZ29))&gt;0,"h","")),"")</f>
        <v/>
      </c>
      <c r="CB30" s="159" t="str">
        <f>IF(ISNUMBER(BZ29),IF(COUNTIFS(JP_PAL,DATE(Planungsjahr,8,BZ29),JP_ShowPAL,TRUE)&gt;0,"P",IF(COUNTIF(Feiertage,DATE(Planungsjahr,8,BZ29))&gt;0,"h","")),"")</f>
        <v/>
      </c>
      <c r="CC30" s="159" t="str">
        <f>IF(ISNUMBER(CC29),IF(COUNTIFS(JP_StartSel,DATE(Planungsjahr,8,CC29),JP_ShowSel,TRUE)&gt;0,"S",IF(COUNTIF(Feiertage,DATE(Planungsjahr,8,CC29))&gt;0,"h","")),"")</f>
        <v/>
      </c>
      <c r="CD30" s="159" t="str">
        <f>IF(ISNUMBER(CC29),IF(COUNTIFS(JP_StartInhalt,DATE(Planungsjahr,8,CC29),JP_ShowInhalt,TRUE)&gt;0,"I",IF(COUNTIF(Feiertage,DATE(Planungsjahr,8,CC29))&gt;0,"h","")),"")</f>
        <v/>
      </c>
      <c r="CE30" s="159" t="str">
        <f>IF(ISNUMBER(CC29),IF(COUNTIFS(JP_PAL,DATE(Planungsjahr,8,CC29),JP_ShowPAL,TRUE)&gt;0,"P",IF(COUNTIF(Feiertage,DATE(Planungsjahr,8,CC29))&gt;0,"h","")),"")</f>
        <v/>
      </c>
      <c r="CF30" s="159" t="str">
        <f>IF(ISNUMBER(CF29),IF(COUNTIFS(JP_StartSel,DATE(Planungsjahr,8,CF29),JP_ShowSel,TRUE)&gt;0,"S",IF(COUNTIF(Feiertage,DATE(Planungsjahr,8,CF29))&gt;0,"h","")),"")</f>
        <v/>
      </c>
      <c r="CG30" s="159" t="str">
        <f>IF(ISNUMBER(CF29),IF(COUNTIFS(JP_StartInhalt,DATE(Planungsjahr,8,CF29),JP_ShowInhalt,TRUE)&gt;0,"I",IF(COUNTIF(Feiertage,DATE(Planungsjahr,8,CF29))&gt;0,"h","")),"")</f>
        <v/>
      </c>
      <c r="CH30" s="159" t="str">
        <f>IF(ISNUMBER(CF29),IF(COUNTIFS(JP_PAL,DATE(Planungsjahr,8,CF29),JP_ShowPAL,TRUE)&gt;0,"P",IF(COUNTIF(Feiertage,DATE(Planungsjahr,8,CF29))&gt;0,"h","")),"")</f>
        <v/>
      </c>
      <c r="CI30" s="159" t="str">
        <f>IF(ISNUMBER(CI29),IF(COUNTIFS(JP_StartSel,DATE(Planungsjahr,8,CI29),JP_ShowSel,TRUE)&gt;0,"S",IF(COUNTIF(Feiertage,DATE(Planungsjahr,8,CI29))&gt;0,"h","w")),"")</f>
        <v/>
      </c>
      <c r="CJ30" s="159" t="str">
        <f>IF(ISNUMBER(CI29),IF(COUNTIFS(JP_StartInhalt,DATE(Planungsjahr,8,CI29),JP_ShowInhalt,TRUE)&gt;0,"I",IF(COUNTIF(Feiertage,DATE(Planungsjahr,8,CI29))&gt;0,"h","w")),"")</f>
        <v/>
      </c>
      <c r="CK30" s="159" t="str">
        <f>IF(ISNUMBER(CI29),IF(COUNTIFS(JP_PAL,DATE(Planungsjahr,8,CI29),JP_ShowPAL,TRUE)&gt;0,"P",IF(COUNTIF(Feiertage,DATE(Planungsjahr,8,CI29))&gt;0,"h","w")),"")</f>
        <v/>
      </c>
      <c r="CL30" s="159" t="str">
        <f>IF(ISNUMBER(CL29),IF(COUNTIFS(JP_StartSel,DATE(Planungsjahr,8,CL29),JP_ShowSel,TRUE)&gt;0,"S",IF(COUNTIF(Feiertage,DATE(Planungsjahr,8,CL29))&gt;0,"h","w")),"")</f>
        <v>w</v>
      </c>
      <c r="CM30" s="159" t="str">
        <f>IF(ISNUMBER(CL29),IF(COUNTIFS(JP_StartInhalt,DATE(Planungsjahr,8,CL29),JP_ShowInhalt,TRUE)&gt;0,"I",IF(COUNTIF(Feiertage,DATE(Planungsjahr,8,CL29))&gt;0,"h","w")),"")</f>
        <v>w</v>
      </c>
      <c r="CN30" s="180" t="str">
        <f>IF(ISNUMBER(CL29),IF(COUNTIFS(JP_PAL,DATE(Planungsjahr,8,CL29),JP_ShowPAL,TRUE)&gt;0,"P",IF(COUNTIF(Feiertage,DATE(Planungsjahr,8,CL29))&gt;0,"h","w")),"")</f>
        <v>w</v>
      </c>
    </row>
    <row r="31" spans="2:92" ht="15.95" customHeight="1" x14ac:dyDescent="0.25">
      <c r="B31" s="177">
        <f>IF(OR(ISNUMBER(C31),ISNUMBER(U31)),_xlfn.ISOWEEKNUM(DATE(Planungsjahr,5,1)-WEEKDAY(DATE(Planungsjahr,5,1),2)+8),"")</f>
        <v>18</v>
      </c>
      <c r="C31" s="188">
        <f>IF(MONTH(DATE(Planungsjahr,5,1)-WEEKDAY(DATE(Planungsjahr,5,1),2)+8)=5,DAY(DATE(Planungsjahr,5,1)-WEEKDAY(DATE(Planungsjahr,5,1),2)+8),"")</f>
        <v>3</v>
      </c>
      <c r="D31" s="188"/>
      <c r="E31" s="188"/>
      <c r="F31" s="188">
        <f>IF(MONTH(DATE(Planungsjahr,5,1)-WEEKDAY(DATE(Planungsjahr,5,1),2)+9)=5,DAY(DATE(Planungsjahr,5,1)-WEEKDAY(DATE(Planungsjahr,5,1),2)+9),"")</f>
        <v>4</v>
      </c>
      <c r="G31" s="188"/>
      <c r="H31" s="188"/>
      <c r="I31" s="188">
        <f>IF(MONTH(DATE(Planungsjahr,5,1)-WEEKDAY(DATE(Planungsjahr,5,1),2)+10)=5,DAY(DATE(Planungsjahr,5,1)-WEEKDAY(DATE(Planungsjahr,5,1),2)+10),"")</f>
        <v>5</v>
      </c>
      <c r="J31" s="188"/>
      <c r="K31" s="188"/>
      <c r="L31" s="188">
        <f>IF(MONTH(DATE(Planungsjahr,5,1)-WEEKDAY(DATE(Planungsjahr,5,1),2)+11)=5,DAY(DATE(Planungsjahr,5,1)-WEEKDAY(DATE(Planungsjahr,5,1),2)+11),"")</f>
        <v>6</v>
      </c>
      <c r="M31" s="188"/>
      <c r="N31" s="188"/>
      <c r="O31" s="188">
        <f>IF(MONTH(DATE(Planungsjahr,5,1)-WEEKDAY(DATE(Planungsjahr,5,1),2)+12)=5,DAY(DATE(Planungsjahr,5,1)-WEEKDAY(DATE(Planungsjahr,5,1),2)+12),"")</f>
        <v>7</v>
      </c>
      <c r="P31" s="188"/>
      <c r="Q31" s="188"/>
      <c r="R31" s="188">
        <f>IF(MONTH(DATE(Planungsjahr,5,1)-WEEKDAY(DATE(Planungsjahr,5,1),2)+13)=5,DAY(DATE(Planungsjahr,5,1)-WEEKDAY(DATE(Planungsjahr,5,1),2)+13),"")</f>
        <v>8</v>
      </c>
      <c r="S31" s="188"/>
      <c r="T31" s="188"/>
      <c r="U31" s="188">
        <f>IF(MONTH(DATE(Planungsjahr,5,1)-WEEKDAY(DATE(Planungsjahr,5,1),2)+14)=5,DAY(DATE(Planungsjahr,5,1)-WEEKDAY(DATE(Planungsjahr,5,1),2)+14),"")</f>
        <v>9</v>
      </c>
      <c r="V31" s="188"/>
      <c r="W31" s="190"/>
      <c r="Y31" s="177">
        <f>IF(OR(ISNUMBER(Z31),ISNUMBER(AR31)),_xlfn.ISOWEEKNUM(DATE(Planungsjahr,6,1)-WEEKDAY(DATE(Planungsjahr,6,1),2)+8),"")</f>
        <v>23</v>
      </c>
      <c r="Z31" s="188">
        <f>IF(MONTH(DATE(Planungsjahr,6,1)-WEEKDAY(DATE(Planungsjahr,6,1),2)+8)=6,DAY(DATE(Planungsjahr,6,1)-WEEKDAY(DATE(Planungsjahr,6,1),2)+8),"")</f>
        <v>7</v>
      </c>
      <c r="AA31" s="188"/>
      <c r="AB31" s="188"/>
      <c r="AC31" s="188">
        <f>IF(MONTH(DATE(Planungsjahr,6,1)-WEEKDAY(DATE(Planungsjahr,6,1),2)+9)=6,DAY(DATE(Planungsjahr,6,1)-WEEKDAY(DATE(Planungsjahr,6,1),2)+9),"")</f>
        <v>8</v>
      </c>
      <c r="AD31" s="188"/>
      <c r="AE31" s="188"/>
      <c r="AF31" s="188">
        <f>IF(MONTH(DATE(Planungsjahr,6,1)-WEEKDAY(DATE(Planungsjahr,6,1),2)+10)=6,DAY(DATE(Planungsjahr,6,1)-WEEKDAY(DATE(Planungsjahr,6,1),2)+10),"")</f>
        <v>9</v>
      </c>
      <c r="AG31" s="188"/>
      <c r="AH31" s="188"/>
      <c r="AI31" s="188">
        <f>IF(MONTH(DATE(Planungsjahr,6,1)-WEEKDAY(DATE(Planungsjahr,6,1),2)+11)=6,DAY(DATE(Planungsjahr,6,1)-WEEKDAY(DATE(Planungsjahr,6,1),2)+11),"")</f>
        <v>10</v>
      </c>
      <c r="AJ31" s="188"/>
      <c r="AK31" s="188"/>
      <c r="AL31" s="188">
        <f>IF(MONTH(DATE(Planungsjahr,6,1)-WEEKDAY(DATE(Planungsjahr,6,1),2)+12)=6,DAY(DATE(Planungsjahr,6,1)-WEEKDAY(DATE(Planungsjahr,6,1),2)+12),"")</f>
        <v>11</v>
      </c>
      <c r="AM31" s="188"/>
      <c r="AN31" s="188"/>
      <c r="AO31" s="188">
        <f>IF(MONTH(DATE(Planungsjahr,6,1)-WEEKDAY(DATE(Planungsjahr,6,1),2)+13)=6,DAY(DATE(Planungsjahr,6,1)-WEEKDAY(DATE(Planungsjahr,6,1),2)+13),"")</f>
        <v>12</v>
      </c>
      <c r="AP31" s="188"/>
      <c r="AQ31" s="188"/>
      <c r="AR31" s="188">
        <f>IF(MONTH(DATE(Planungsjahr,6,1)-WEEKDAY(DATE(Planungsjahr,6,1),2)+14)=6,DAY(DATE(Planungsjahr,6,1)-WEEKDAY(DATE(Planungsjahr,6,1),2)+14),"")</f>
        <v>13</v>
      </c>
      <c r="AS31" s="188"/>
      <c r="AT31" s="190"/>
      <c r="AV31" s="177">
        <f>IF(OR(ISNUMBER(AW31),ISNUMBER(BO31)),_xlfn.ISOWEEKNUM(DATE(Planungsjahr,7,1)-WEEKDAY(DATE(Planungsjahr,7,1),2)+8),"")</f>
        <v>27</v>
      </c>
      <c r="AW31" s="188">
        <f>IF(MONTH(DATE(Planungsjahr,7,1)-WEEKDAY(DATE(Planungsjahr,7,1),2)+8)=7,DAY(DATE(Planungsjahr,7,1)-WEEKDAY(DATE(Planungsjahr,7,1),2)+8),"")</f>
        <v>5</v>
      </c>
      <c r="AX31" s="188"/>
      <c r="AY31" s="188"/>
      <c r="AZ31" s="188">
        <f>IF(MONTH(DATE(Planungsjahr,7,1)-WEEKDAY(DATE(Planungsjahr,7,1),2)+9)=7,DAY(DATE(Planungsjahr,7,1)-WEEKDAY(DATE(Planungsjahr,7,1),2)+9),"")</f>
        <v>6</v>
      </c>
      <c r="BA31" s="188"/>
      <c r="BB31" s="188"/>
      <c r="BC31" s="188">
        <f>IF(MONTH(DATE(Planungsjahr,7,1)-WEEKDAY(DATE(Planungsjahr,7,1),2)+10)=7,DAY(DATE(Planungsjahr,7,1)-WEEKDAY(DATE(Planungsjahr,7,1),2)+10),"")</f>
        <v>7</v>
      </c>
      <c r="BD31" s="188"/>
      <c r="BE31" s="188"/>
      <c r="BF31" s="188">
        <f>IF(MONTH(DATE(Planungsjahr,7,1)-WEEKDAY(DATE(Planungsjahr,7,1),2)+11)=7,DAY(DATE(Planungsjahr,7,1)-WEEKDAY(DATE(Planungsjahr,7,1),2)+11),"")</f>
        <v>8</v>
      </c>
      <c r="BG31" s="188"/>
      <c r="BH31" s="188"/>
      <c r="BI31" s="188">
        <f>IF(MONTH(DATE(Planungsjahr,7,1)-WEEKDAY(DATE(Planungsjahr,7,1),2)+12)=7,DAY(DATE(Planungsjahr,7,1)-WEEKDAY(DATE(Planungsjahr,7,1),2)+12),"")</f>
        <v>9</v>
      </c>
      <c r="BJ31" s="188"/>
      <c r="BK31" s="188"/>
      <c r="BL31" s="188">
        <f>IF(MONTH(DATE(Planungsjahr,7,1)-WEEKDAY(DATE(Planungsjahr,7,1),2)+13)=7,DAY(DATE(Planungsjahr,7,1)-WEEKDAY(DATE(Planungsjahr,7,1),2)+13),"")</f>
        <v>10</v>
      </c>
      <c r="BM31" s="188"/>
      <c r="BN31" s="188"/>
      <c r="BO31" s="188">
        <f>IF(MONTH(DATE(Planungsjahr,7,1)-WEEKDAY(DATE(Planungsjahr,7,1),2)+14)=7,DAY(DATE(Planungsjahr,7,1)-WEEKDAY(DATE(Planungsjahr,7,1),2)+14),"")</f>
        <v>11</v>
      </c>
      <c r="BP31" s="188"/>
      <c r="BQ31" s="190"/>
      <c r="BS31" s="177">
        <f>IF(OR(ISNUMBER(BT31),ISNUMBER(CL31)),_xlfn.ISOWEEKNUM(DATE(Planungsjahr,8,1)-WEEKDAY(DATE(Planungsjahr,8,1),2)+8),"")</f>
        <v>31</v>
      </c>
      <c r="BT31" s="188">
        <f>IF(MONTH(DATE(Planungsjahr,8,1)-WEEKDAY(DATE(Planungsjahr,8,1),2)+8)=8,DAY(DATE(Planungsjahr,8,1)-WEEKDAY(DATE(Planungsjahr,8,1),2)+8),"")</f>
        <v>2</v>
      </c>
      <c r="BU31" s="188"/>
      <c r="BV31" s="188"/>
      <c r="BW31" s="188">
        <f>IF(MONTH(DATE(Planungsjahr,8,1)-WEEKDAY(DATE(Planungsjahr,8,1),2)+9)=8,DAY(DATE(Planungsjahr,8,1)-WEEKDAY(DATE(Planungsjahr,8,1),2)+9),"")</f>
        <v>3</v>
      </c>
      <c r="BX31" s="188"/>
      <c r="BY31" s="188"/>
      <c r="BZ31" s="188">
        <f>IF(MONTH(DATE(Planungsjahr,8,1)-WEEKDAY(DATE(Planungsjahr,8,1),2)+10)=8,DAY(DATE(Planungsjahr,8,1)-WEEKDAY(DATE(Planungsjahr,8,1),2)+10),"")</f>
        <v>4</v>
      </c>
      <c r="CA31" s="188"/>
      <c r="CB31" s="188"/>
      <c r="CC31" s="188">
        <f>IF(MONTH(DATE(Planungsjahr,8,1)-WEEKDAY(DATE(Planungsjahr,8,1),2)+11)=8,DAY(DATE(Planungsjahr,8,1)-WEEKDAY(DATE(Planungsjahr,8,1),2)+11),"")</f>
        <v>5</v>
      </c>
      <c r="CD31" s="188"/>
      <c r="CE31" s="188"/>
      <c r="CF31" s="188">
        <f>IF(MONTH(DATE(Planungsjahr,8,1)-WEEKDAY(DATE(Planungsjahr,8,1),2)+12)=8,DAY(DATE(Planungsjahr,8,1)-WEEKDAY(DATE(Planungsjahr,8,1),2)+12),"")</f>
        <v>6</v>
      </c>
      <c r="CG31" s="188"/>
      <c r="CH31" s="188"/>
      <c r="CI31" s="188">
        <f>IF(MONTH(DATE(Planungsjahr,8,1)-WEEKDAY(DATE(Planungsjahr,8,1),2)+13)=8,DAY(DATE(Planungsjahr,8,1)-WEEKDAY(DATE(Planungsjahr,8,1),2)+13),"")</f>
        <v>7</v>
      </c>
      <c r="CJ31" s="188"/>
      <c r="CK31" s="188"/>
      <c r="CL31" s="188">
        <f>IF(MONTH(DATE(Planungsjahr,8,1)-WEEKDAY(DATE(Planungsjahr,8,1),2)+14)=8,DAY(DATE(Planungsjahr,8,1)-WEEKDAY(DATE(Planungsjahr,8,1),2)+14),"")</f>
        <v>8</v>
      </c>
      <c r="CM31" s="188"/>
      <c r="CN31" s="190"/>
    </row>
    <row r="32" spans="2:92" ht="10.5" customHeight="1" x14ac:dyDescent="0.25">
      <c r="B32" s="179"/>
      <c r="C32" s="159" t="str">
        <f>IF(ISNUMBER(C31),IF(COUNTIFS(JP_StartSel,DATE(Planungsjahr,5,C31),JP_ShowSel,TRUE)&gt;0,"S",IF(COUNTIF(Feiertage,DATE(Planungsjahr,5,C31))&gt;0,"h","")),"")</f>
        <v/>
      </c>
      <c r="D32" s="159" t="str">
        <f>IF(ISNUMBER(C31),IF(COUNTIFS(JP_StartInhalt,DATE(Planungsjahr,5,C31),JP_ShowInhalt,TRUE)&gt;0,"I",IF(COUNTIF(Feiertage,DATE(Planungsjahr,5,C31))&gt;0,"h","")),"")</f>
        <v/>
      </c>
      <c r="E32" s="159" t="str">
        <f>IF(ISNUMBER(C31),IF(COUNTIFS(JP_PAL,DATE(Planungsjahr,5,C31),JP_ShowPAL,TRUE)&gt;0,"P",IF(COUNTIF(Feiertage,DATE(Planungsjahr,5,C31))&gt;0,"h","")),"")</f>
        <v/>
      </c>
      <c r="F32" s="159" t="str">
        <f>IF(ISNUMBER(F31),IF(COUNTIFS(JP_StartSel,DATE(Planungsjahr,5,F31),JP_ShowSel,TRUE)&gt;0,"S",IF(COUNTIF(Feiertage,DATE(Planungsjahr,5,F31))&gt;0,"h","")),"")</f>
        <v/>
      </c>
      <c r="G32" s="159" t="str">
        <f>IF(ISNUMBER(F31),IF(COUNTIFS(JP_StartInhalt,DATE(Planungsjahr,5,F31),JP_ShowInhalt,TRUE)&gt;0,"I",IF(COUNTIF(Feiertage,DATE(Planungsjahr,5,F31))&gt;0,"h","")),"")</f>
        <v/>
      </c>
      <c r="H32" s="159" t="str">
        <f>IF(ISNUMBER(F31),IF(COUNTIFS(JP_PAL,DATE(Planungsjahr,5,F31),JP_ShowPAL,TRUE)&gt;0,"P",IF(COUNTIF(Feiertage,DATE(Planungsjahr,5,F31))&gt;0,"h","")),"")</f>
        <v/>
      </c>
      <c r="I32" s="159" t="str">
        <f>IF(ISNUMBER(I31),IF(COUNTIFS(JP_StartSel,DATE(Planungsjahr,5,I31),JP_ShowSel,TRUE)&gt;0,"S",IF(COUNTIF(Feiertage,DATE(Planungsjahr,5,I31))&gt;0,"h","")),"")</f>
        <v/>
      </c>
      <c r="J32" s="159" t="str">
        <f>IF(ISNUMBER(I31),IF(COUNTIFS(JP_StartInhalt,DATE(Planungsjahr,5,I31),JP_ShowInhalt,TRUE)&gt;0,"I",IF(COUNTIF(Feiertage,DATE(Planungsjahr,5,I31))&gt;0,"h","")),"")</f>
        <v/>
      </c>
      <c r="K32" s="159" t="str">
        <f>IF(ISNUMBER(I31),IF(COUNTIFS(JP_PAL,DATE(Planungsjahr,5,I31),JP_ShowPAL,TRUE)&gt;0,"P",IF(COUNTIF(Feiertage,DATE(Planungsjahr,5,I31))&gt;0,"h","")),"")</f>
        <v/>
      </c>
      <c r="L32" s="159" t="str">
        <f>IF(ISNUMBER(L31),IF(COUNTIFS(JP_StartSel,DATE(Planungsjahr,5,L31),JP_ShowSel,TRUE)&gt;0,"S",IF(COUNTIF(Feiertage,DATE(Planungsjahr,5,L31))&gt;0,"h","")),"")</f>
        <v>h</v>
      </c>
      <c r="M32" s="159" t="str">
        <f>IF(ISNUMBER(L31),IF(COUNTIFS(JP_StartInhalt,DATE(Planungsjahr,5,L31),JP_ShowInhalt,TRUE)&gt;0,"I",IF(COUNTIF(Feiertage,DATE(Planungsjahr,5,L31))&gt;0,"h","")),"")</f>
        <v>h</v>
      </c>
      <c r="N32" s="159" t="str">
        <f>IF(ISNUMBER(L31),IF(COUNTIFS(JP_PAL,DATE(Planungsjahr,5,L31),JP_ShowPAL,TRUE)&gt;0,"P",IF(COUNTIF(Feiertage,DATE(Planungsjahr,5,L31))&gt;0,"h","")),"")</f>
        <v>h</v>
      </c>
      <c r="O32" s="159" t="str">
        <f>IF(ISNUMBER(O31),IF(COUNTIFS(JP_StartSel,DATE(Planungsjahr,5,O31),JP_ShowSel,TRUE)&gt;0,"S",IF(COUNTIF(Feiertage,DATE(Planungsjahr,5,O31))&gt;0,"h","")),"")</f>
        <v/>
      </c>
      <c r="P32" s="159" t="str">
        <f>IF(ISNUMBER(O31),IF(COUNTIFS(JP_StartInhalt,DATE(Planungsjahr,5,O31),JP_ShowInhalt,TRUE)&gt;0,"I",IF(COUNTIF(Feiertage,DATE(Planungsjahr,5,O31))&gt;0,"h","")),"")</f>
        <v/>
      </c>
      <c r="Q32" s="159" t="str">
        <f>IF(ISNUMBER(O31),IF(COUNTIFS(JP_PAL,DATE(Planungsjahr,5,O31),JP_ShowPAL,TRUE)&gt;0,"P",IF(COUNTIF(Feiertage,DATE(Planungsjahr,5,O31))&gt;0,"h","")),"")</f>
        <v/>
      </c>
      <c r="R32" s="159" t="str">
        <f>IF(ISNUMBER(R31),IF(COUNTIFS(JP_StartSel,DATE(Planungsjahr,5,R31),JP_ShowSel,TRUE)&gt;0,"S",IF(COUNTIF(Feiertage,DATE(Planungsjahr,5,R31))&gt;0,"h","w")),"")</f>
        <v>w</v>
      </c>
      <c r="S32" s="159" t="str">
        <f>IF(ISNUMBER(R31),IF(COUNTIFS(JP_StartInhalt,DATE(Planungsjahr,5,R31),JP_ShowInhalt,TRUE)&gt;0,"I",IF(COUNTIF(Feiertage,DATE(Planungsjahr,5,R31))&gt;0,"h","w")),"")</f>
        <v>w</v>
      </c>
      <c r="T32" s="159" t="str">
        <f>IF(ISNUMBER(R31),IF(COUNTIFS(JP_PAL,DATE(Planungsjahr,5,R31),JP_ShowPAL,TRUE)&gt;0,"P",IF(COUNTIF(Feiertage,DATE(Planungsjahr,5,R31))&gt;0,"h","w")),"")</f>
        <v>w</v>
      </c>
      <c r="U32" s="159" t="str">
        <f>IF(ISNUMBER(U31),IF(COUNTIFS(JP_StartSel,DATE(Planungsjahr,5,U31),JP_ShowSel,TRUE)&gt;0,"S",IF(COUNTIF(Feiertage,DATE(Planungsjahr,5,U31))&gt;0,"h","w")),"")</f>
        <v>w</v>
      </c>
      <c r="V32" s="159" t="str">
        <f>IF(ISNUMBER(U31),IF(COUNTIFS(JP_StartInhalt,DATE(Planungsjahr,5,U31),JP_ShowInhalt,TRUE)&gt;0,"I",IF(COUNTIF(Feiertage,DATE(Planungsjahr,5,U31))&gt;0,"h","w")),"")</f>
        <v>w</v>
      </c>
      <c r="W32" s="180" t="str">
        <f>IF(ISNUMBER(U31),IF(COUNTIFS(JP_PAL,DATE(Planungsjahr,5,U31),JP_ShowPAL,TRUE)&gt;0,"P",IF(COUNTIF(Feiertage,DATE(Planungsjahr,5,U31))&gt;0,"h","w")),"")</f>
        <v>w</v>
      </c>
      <c r="Y32" s="179"/>
      <c r="Z32" s="159" t="str">
        <f>IF(ISNUMBER(Z31),IF(COUNTIFS(JP_StartSel,DATE(Planungsjahr,6,Z31),JP_ShowSel,TRUE)&gt;0,"S",IF(COUNTIF(Feiertage,DATE(Planungsjahr,6,Z31))&gt;0,"h","")),"")</f>
        <v/>
      </c>
      <c r="AA32" s="159" t="str">
        <f>IF(ISNUMBER(Z31),IF(COUNTIFS(JP_StartInhalt,DATE(Planungsjahr,6,Z31),JP_ShowInhalt,TRUE)&gt;0,"I",IF(COUNTIF(Feiertage,DATE(Planungsjahr,6,Z31))&gt;0,"h","")),"")</f>
        <v/>
      </c>
      <c r="AB32" s="159" t="str">
        <f>IF(ISNUMBER(Z31),IF(COUNTIFS(JP_PAL,DATE(Planungsjahr,6,Z31),JP_ShowPAL,TRUE)&gt;0,"P",IF(COUNTIF(Feiertage,DATE(Planungsjahr,6,Z31))&gt;0,"h","")),"")</f>
        <v/>
      </c>
      <c r="AC32" s="159" t="str">
        <f>IF(ISNUMBER(AC31),IF(COUNTIFS(JP_StartSel,DATE(Planungsjahr,6,AC31),JP_ShowSel,TRUE)&gt;0,"S",IF(COUNTIF(Feiertage,DATE(Planungsjahr,6,AC31))&gt;0,"h","")),"")</f>
        <v/>
      </c>
      <c r="AD32" s="159" t="str">
        <f>IF(ISNUMBER(AC31),IF(COUNTIFS(JP_StartInhalt,DATE(Planungsjahr,6,AC31),JP_ShowInhalt,TRUE)&gt;0,"I",IF(COUNTIF(Feiertage,DATE(Planungsjahr,6,AC31))&gt;0,"h","")),"")</f>
        <v/>
      </c>
      <c r="AE32" s="159" t="str">
        <f>IF(ISNUMBER(AC31),IF(COUNTIFS(JP_PAL,DATE(Planungsjahr,6,AC31),JP_ShowPAL,TRUE)&gt;0,"P",IF(COUNTIF(Feiertage,DATE(Planungsjahr,6,AC31))&gt;0,"h","")),"")</f>
        <v/>
      </c>
      <c r="AF32" s="159" t="str">
        <f>IF(ISNUMBER(AF31),IF(COUNTIFS(JP_StartSel,DATE(Planungsjahr,6,AF31),JP_ShowSel,TRUE)&gt;0,"S",IF(COUNTIF(Feiertage,DATE(Planungsjahr,6,AF31))&gt;0,"h","")),"")</f>
        <v/>
      </c>
      <c r="AG32" s="159" t="str">
        <f>IF(ISNUMBER(AF31),IF(COUNTIFS(JP_StartInhalt,DATE(Planungsjahr,6,AF31),JP_ShowInhalt,TRUE)&gt;0,"I",IF(COUNTIF(Feiertage,DATE(Planungsjahr,6,AF31))&gt;0,"h","")),"")</f>
        <v/>
      </c>
      <c r="AH32" s="159" t="str">
        <f>IF(ISNUMBER(AF31),IF(COUNTIFS(JP_PAL,DATE(Planungsjahr,6,AF31),JP_ShowPAL,TRUE)&gt;0,"P",IF(COUNTIF(Feiertage,DATE(Planungsjahr,6,AF31))&gt;0,"h","")),"")</f>
        <v/>
      </c>
      <c r="AI32" s="159" t="str">
        <f>IF(ISNUMBER(AI31),IF(COUNTIFS(JP_StartSel,DATE(Planungsjahr,6,AI31),JP_ShowSel,TRUE)&gt;0,"S",IF(COUNTIF(Feiertage,DATE(Planungsjahr,6,AI31))&gt;0,"h","")),"")</f>
        <v/>
      </c>
      <c r="AJ32" s="159" t="str">
        <f>IF(ISNUMBER(AI31),IF(COUNTIFS(JP_StartInhalt,DATE(Planungsjahr,6,AI31),JP_ShowInhalt,TRUE)&gt;0,"I",IF(COUNTIF(Feiertage,DATE(Planungsjahr,6,AI31))&gt;0,"h","")),"")</f>
        <v/>
      </c>
      <c r="AK32" s="159" t="str">
        <f>IF(ISNUMBER(AI31),IF(COUNTIFS(JP_PAL,DATE(Planungsjahr,6,AI31),JP_ShowPAL,TRUE)&gt;0,"P",IF(COUNTIF(Feiertage,DATE(Planungsjahr,6,AI31))&gt;0,"h","")),"")</f>
        <v/>
      </c>
      <c r="AL32" s="159" t="str">
        <f>IF(ISNUMBER(AL31),IF(COUNTIFS(JP_StartSel,DATE(Planungsjahr,6,AL31),JP_ShowSel,TRUE)&gt;0,"S",IF(COUNTIF(Feiertage,DATE(Planungsjahr,6,AL31))&gt;0,"h","")),"")</f>
        <v/>
      </c>
      <c r="AM32" s="159" t="str">
        <f>IF(ISNUMBER(AL31),IF(COUNTIFS(JP_StartInhalt,DATE(Planungsjahr,6,AL31),JP_ShowInhalt,TRUE)&gt;0,"I",IF(COUNTIF(Feiertage,DATE(Planungsjahr,6,AL31))&gt;0,"h","")),"")</f>
        <v/>
      </c>
      <c r="AN32" s="159" t="str">
        <f>IF(ISNUMBER(AL31),IF(COUNTIFS(JP_PAL,DATE(Planungsjahr,6,AL31),JP_ShowPAL,TRUE)&gt;0,"P",IF(COUNTIF(Feiertage,DATE(Planungsjahr,6,AL31))&gt;0,"h","")),"")</f>
        <v/>
      </c>
      <c r="AO32" s="159" t="str">
        <f>IF(ISNUMBER(AO31),IF(COUNTIFS(JP_StartSel,DATE(Planungsjahr,6,AO31),JP_ShowSel,TRUE)&gt;0,"S",IF(COUNTIF(Feiertage,DATE(Planungsjahr,6,AO31))&gt;0,"h","w")),"")</f>
        <v>S</v>
      </c>
      <c r="AP32" s="159" t="str">
        <f>IF(ISNUMBER(AO31),IF(COUNTIFS(JP_StartInhalt,DATE(Planungsjahr,6,AO31),JP_ShowInhalt,TRUE)&gt;0,"I",IF(COUNTIF(Feiertage,DATE(Planungsjahr,6,AO31))&gt;0,"h","w")),"")</f>
        <v>w</v>
      </c>
      <c r="AQ32" s="159" t="str">
        <f>IF(ISNUMBER(AO31),IF(COUNTIFS(JP_PAL,DATE(Planungsjahr,6,AO31),JP_ShowPAL,TRUE)&gt;0,"P",IF(COUNTIF(Feiertage,DATE(Planungsjahr,6,AO31))&gt;0,"h","w")),"")</f>
        <v>w</v>
      </c>
      <c r="AR32" s="159" t="str">
        <f>IF(ISNUMBER(AR31),IF(COUNTIFS(JP_StartSel,DATE(Planungsjahr,6,AR31),JP_ShowSel,TRUE)&gt;0,"S",IF(COUNTIF(Feiertage,DATE(Planungsjahr,6,AR31))&gt;0,"h","w")),"")</f>
        <v>w</v>
      </c>
      <c r="AS32" s="159" t="str">
        <f>IF(ISNUMBER(AR31),IF(COUNTIFS(JP_StartInhalt,DATE(Planungsjahr,6,AR31),JP_ShowInhalt,TRUE)&gt;0,"I",IF(COUNTIF(Feiertage,DATE(Planungsjahr,6,AR31))&gt;0,"h","w")),"")</f>
        <v>w</v>
      </c>
      <c r="AT32" s="180" t="str">
        <f>IF(ISNUMBER(AR31),IF(COUNTIFS(JP_PAL,DATE(Planungsjahr,6,AR31),JP_ShowPAL,TRUE)&gt;0,"P",IF(COUNTIF(Feiertage,DATE(Planungsjahr,6,AR31))&gt;0,"h","w")),"")</f>
        <v>w</v>
      </c>
      <c r="AV32" s="179"/>
      <c r="AW32" s="159" t="str">
        <f>IF(ISNUMBER(AW31),IF(COUNTIFS(JP_StartSel,DATE(Planungsjahr,7,AW31),JP_ShowSel,TRUE)&gt;0,"S",IF(COUNTIF(Feiertage,DATE(Planungsjahr,7,AW31))&gt;0,"h","")),"")</f>
        <v/>
      </c>
      <c r="AX32" s="159" t="str">
        <f>IF(ISNUMBER(AW31),IF(COUNTIFS(JP_StartInhalt,DATE(Planungsjahr,7,AW31),JP_ShowInhalt,TRUE)&gt;0,"I",IF(COUNTIF(Feiertage,DATE(Planungsjahr,7,AW31))&gt;0,"h","")),"")</f>
        <v/>
      </c>
      <c r="AY32" s="159" t="str">
        <f>IF(ISNUMBER(AW31),IF(COUNTIFS(JP_PAL,DATE(Planungsjahr,7,AW31),JP_ShowPAL,TRUE)&gt;0,"P",IF(COUNTIF(Feiertage,DATE(Planungsjahr,7,AW31))&gt;0,"h","")),"")</f>
        <v/>
      </c>
      <c r="AZ32" s="159" t="str">
        <f>IF(ISNUMBER(AZ31),IF(COUNTIFS(JP_StartSel,DATE(Planungsjahr,7,AZ31),JP_ShowSel,TRUE)&gt;0,"S",IF(COUNTIF(Feiertage,DATE(Planungsjahr,7,AZ31))&gt;0,"h","")),"")</f>
        <v/>
      </c>
      <c r="BA32" s="159" t="str">
        <f>IF(ISNUMBER(AZ31),IF(COUNTIFS(JP_StartInhalt,DATE(Planungsjahr,7,AZ31),JP_ShowInhalt,TRUE)&gt;0,"I",IF(COUNTIF(Feiertage,DATE(Planungsjahr,7,AZ31))&gt;0,"h","")),"")</f>
        <v/>
      </c>
      <c r="BB32" s="159" t="str">
        <f>IF(ISNUMBER(AZ31),IF(COUNTIFS(JP_PAL,DATE(Planungsjahr,7,AZ31),JP_ShowPAL,TRUE)&gt;0,"P",IF(COUNTIF(Feiertage,DATE(Planungsjahr,7,AZ31))&gt;0,"h","")),"")</f>
        <v/>
      </c>
      <c r="BC32" s="159" t="str">
        <f>IF(ISNUMBER(BC31),IF(COUNTIFS(JP_StartSel,DATE(Planungsjahr,7,BC31),JP_ShowSel,TRUE)&gt;0,"S",IF(COUNTIF(Feiertage,DATE(Planungsjahr,7,BC31))&gt;0,"h","")),"")</f>
        <v/>
      </c>
      <c r="BD32" s="159" t="str">
        <f>IF(ISNUMBER(BC31),IF(COUNTIFS(JP_StartInhalt,DATE(Planungsjahr,7,BC31),JP_ShowInhalt,TRUE)&gt;0,"I",IF(COUNTIF(Feiertage,DATE(Planungsjahr,7,BC31))&gt;0,"h","")),"")</f>
        <v/>
      </c>
      <c r="BE32" s="159" t="str">
        <f>IF(ISNUMBER(BC31),IF(COUNTIFS(JP_PAL,DATE(Planungsjahr,7,BC31),JP_ShowPAL,TRUE)&gt;0,"P",IF(COUNTIF(Feiertage,DATE(Planungsjahr,7,BC31))&gt;0,"h","")),"")</f>
        <v/>
      </c>
      <c r="BF32" s="159" t="str">
        <f>IF(ISNUMBER(BF31),IF(COUNTIFS(JP_StartSel,DATE(Planungsjahr,7,BF31),JP_ShowSel,TRUE)&gt;0,"S",IF(COUNTIF(Feiertage,DATE(Planungsjahr,7,BF31))&gt;0,"h","")),"")</f>
        <v/>
      </c>
      <c r="BG32" s="159" t="str">
        <f>IF(ISNUMBER(BF31),IF(COUNTIFS(JP_StartInhalt,DATE(Planungsjahr,7,BF31),JP_ShowInhalt,TRUE)&gt;0,"I",IF(COUNTIF(Feiertage,DATE(Planungsjahr,7,BF31))&gt;0,"h","")),"")</f>
        <v/>
      </c>
      <c r="BH32" s="159" t="str">
        <f>IF(ISNUMBER(BF31),IF(COUNTIFS(JP_PAL,DATE(Planungsjahr,7,BF31),JP_ShowPAL,TRUE)&gt;0,"P",IF(COUNTIF(Feiertage,DATE(Planungsjahr,7,BF31))&gt;0,"h","")),"")</f>
        <v/>
      </c>
      <c r="BI32" s="159" t="str">
        <f>IF(ISNUMBER(BI31),IF(COUNTIFS(JP_StartSel,DATE(Planungsjahr,7,BI31),JP_ShowSel,TRUE)&gt;0,"S",IF(COUNTIF(Feiertage,DATE(Planungsjahr,7,BI31))&gt;0,"h","")),"")</f>
        <v/>
      </c>
      <c r="BJ32" s="159" t="str">
        <f>IF(ISNUMBER(BI31),IF(COUNTIFS(JP_StartInhalt,DATE(Planungsjahr,7,BI31),JP_ShowInhalt,TRUE)&gt;0,"I",IF(COUNTIF(Feiertage,DATE(Planungsjahr,7,BI31))&gt;0,"h","")),"")</f>
        <v/>
      </c>
      <c r="BK32" s="159" t="str">
        <f>IF(ISNUMBER(BI31),IF(COUNTIFS(JP_PAL,DATE(Planungsjahr,7,BI31),JP_ShowPAL,TRUE)&gt;0,"P",IF(COUNTIF(Feiertage,DATE(Planungsjahr,7,BI31))&gt;0,"h","")),"")</f>
        <v/>
      </c>
      <c r="BL32" s="159" t="str">
        <f>IF(ISNUMBER(BL31),IF(COUNTIFS(JP_StartSel,DATE(Planungsjahr,7,BL31),JP_ShowSel,TRUE)&gt;0,"S",IF(COUNTIF(Feiertage,DATE(Planungsjahr,7,BL31))&gt;0,"h","w")),"")</f>
        <v>S</v>
      </c>
      <c r="BM32" s="159" t="str">
        <f>IF(ISNUMBER(BL31),IF(COUNTIFS(JP_StartInhalt,DATE(Planungsjahr,7,BL31),JP_ShowInhalt,TRUE)&gt;0,"I",IF(COUNTIF(Feiertage,DATE(Planungsjahr,7,BL31))&gt;0,"h","w")),"")</f>
        <v>w</v>
      </c>
      <c r="BN32" s="159" t="str">
        <f>IF(ISNUMBER(BL31),IF(COUNTIFS(JP_PAL,DATE(Planungsjahr,7,BL31),JP_ShowPAL,TRUE)&gt;0,"P",IF(COUNTIF(Feiertage,DATE(Planungsjahr,7,BL31))&gt;0,"h","w")),"")</f>
        <v>w</v>
      </c>
      <c r="BO32" s="159" t="str">
        <f>IF(ISNUMBER(BO31),IF(COUNTIFS(JP_StartSel,DATE(Planungsjahr,7,BO31),JP_ShowSel,TRUE)&gt;0,"S",IF(COUNTIF(Feiertage,DATE(Planungsjahr,7,BO31))&gt;0,"h","w")),"")</f>
        <v>w</v>
      </c>
      <c r="BP32" s="159" t="str">
        <f>IF(ISNUMBER(BO31),IF(COUNTIFS(JP_StartInhalt,DATE(Planungsjahr,7,BO31),JP_ShowInhalt,TRUE)&gt;0,"I",IF(COUNTIF(Feiertage,DATE(Planungsjahr,7,BO31))&gt;0,"h","w")),"")</f>
        <v>w</v>
      </c>
      <c r="BQ32" s="180" t="str">
        <f>IF(ISNUMBER(BO31),IF(COUNTIFS(JP_PAL,DATE(Planungsjahr,7,BO31),JP_ShowPAL,TRUE)&gt;0,"P",IF(COUNTIF(Feiertage,DATE(Planungsjahr,7,BO31))&gt;0,"h","w")),"")</f>
        <v>w</v>
      </c>
      <c r="BS32" s="179"/>
      <c r="BT32" s="159" t="str">
        <f>IF(ISNUMBER(BT31),IF(COUNTIFS(JP_StartSel,DATE(Planungsjahr,8,BT31),JP_ShowSel,TRUE)&gt;0,"S",IF(COUNTIF(Feiertage,DATE(Planungsjahr,8,BT31))&gt;0,"h","")),"")</f>
        <v/>
      </c>
      <c r="BU32" s="159" t="str">
        <f>IF(ISNUMBER(BT31),IF(COUNTIFS(JP_StartInhalt,DATE(Planungsjahr,8,BT31),JP_ShowInhalt,TRUE)&gt;0,"I",IF(COUNTIF(Feiertage,DATE(Planungsjahr,8,BT31))&gt;0,"h","")),"")</f>
        <v/>
      </c>
      <c r="BV32" s="159" t="str">
        <f>IF(ISNUMBER(BT31),IF(COUNTIFS(JP_PAL,DATE(Planungsjahr,8,BT31),JP_ShowPAL,TRUE)&gt;0,"P",IF(COUNTIF(Feiertage,DATE(Planungsjahr,8,BT31))&gt;0,"h","")),"")</f>
        <v/>
      </c>
      <c r="BW32" s="159" t="str">
        <f>IF(ISNUMBER(BW31),IF(COUNTIFS(JP_StartSel,DATE(Planungsjahr,8,BW31),JP_ShowSel,TRUE)&gt;0,"S",IF(COUNTIF(Feiertage,DATE(Planungsjahr,8,BW31))&gt;0,"h","")),"")</f>
        <v/>
      </c>
      <c r="BX32" s="159" t="str">
        <f>IF(ISNUMBER(BW31),IF(COUNTIFS(JP_StartInhalt,DATE(Planungsjahr,8,BW31),JP_ShowInhalt,TRUE)&gt;0,"I",IF(COUNTIF(Feiertage,DATE(Planungsjahr,8,BW31))&gt;0,"h","")),"")</f>
        <v/>
      </c>
      <c r="BY32" s="159" t="str">
        <f>IF(ISNUMBER(BW31),IF(COUNTIFS(JP_PAL,DATE(Planungsjahr,8,BW31),JP_ShowPAL,TRUE)&gt;0,"P",IF(COUNTIF(Feiertage,DATE(Planungsjahr,8,BW31))&gt;0,"h","")),"")</f>
        <v/>
      </c>
      <c r="BZ32" s="159" t="str">
        <f>IF(ISNUMBER(BZ31),IF(COUNTIFS(JP_StartSel,DATE(Planungsjahr,8,BZ31),JP_ShowSel,TRUE)&gt;0,"S",IF(COUNTIF(Feiertage,DATE(Planungsjahr,8,BZ31))&gt;0,"h","")),"")</f>
        <v/>
      </c>
      <c r="CA32" s="159" t="str">
        <f>IF(ISNUMBER(BZ31),IF(COUNTIFS(JP_StartInhalt,DATE(Planungsjahr,8,BZ31),JP_ShowInhalt,TRUE)&gt;0,"I",IF(COUNTIF(Feiertage,DATE(Planungsjahr,8,BZ31))&gt;0,"h","")),"")</f>
        <v/>
      </c>
      <c r="CB32" s="159" t="str">
        <f>IF(ISNUMBER(BZ31),IF(COUNTIFS(JP_PAL,DATE(Planungsjahr,8,BZ31),JP_ShowPAL,TRUE)&gt;0,"P",IF(COUNTIF(Feiertage,DATE(Planungsjahr,8,BZ31))&gt;0,"h","")),"")</f>
        <v/>
      </c>
      <c r="CC32" s="159" t="str">
        <f>IF(ISNUMBER(CC31),IF(COUNTIFS(JP_StartSel,DATE(Planungsjahr,8,CC31),JP_ShowSel,TRUE)&gt;0,"S",IF(COUNTIF(Feiertage,DATE(Planungsjahr,8,CC31))&gt;0,"h","")),"")</f>
        <v/>
      </c>
      <c r="CD32" s="159" t="str">
        <f>IF(ISNUMBER(CC31),IF(COUNTIFS(JP_StartInhalt,DATE(Planungsjahr,8,CC31),JP_ShowInhalt,TRUE)&gt;0,"I",IF(COUNTIF(Feiertage,DATE(Planungsjahr,8,CC31))&gt;0,"h","")),"")</f>
        <v/>
      </c>
      <c r="CE32" s="159" t="str">
        <f>IF(ISNUMBER(CC31),IF(COUNTIFS(JP_PAL,DATE(Planungsjahr,8,CC31),JP_ShowPAL,TRUE)&gt;0,"P",IF(COUNTIF(Feiertage,DATE(Planungsjahr,8,CC31))&gt;0,"h","")),"")</f>
        <v/>
      </c>
      <c r="CF32" s="159" t="str">
        <f>IF(ISNUMBER(CF31),IF(COUNTIFS(JP_StartSel,DATE(Planungsjahr,8,CF31),JP_ShowSel,TRUE)&gt;0,"S",IF(COUNTIF(Feiertage,DATE(Planungsjahr,8,CF31))&gt;0,"h","")),"")</f>
        <v/>
      </c>
      <c r="CG32" s="159" t="str">
        <f>IF(ISNUMBER(CF31),IF(COUNTIFS(JP_StartInhalt,DATE(Planungsjahr,8,CF31),JP_ShowInhalt,TRUE)&gt;0,"I",IF(COUNTIF(Feiertage,DATE(Planungsjahr,8,CF31))&gt;0,"h","")),"")</f>
        <v/>
      </c>
      <c r="CH32" s="159" t="str">
        <f>IF(ISNUMBER(CF31),IF(COUNTIFS(JP_PAL,DATE(Planungsjahr,8,CF31),JP_ShowPAL,TRUE)&gt;0,"P",IF(COUNTIF(Feiertage,DATE(Planungsjahr,8,CF31))&gt;0,"h","")),"")</f>
        <v/>
      </c>
      <c r="CI32" s="159" t="str">
        <f>IF(ISNUMBER(CI31),IF(COUNTIFS(JP_StartSel,DATE(Planungsjahr,8,CI31),JP_ShowSel,TRUE)&gt;0,"S",IF(COUNTIF(Feiertage,DATE(Planungsjahr,8,CI31))&gt;0,"h","w")),"")</f>
        <v>S</v>
      </c>
      <c r="CJ32" s="159" t="str">
        <f>IF(ISNUMBER(CI31),IF(COUNTIFS(JP_StartInhalt,DATE(Planungsjahr,8,CI31),JP_ShowInhalt,TRUE)&gt;0,"I",IF(COUNTIF(Feiertage,DATE(Planungsjahr,8,CI31))&gt;0,"h","w")),"")</f>
        <v>w</v>
      </c>
      <c r="CK32" s="159" t="str">
        <f>IF(ISNUMBER(CI31),IF(COUNTIFS(JP_PAL,DATE(Planungsjahr,8,CI31),JP_ShowPAL,TRUE)&gt;0,"P",IF(COUNTIF(Feiertage,DATE(Planungsjahr,8,CI31))&gt;0,"h","w")),"")</f>
        <v>w</v>
      </c>
      <c r="CL32" s="159" t="str">
        <f>IF(ISNUMBER(CL31),IF(COUNTIFS(JP_StartSel,DATE(Planungsjahr,8,CL31),JP_ShowSel,TRUE)&gt;0,"S",IF(COUNTIF(Feiertage,DATE(Planungsjahr,8,CL31))&gt;0,"h","w")),"")</f>
        <v>w</v>
      </c>
      <c r="CM32" s="159" t="str">
        <f>IF(ISNUMBER(CL31),IF(COUNTIFS(JP_StartInhalt,DATE(Planungsjahr,8,CL31),JP_ShowInhalt,TRUE)&gt;0,"I",IF(COUNTIF(Feiertage,DATE(Planungsjahr,8,CL31))&gt;0,"h","w")),"")</f>
        <v>w</v>
      </c>
      <c r="CN32" s="180" t="str">
        <f>IF(ISNUMBER(CL31),IF(COUNTIFS(JP_PAL,DATE(Planungsjahr,8,CL31),JP_ShowPAL,TRUE)&gt;0,"P",IF(COUNTIF(Feiertage,DATE(Planungsjahr,8,CL31))&gt;0,"h","w")),"")</f>
        <v>w</v>
      </c>
    </row>
    <row r="33" spans="2:92" ht="15.95" customHeight="1" x14ac:dyDescent="0.25">
      <c r="B33" s="177">
        <f>IF(OR(ISNUMBER(C33),ISNUMBER(U33)),_xlfn.ISOWEEKNUM(DATE(Planungsjahr,5,1)-WEEKDAY(DATE(Planungsjahr,5,1),2)+15),"")</f>
        <v>19</v>
      </c>
      <c r="C33" s="188">
        <f>IF(MONTH(DATE(Planungsjahr,5,1)-WEEKDAY(DATE(Planungsjahr,5,1),2)+15)=5,DAY(DATE(Planungsjahr,5,1)-WEEKDAY(DATE(Planungsjahr,5,1),2)+15),"")</f>
        <v>10</v>
      </c>
      <c r="D33" s="188"/>
      <c r="E33" s="188"/>
      <c r="F33" s="188">
        <f>IF(MONTH(DATE(Planungsjahr,5,1)-WEEKDAY(DATE(Planungsjahr,5,1),2)+16)=5,DAY(DATE(Planungsjahr,5,1)-WEEKDAY(DATE(Planungsjahr,5,1),2)+16),"")</f>
        <v>11</v>
      </c>
      <c r="G33" s="188"/>
      <c r="H33" s="188"/>
      <c r="I33" s="188">
        <f>IF(MONTH(DATE(Planungsjahr,5,1)-WEEKDAY(DATE(Planungsjahr,5,1),2)+17)=5,DAY(DATE(Planungsjahr,5,1)-WEEKDAY(DATE(Planungsjahr,5,1),2)+17),"")</f>
        <v>12</v>
      </c>
      <c r="J33" s="188"/>
      <c r="K33" s="188"/>
      <c r="L33" s="188">
        <f>IF(MONTH(DATE(Planungsjahr,5,1)-WEEKDAY(DATE(Planungsjahr,5,1),2)+18)=5,DAY(DATE(Planungsjahr,5,1)-WEEKDAY(DATE(Planungsjahr,5,1),2)+18),"")</f>
        <v>13</v>
      </c>
      <c r="M33" s="188"/>
      <c r="N33" s="188"/>
      <c r="O33" s="188">
        <f>IF(MONTH(DATE(Planungsjahr,5,1)-WEEKDAY(DATE(Planungsjahr,5,1),2)+19)=5,DAY(DATE(Planungsjahr,5,1)-WEEKDAY(DATE(Planungsjahr,5,1),2)+19),"")</f>
        <v>14</v>
      </c>
      <c r="P33" s="188"/>
      <c r="Q33" s="188"/>
      <c r="R33" s="188">
        <f>IF(MONTH(DATE(Planungsjahr,5,1)-WEEKDAY(DATE(Planungsjahr,5,1),2)+20)=5,DAY(DATE(Planungsjahr,5,1)-WEEKDAY(DATE(Planungsjahr,5,1),2)+20),"")</f>
        <v>15</v>
      </c>
      <c r="S33" s="188"/>
      <c r="T33" s="188"/>
      <c r="U33" s="188">
        <f>IF(MONTH(DATE(Planungsjahr,5,1)-WEEKDAY(DATE(Planungsjahr,5,1),2)+21)=5,DAY(DATE(Planungsjahr,5,1)-WEEKDAY(DATE(Planungsjahr,5,1),2)+21),"")</f>
        <v>16</v>
      </c>
      <c r="V33" s="188"/>
      <c r="W33" s="190"/>
      <c r="Y33" s="177">
        <f>IF(OR(ISNUMBER(Z33),ISNUMBER(AR33)),_xlfn.ISOWEEKNUM(DATE(Planungsjahr,6,1)-WEEKDAY(DATE(Planungsjahr,6,1),2)+15),"")</f>
        <v>24</v>
      </c>
      <c r="Z33" s="188">
        <f>IF(MONTH(DATE(Planungsjahr,6,1)-WEEKDAY(DATE(Planungsjahr,6,1),2)+15)=6,DAY(DATE(Planungsjahr,6,1)-WEEKDAY(DATE(Planungsjahr,6,1),2)+15),"")</f>
        <v>14</v>
      </c>
      <c r="AA33" s="188"/>
      <c r="AB33" s="188"/>
      <c r="AC33" s="188">
        <f>IF(MONTH(DATE(Planungsjahr,6,1)-WEEKDAY(DATE(Planungsjahr,6,1),2)+16)=6,DAY(DATE(Planungsjahr,6,1)-WEEKDAY(DATE(Planungsjahr,6,1),2)+16),"")</f>
        <v>15</v>
      </c>
      <c r="AD33" s="188"/>
      <c r="AE33" s="188"/>
      <c r="AF33" s="188">
        <f>IF(MONTH(DATE(Planungsjahr,6,1)-WEEKDAY(DATE(Planungsjahr,6,1),2)+17)=6,DAY(DATE(Planungsjahr,6,1)-WEEKDAY(DATE(Planungsjahr,6,1),2)+17),"")</f>
        <v>16</v>
      </c>
      <c r="AG33" s="188"/>
      <c r="AH33" s="188"/>
      <c r="AI33" s="188">
        <f>IF(MONTH(DATE(Planungsjahr,6,1)-WEEKDAY(DATE(Planungsjahr,6,1),2)+18)=6,DAY(DATE(Planungsjahr,6,1)-WEEKDAY(DATE(Planungsjahr,6,1),2)+18),"")</f>
        <v>17</v>
      </c>
      <c r="AJ33" s="188"/>
      <c r="AK33" s="188"/>
      <c r="AL33" s="188">
        <f>IF(MONTH(DATE(Planungsjahr,6,1)-WEEKDAY(DATE(Planungsjahr,6,1),2)+19)=6,DAY(DATE(Planungsjahr,6,1)-WEEKDAY(DATE(Planungsjahr,6,1),2)+19),"")</f>
        <v>18</v>
      </c>
      <c r="AM33" s="188"/>
      <c r="AN33" s="188"/>
      <c r="AO33" s="188">
        <f>IF(MONTH(DATE(Planungsjahr,6,1)-WEEKDAY(DATE(Planungsjahr,6,1),2)+20)=6,DAY(DATE(Planungsjahr,6,1)-WEEKDAY(DATE(Planungsjahr,6,1),2)+20),"")</f>
        <v>19</v>
      </c>
      <c r="AP33" s="188"/>
      <c r="AQ33" s="188"/>
      <c r="AR33" s="188">
        <f>IF(MONTH(DATE(Planungsjahr,6,1)-WEEKDAY(DATE(Planungsjahr,6,1),2)+21)=6,DAY(DATE(Planungsjahr,6,1)-WEEKDAY(DATE(Planungsjahr,6,1),2)+21),"")</f>
        <v>20</v>
      </c>
      <c r="AS33" s="188"/>
      <c r="AT33" s="190"/>
      <c r="AV33" s="177">
        <f>IF(OR(ISNUMBER(AW33),ISNUMBER(BO33)),_xlfn.ISOWEEKNUM(DATE(Planungsjahr,7,1)-WEEKDAY(DATE(Planungsjahr,7,1),2)+15),"")</f>
        <v>28</v>
      </c>
      <c r="AW33" s="188">
        <f>IF(MONTH(DATE(Planungsjahr,7,1)-WEEKDAY(DATE(Planungsjahr,7,1),2)+15)=7,DAY(DATE(Planungsjahr,7,1)-WEEKDAY(DATE(Planungsjahr,7,1),2)+15),"")</f>
        <v>12</v>
      </c>
      <c r="AX33" s="188"/>
      <c r="AY33" s="188"/>
      <c r="AZ33" s="188">
        <f>IF(MONTH(DATE(Planungsjahr,7,1)-WEEKDAY(DATE(Planungsjahr,7,1),2)+16)=7,DAY(DATE(Planungsjahr,7,1)-WEEKDAY(DATE(Planungsjahr,7,1),2)+16),"")</f>
        <v>13</v>
      </c>
      <c r="BA33" s="188"/>
      <c r="BB33" s="188"/>
      <c r="BC33" s="188">
        <f>IF(MONTH(DATE(Planungsjahr,7,1)-WEEKDAY(DATE(Planungsjahr,7,1),2)+17)=7,DAY(DATE(Planungsjahr,7,1)-WEEKDAY(DATE(Planungsjahr,7,1),2)+17),"")</f>
        <v>14</v>
      </c>
      <c r="BD33" s="188"/>
      <c r="BE33" s="188"/>
      <c r="BF33" s="188">
        <f>IF(MONTH(DATE(Planungsjahr,7,1)-WEEKDAY(DATE(Planungsjahr,7,1),2)+18)=7,DAY(DATE(Planungsjahr,7,1)-WEEKDAY(DATE(Planungsjahr,7,1),2)+18),"")</f>
        <v>15</v>
      </c>
      <c r="BG33" s="188"/>
      <c r="BH33" s="188"/>
      <c r="BI33" s="188">
        <f>IF(MONTH(DATE(Planungsjahr,7,1)-WEEKDAY(DATE(Planungsjahr,7,1),2)+19)=7,DAY(DATE(Planungsjahr,7,1)-WEEKDAY(DATE(Planungsjahr,7,1),2)+19),"")</f>
        <v>16</v>
      </c>
      <c r="BJ33" s="188"/>
      <c r="BK33" s="188"/>
      <c r="BL33" s="188">
        <f>IF(MONTH(DATE(Planungsjahr,7,1)-WEEKDAY(DATE(Planungsjahr,7,1),2)+20)=7,DAY(DATE(Planungsjahr,7,1)-WEEKDAY(DATE(Planungsjahr,7,1),2)+20),"")</f>
        <v>17</v>
      </c>
      <c r="BM33" s="188"/>
      <c r="BN33" s="188"/>
      <c r="BO33" s="188">
        <f>IF(MONTH(DATE(Planungsjahr,7,1)-WEEKDAY(DATE(Planungsjahr,7,1),2)+21)=7,DAY(DATE(Planungsjahr,7,1)-WEEKDAY(DATE(Planungsjahr,7,1),2)+21),"")</f>
        <v>18</v>
      </c>
      <c r="BP33" s="188"/>
      <c r="BQ33" s="190"/>
      <c r="BS33" s="177">
        <f>IF(OR(ISNUMBER(BT33),ISNUMBER(CL33)),_xlfn.ISOWEEKNUM(DATE(Planungsjahr,8,1)-WEEKDAY(DATE(Planungsjahr,8,1),2)+15),"")</f>
        <v>32</v>
      </c>
      <c r="BT33" s="188">
        <f>IF(MONTH(DATE(Planungsjahr,8,1)-WEEKDAY(DATE(Planungsjahr,8,1),2)+15)=8,DAY(DATE(Planungsjahr,8,1)-WEEKDAY(DATE(Planungsjahr,8,1),2)+15),"")</f>
        <v>9</v>
      </c>
      <c r="BU33" s="188"/>
      <c r="BV33" s="188"/>
      <c r="BW33" s="188">
        <f>IF(MONTH(DATE(Planungsjahr,8,1)-WEEKDAY(DATE(Planungsjahr,8,1),2)+16)=8,DAY(DATE(Planungsjahr,8,1)-WEEKDAY(DATE(Planungsjahr,8,1),2)+16),"")</f>
        <v>10</v>
      </c>
      <c r="BX33" s="188"/>
      <c r="BY33" s="188"/>
      <c r="BZ33" s="188">
        <f>IF(MONTH(DATE(Planungsjahr,8,1)-WEEKDAY(DATE(Planungsjahr,8,1),2)+17)=8,DAY(DATE(Planungsjahr,8,1)-WEEKDAY(DATE(Planungsjahr,8,1),2)+17),"")</f>
        <v>11</v>
      </c>
      <c r="CA33" s="188"/>
      <c r="CB33" s="188"/>
      <c r="CC33" s="188">
        <f>IF(MONTH(DATE(Planungsjahr,8,1)-WEEKDAY(DATE(Planungsjahr,8,1),2)+18)=8,DAY(DATE(Planungsjahr,8,1)-WEEKDAY(DATE(Planungsjahr,8,1),2)+18),"")</f>
        <v>12</v>
      </c>
      <c r="CD33" s="188"/>
      <c r="CE33" s="188"/>
      <c r="CF33" s="188">
        <f>IF(MONTH(DATE(Planungsjahr,8,1)-WEEKDAY(DATE(Planungsjahr,8,1),2)+19)=8,DAY(DATE(Planungsjahr,8,1)-WEEKDAY(DATE(Planungsjahr,8,1),2)+19),"")</f>
        <v>13</v>
      </c>
      <c r="CG33" s="188"/>
      <c r="CH33" s="188"/>
      <c r="CI33" s="188">
        <f>IF(MONTH(DATE(Planungsjahr,8,1)-WEEKDAY(DATE(Planungsjahr,8,1),2)+20)=8,DAY(DATE(Planungsjahr,8,1)-WEEKDAY(DATE(Planungsjahr,8,1),2)+20),"")</f>
        <v>14</v>
      </c>
      <c r="CJ33" s="188"/>
      <c r="CK33" s="188"/>
      <c r="CL33" s="188">
        <f>IF(MONTH(DATE(Planungsjahr,8,1)-WEEKDAY(DATE(Planungsjahr,8,1),2)+21)=8,DAY(DATE(Planungsjahr,8,1)-WEEKDAY(DATE(Planungsjahr,8,1),2)+21),"")</f>
        <v>15</v>
      </c>
      <c r="CM33" s="188"/>
      <c r="CN33" s="190"/>
    </row>
    <row r="34" spans="2:92" ht="10.5" customHeight="1" x14ac:dyDescent="0.25">
      <c r="B34" s="179"/>
      <c r="C34" s="159" t="str">
        <f>IF(ISNUMBER(C33),IF(COUNTIFS(JP_StartSel,DATE(Planungsjahr,5,C33),JP_ShowSel,TRUE)&gt;0,"S",IF(COUNTIF(Feiertage,DATE(Planungsjahr,5,C33))&gt;0,"h","")),"")</f>
        <v/>
      </c>
      <c r="D34" s="159" t="str">
        <f>IF(ISNUMBER(C33),IF(COUNTIFS(JP_StartInhalt,DATE(Planungsjahr,5,C33),JP_ShowInhalt,TRUE)&gt;0,"I",IF(COUNTIF(Feiertage,DATE(Planungsjahr,5,C33))&gt;0,"h","")),"")</f>
        <v/>
      </c>
      <c r="E34" s="159" t="str">
        <f>IF(ISNUMBER(C33),IF(COUNTIFS(JP_PAL,DATE(Planungsjahr,5,C33),JP_ShowPAL,TRUE)&gt;0,"P",IF(COUNTIF(Feiertage,DATE(Planungsjahr,5,C33))&gt;0,"h","")),"")</f>
        <v/>
      </c>
      <c r="F34" s="159" t="str">
        <f>IF(ISNUMBER(F33),IF(COUNTIFS(JP_StartSel,DATE(Planungsjahr,5,F33),JP_ShowSel,TRUE)&gt;0,"S",IF(COUNTIF(Feiertage,DATE(Planungsjahr,5,F33))&gt;0,"h","")),"")</f>
        <v/>
      </c>
      <c r="G34" s="159" t="str">
        <f>IF(ISNUMBER(F33),IF(COUNTIFS(JP_StartInhalt,DATE(Planungsjahr,5,F33),JP_ShowInhalt,TRUE)&gt;0,"I",IF(COUNTIF(Feiertage,DATE(Planungsjahr,5,F33))&gt;0,"h","")),"")</f>
        <v/>
      </c>
      <c r="H34" s="159" t="str">
        <f>IF(ISNUMBER(F33),IF(COUNTIFS(JP_PAL,DATE(Planungsjahr,5,F33),JP_ShowPAL,TRUE)&gt;0,"P",IF(COUNTIF(Feiertage,DATE(Planungsjahr,5,F33))&gt;0,"h","")),"")</f>
        <v/>
      </c>
      <c r="I34" s="159" t="str">
        <f>IF(ISNUMBER(I33),IF(COUNTIFS(JP_StartSel,DATE(Planungsjahr,5,I33),JP_ShowSel,TRUE)&gt;0,"S",IF(COUNTIF(Feiertage,DATE(Planungsjahr,5,I33))&gt;0,"h","")),"")</f>
        <v/>
      </c>
      <c r="J34" s="159" t="str">
        <f>IF(ISNUMBER(I33),IF(COUNTIFS(JP_StartInhalt,DATE(Planungsjahr,5,I33),JP_ShowInhalt,TRUE)&gt;0,"I",IF(COUNTIF(Feiertage,DATE(Planungsjahr,5,I33))&gt;0,"h","")),"")</f>
        <v/>
      </c>
      <c r="K34" s="159" t="str">
        <f>IF(ISNUMBER(I33),IF(COUNTIFS(JP_PAL,DATE(Planungsjahr,5,I33),JP_ShowPAL,TRUE)&gt;0,"P",IF(COUNTIF(Feiertage,DATE(Planungsjahr,5,I33))&gt;0,"h","")),"")</f>
        <v/>
      </c>
      <c r="L34" s="159" t="str">
        <f>IF(ISNUMBER(L33),IF(COUNTIFS(JP_StartSel,DATE(Planungsjahr,5,L33),JP_ShowSel,TRUE)&gt;0,"S",IF(COUNTIF(Feiertage,DATE(Planungsjahr,5,L33))&gt;0,"h","")),"")</f>
        <v/>
      </c>
      <c r="M34" s="159" t="str">
        <f>IF(ISNUMBER(L33),IF(COUNTIFS(JP_StartInhalt,DATE(Planungsjahr,5,L33),JP_ShowInhalt,TRUE)&gt;0,"I",IF(COUNTIF(Feiertage,DATE(Planungsjahr,5,L33))&gt;0,"h","")),"")</f>
        <v/>
      </c>
      <c r="N34" s="159" t="str">
        <f>IF(ISNUMBER(L33),IF(COUNTIFS(JP_PAL,DATE(Planungsjahr,5,L33),JP_ShowPAL,TRUE)&gt;0,"P",IF(COUNTIF(Feiertage,DATE(Planungsjahr,5,L33))&gt;0,"h","")),"")</f>
        <v/>
      </c>
      <c r="O34" s="159" t="str">
        <f>IF(ISNUMBER(O33),IF(COUNTIFS(JP_StartSel,DATE(Planungsjahr,5,O33),JP_ShowSel,TRUE)&gt;0,"S",IF(COUNTIF(Feiertage,DATE(Planungsjahr,5,O33))&gt;0,"h","")),"")</f>
        <v/>
      </c>
      <c r="P34" s="159" t="str">
        <f>IF(ISNUMBER(O33),IF(COUNTIFS(JP_StartInhalt,DATE(Planungsjahr,5,O33),JP_ShowInhalt,TRUE)&gt;0,"I",IF(COUNTIF(Feiertage,DATE(Planungsjahr,5,O33))&gt;0,"h","")),"")</f>
        <v/>
      </c>
      <c r="Q34" s="159" t="str">
        <f>IF(ISNUMBER(O33),IF(COUNTIFS(JP_PAL,DATE(Planungsjahr,5,O33),JP_ShowPAL,TRUE)&gt;0,"P",IF(COUNTIF(Feiertage,DATE(Planungsjahr,5,O33))&gt;0,"h","")),"")</f>
        <v/>
      </c>
      <c r="R34" s="159" t="str">
        <f>IF(ISNUMBER(R33),IF(COUNTIFS(JP_StartSel,DATE(Planungsjahr,5,R33),JP_ShowSel,TRUE)&gt;0,"S",IF(COUNTIF(Feiertage,DATE(Planungsjahr,5,R33))&gt;0,"h","w")),"")</f>
        <v>w</v>
      </c>
      <c r="S34" s="159" t="str">
        <f>IF(ISNUMBER(R33),IF(COUNTIFS(JP_StartInhalt,DATE(Planungsjahr,5,R33),JP_ShowInhalt,TRUE)&gt;0,"I",IF(COUNTIF(Feiertage,DATE(Planungsjahr,5,R33))&gt;0,"h","w")),"")</f>
        <v>w</v>
      </c>
      <c r="T34" s="159" t="str">
        <f>IF(ISNUMBER(R33),IF(COUNTIFS(JP_PAL,DATE(Planungsjahr,5,R33),JP_ShowPAL,TRUE)&gt;0,"P",IF(COUNTIF(Feiertage,DATE(Planungsjahr,5,R33))&gt;0,"h","w")),"")</f>
        <v>w</v>
      </c>
      <c r="U34" s="159" t="str">
        <f>IF(ISNUMBER(U33),IF(COUNTIFS(JP_StartSel,DATE(Planungsjahr,5,U33),JP_ShowSel,TRUE)&gt;0,"S",IF(COUNTIF(Feiertage,DATE(Planungsjahr,5,U33))&gt;0,"h","w")),"")</f>
        <v>w</v>
      </c>
      <c r="V34" s="159" t="str">
        <f>IF(ISNUMBER(U33),IF(COUNTIFS(JP_StartInhalt,DATE(Planungsjahr,5,U33),JP_ShowInhalt,TRUE)&gt;0,"I",IF(COUNTIF(Feiertage,DATE(Planungsjahr,5,U33))&gt;0,"h","w")),"")</f>
        <v>w</v>
      </c>
      <c r="W34" s="180" t="str">
        <f>IF(ISNUMBER(U33),IF(COUNTIFS(JP_PAL,DATE(Planungsjahr,5,U33),JP_ShowPAL,TRUE)&gt;0,"P",IF(COUNTIF(Feiertage,DATE(Planungsjahr,5,U33))&gt;0,"h","w")),"")</f>
        <v>w</v>
      </c>
      <c r="Y34" s="179"/>
      <c r="Z34" s="159" t="str">
        <f>IF(ISNUMBER(Z33),IF(COUNTIFS(JP_StartSel,DATE(Planungsjahr,6,Z33),JP_ShowSel,TRUE)&gt;0,"S",IF(COUNTIF(Feiertage,DATE(Planungsjahr,6,Z33))&gt;0,"h","")),"")</f>
        <v/>
      </c>
      <c r="AA34" s="159" t="str">
        <f>IF(ISNUMBER(Z33),IF(COUNTIFS(JP_StartInhalt,DATE(Planungsjahr,6,Z33),JP_ShowInhalt,TRUE)&gt;0,"I",IF(COUNTIF(Feiertage,DATE(Planungsjahr,6,Z33))&gt;0,"h","")),"")</f>
        <v/>
      </c>
      <c r="AB34" s="159" t="str">
        <f>IF(ISNUMBER(Z33),IF(COUNTIFS(JP_PAL,DATE(Planungsjahr,6,Z33),JP_ShowPAL,TRUE)&gt;0,"P",IF(COUNTIF(Feiertage,DATE(Planungsjahr,6,Z33))&gt;0,"h","")),"")</f>
        <v/>
      </c>
      <c r="AC34" s="159" t="str">
        <f>IF(ISNUMBER(AC33),IF(COUNTIFS(JP_StartSel,DATE(Planungsjahr,6,AC33),JP_ShowSel,TRUE)&gt;0,"S",IF(COUNTIF(Feiertage,DATE(Planungsjahr,6,AC33))&gt;0,"h","")),"")</f>
        <v/>
      </c>
      <c r="AD34" s="159" t="str">
        <f>IF(ISNUMBER(AC33),IF(COUNTIFS(JP_StartInhalt,DATE(Planungsjahr,6,AC33),JP_ShowInhalt,TRUE)&gt;0,"I",IF(COUNTIF(Feiertage,DATE(Planungsjahr,6,AC33))&gt;0,"h","")),"")</f>
        <v/>
      </c>
      <c r="AE34" s="159" t="str">
        <f>IF(ISNUMBER(AC33),IF(COUNTIFS(JP_PAL,DATE(Planungsjahr,6,AC33),JP_ShowPAL,TRUE)&gt;0,"P",IF(COUNTIF(Feiertage,DATE(Planungsjahr,6,AC33))&gt;0,"h","")),"")</f>
        <v/>
      </c>
      <c r="AF34" s="159" t="str">
        <f>IF(ISNUMBER(AF33),IF(COUNTIFS(JP_StartSel,DATE(Planungsjahr,6,AF33),JP_ShowSel,TRUE)&gt;0,"S",IF(COUNTIF(Feiertage,DATE(Planungsjahr,6,AF33))&gt;0,"h","")),"")</f>
        <v/>
      </c>
      <c r="AG34" s="159" t="str">
        <f>IF(ISNUMBER(AF33),IF(COUNTIFS(JP_StartInhalt,DATE(Planungsjahr,6,AF33),JP_ShowInhalt,TRUE)&gt;0,"I",IF(COUNTIF(Feiertage,DATE(Planungsjahr,6,AF33))&gt;0,"h","")),"")</f>
        <v/>
      </c>
      <c r="AH34" s="159" t="str">
        <f>IF(ISNUMBER(AF33),IF(COUNTIFS(JP_PAL,DATE(Planungsjahr,6,AF33),JP_ShowPAL,TRUE)&gt;0,"P",IF(COUNTIF(Feiertage,DATE(Planungsjahr,6,AF33))&gt;0,"h","")),"")</f>
        <v/>
      </c>
      <c r="AI34" s="159" t="str">
        <f>IF(ISNUMBER(AI33),IF(COUNTIFS(JP_StartSel,DATE(Planungsjahr,6,AI33),JP_ShowSel,TRUE)&gt;0,"S",IF(COUNTIF(Feiertage,DATE(Planungsjahr,6,AI33))&gt;0,"h","")),"")</f>
        <v/>
      </c>
      <c r="AJ34" s="159" t="str">
        <f>IF(ISNUMBER(AI33),IF(COUNTIFS(JP_StartInhalt,DATE(Planungsjahr,6,AI33),JP_ShowInhalt,TRUE)&gt;0,"I",IF(COUNTIF(Feiertage,DATE(Planungsjahr,6,AI33))&gt;0,"h","")),"")</f>
        <v/>
      </c>
      <c r="AK34" s="159" t="str">
        <f>IF(ISNUMBER(AI33),IF(COUNTIFS(JP_PAL,DATE(Planungsjahr,6,AI33),JP_ShowPAL,TRUE)&gt;0,"P",IF(COUNTIF(Feiertage,DATE(Planungsjahr,6,AI33))&gt;0,"h","")),"")</f>
        <v/>
      </c>
      <c r="AL34" s="159" t="str">
        <f>IF(ISNUMBER(AL33),IF(COUNTIFS(JP_StartSel,DATE(Planungsjahr,6,AL33),JP_ShowSel,TRUE)&gt;0,"S",IF(COUNTIF(Feiertage,DATE(Planungsjahr,6,AL33))&gt;0,"h","")),"")</f>
        <v/>
      </c>
      <c r="AM34" s="159" t="str">
        <f>IF(ISNUMBER(AL33),IF(COUNTIFS(JP_StartInhalt,DATE(Planungsjahr,6,AL33),JP_ShowInhalt,TRUE)&gt;0,"I",IF(COUNTIF(Feiertage,DATE(Planungsjahr,6,AL33))&gt;0,"h","")),"")</f>
        <v/>
      </c>
      <c r="AN34" s="159" t="str">
        <f>IF(ISNUMBER(AL33),IF(COUNTIFS(JP_PAL,DATE(Planungsjahr,6,AL33),JP_ShowPAL,TRUE)&gt;0,"P",IF(COUNTIF(Feiertage,DATE(Planungsjahr,6,AL33))&gt;0,"h","")),"")</f>
        <v/>
      </c>
      <c r="AO34" s="159" t="str">
        <f>IF(ISNUMBER(AO33),IF(COUNTIFS(JP_StartSel,DATE(Planungsjahr,6,AO33),JP_ShowSel,TRUE)&gt;0,"S",IF(COUNTIF(Feiertage,DATE(Planungsjahr,6,AO33))&gt;0,"h","w")),"")</f>
        <v>w</v>
      </c>
      <c r="AP34" s="159" t="str">
        <f>IF(ISNUMBER(AO33),IF(COUNTIFS(JP_StartInhalt,DATE(Planungsjahr,6,AO33),JP_ShowInhalt,TRUE)&gt;0,"I",IF(COUNTIF(Feiertage,DATE(Planungsjahr,6,AO33))&gt;0,"h","w")),"")</f>
        <v>w</v>
      </c>
      <c r="AQ34" s="159" t="str">
        <f>IF(ISNUMBER(AO33),IF(COUNTIFS(JP_PAL,DATE(Planungsjahr,6,AO33),JP_ShowPAL,TRUE)&gt;0,"P",IF(COUNTIF(Feiertage,DATE(Planungsjahr,6,AO33))&gt;0,"h","w")),"")</f>
        <v>P</v>
      </c>
      <c r="AR34" s="159" t="str">
        <f>IF(ISNUMBER(AR33),IF(COUNTIFS(JP_StartSel,DATE(Planungsjahr,6,AR33),JP_ShowSel,TRUE)&gt;0,"S",IF(COUNTIF(Feiertage,DATE(Planungsjahr,6,AR33))&gt;0,"h","w")),"")</f>
        <v>w</v>
      </c>
      <c r="AS34" s="159" t="str">
        <f>IF(ISNUMBER(AR33),IF(COUNTIFS(JP_StartInhalt,DATE(Planungsjahr,6,AR33),JP_ShowInhalt,TRUE)&gt;0,"I",IF(COUNTIF(Feiertage,DATE(Planungsjahr,6,AR33))&gt;0,"h","w")),"")</f>
        <v>w</v>
      </c>
      <c r="AT34" s="180" t="str">
        <f>IF(ISNUMBER(AR33),IF(COUNTIFS(JP_PAL,DATE(Planungsjahr,6,AR33),JP_ShowPAL,TRUE)&gt;0,"P",IF(COUNTIF(Feiertage,DATE(Planungsjahr,6,AR33))&gt;0,"h","w")),"")</f>
        <v>w</v>
      </c>
      <c r="AV34" s="179"/>
      <c r="AW34" s="159" t="str">
        <f>IF(ISNUMBER(AW33),IF(COUNTIFS(JP_StartSel,DATE(Planungsjahr,7,AW33),JP_ShowSel,TRUE)&gt;0,"S",IF(COUNTIF(Feiertage,DATE(Planungsjahr,7,AW33))&gt;0,"h","")),"")</f>
        <v/>
      </c>
      <c r="AX34" s="159" t="str">
        <f>IF(ISNUMBER(AW33),IF(COUNTIFS(JP_StartInhalt,DATE(Planungsjahr,7,AW33),JP_ShowInhalt,TRUE)&gt;0,"I",IF(COUNTIF(Feiertage,DATE(Planungsjahr,7,AW33))&gt;0,"h","")),"")</f>
        <v/>
      </c>
      <c r="AY34" s="159" t="str">
        <f>IF(ISNUMBER(AW33),IF(COUNTIFS(JP_PAL,DATE(Planungsjahr,7,AW33),JP_ShowPAL,TRUE)&gt;0,"P",IF(COUNTIF(Feiertage,DATE(Planungsjahr,7,AW33))&gt;0,"h","")),"")</f>
        <v/>
      </c>
      <c r="AZ34" s="159" t="str">
        <f>IF(ISNUMBER(AZ33),IF(COUNTIFS(JP_StartSel,DATE(Planungsjahr,7,AZ33),JP_ShowSel,TRUE)&gt;0,"S",IF(COUNTIF(Feiertage,DATE(Planungsjahr,7,AZ33))&gt;0,"h","")),"")</f>
        <v/>
      </c>
      <c r="BA34" s="159" t="str">
        <f>IF(ISNUMBER(AZ33),IF(COUNTIFS(JP_StartInhalt,DATE(Planungsjahr,7,AZ33),JP_ShowInhalt,TRUE)&gt;0,"I",IF(COUNTIF(Feiertage,DATE(Planungsjahr,7,AZ33))&gt;0,"h","")),"")</f>
        <v/>
      </c>
      <c r="BB34" s="159" t="str">
        <f>IF(ISNUMBER(AZ33),IF(COUNTIFS(JP_PAL,DATE(Planungsjahr,7,AZ33),JP_ShowPAL,TRUE)&gt;0,"P",IF(COUNTIF(Feiertage,DATE(Planungsjahr,7,AZ33))&gt;0,"h","")),"")</f>
        <v/>
      </c>
      <c r="BC34" s="159" t="str">
        <f>IF(ISNUMBER(BC33),IF(COUNTIFS(JP_StartSel,DATE(Planungsjahr,7,BC33),JP_ShowSel,TRUE)&gt;0,"S",IF(COUNTIF(Feiertage,DATE(Planungsjahr,7,BC33))&gt;0,"h","")),"")</f>
        <v/>
      </c>
      <c r="BD34" s="159" t="str">
        <f>IF(ISNUMBER(BC33),IF(COUNTIFS(JP_StartInhalt,DATE(Planungsjahr,7,BC33),JP_ShowInhalt,TRUE)&gt;0,"I",IF(COUNTIF(Feiertage,DATE(Planungsjahr,7,BC33))&gt;0,"h","")),"")</f>
        <v/>
      </c>
      <c r="BE34" s="159" t="str">
        <f>IF(ISNUMBER(BC33),IF(COUNTIFS(JP_PAL,DATE(Planungsjahr,7,BC33),JP_ShowPAL,TRUE)&gt;0,"P",IF(COUNTIF(Feiertage,DATE(Planungsjahr,7,BC33))&gt;0,"h","")),"")</f>
        <v/>
      </c>
      <c r="BF34" s="159" t="str">
        <f>IF(ISNUMBER(BF33),IF(COUNTIFS(JP_StartSel,DATE(Planungsjahr,7,BF33),JP_ShowSel,TRUE)&gt;0,"S",IF(COUNTIF(Feiertage,DATE(Planungsjahr,7,BF33))&gt;0,"h","")),"")</f>
        <v/>
      </c>
      <c r="BG34" s="159" t="str">
        <f>IF(ISNUMBER(BF33),IF(COUNTIFS(JP_StartInhalt,DATE(Planungsjahr,7,BF33),JP_ShowInhalt,TRUE)&gt;0,"I",IF(COUNTIF(Feiertage,DATE(Planungsjahr,7,BF33))&gt;0,"h","")),"")</f>
        <v/>
      </c>
      <c r="BH34" s="159" t="str">
        <f>IF(ISNUMBER(BF33),IF(COUNTIFS(JP_PAL,DATE(Planungsjahr,7,BF33),JP_ShowPAL,TRUE)&gt;0,"P",IF(COUNTIF(Feiertage,DATE(Planungsjahr,7,BF33))&gt;0,"h","")),"")</f>
        <v/>
      </c>
      <c r="BI34" s="159" t="str">
        <f>IF(ISNUMBER(BI33),IF(COUNTIFS(JP_StartSel,DATE(Planungsjahr,7,BI33),JP_ShowSel,TRUE)&gt;0,"S",IF(COUNTIF(Feiertage,DATE(Planungsjahr,7,BI33))&gt;0,"h","")),"")</f>
        <v/>
      </c>
      <c r="BJ34" s="159" t="str">
        <f>IF(ISNUMBER(BI33),IF(COUNTIFS(JP_StartInhalt,DATE(Planungsjahr,7,BI33),JP_ShowInhalt,TRUE)&gt;0,"I",IF(COUNTIF(Feiertage,DATE(Planungsjahr,7,BI33))&gt;0,"h","")),"")</f>
        <v/>
      </c>
      <c r="BK34" s="159" t="str">
        <f>IF(ISNUMBER(BI33),IF(COUNTIFS(JP_PAL,DATE(Planungsjahr,7,BI33),JP_ShowPAL,TRUE)&gt;0,"P",IF(COUNTIF(Feiertage,DATE(Planungsjahr,7,BI33))&gt;0,"h","")),"")</f>
        <v/>
      </c>
      <c r="BL34" s="159" t="str">
        <f>IF(ISNUMBER(BL33),IF(COUNTIFS(JP_StartSel,DATE(Planungsjahr,7,BL33),JP_ShowSel,TRUE)&gt;0,"S",IF(COUNTIF(Feiertage,DATE(Planungsjahr,7,BL33))&gt;0,"h","w")),"")</f>
        <v>w</v>
      </c>
      <c r="BM34" s="159" t="str">
        <f>IF(ISNUMBER(BL33),IF(COUNTIFS(JP_StartInhalt,DATE(Planungsjahr,7,BL33),JP_ShowInhalt,TRUE)&gt;0,"I",IF(COUNTIF(Feiertage,DATE(Planungsjahr,7,BL33))&gt;0,"h","w")),"")</f>
        <v>w</v>
      </c>
      <c r="BN34" s="159" t="str">
        <f>IF(ISNUMBER(BL33),IF(COUNTIFS(JP_PAL,DATE(Planungsjahr,7,BL33),JP_ShowPAL,TRUE)&gt;0,"P",IF(COUNTIF(Feiertage,DATE(Planungsjahr,7,BL33))&gt;0,"h","w")),"")</f>
        <v>w</v>
      </c>
      <c r="BO34" s="159" t="str">
        <f>IF(ISNUMBER(BO33),IF(COUNTIFS(JP_StartSel,DATE(Planungsjahr,7,BO33),JP_ShowSel,TRUE)&gt;0,"S",IF(COUNTIF(Feiertage,DATE(Planungsjahr,7,BO33))&gt;0,"h","w")),"")</f>
        <v>w</v>
      </c>
      <c r="BP34" s="159" t="str">
        <f>IF(ISNUMBER(BO33),IF(COUNTIFS(JP_StartInhalt,DATE(Planungsjahr,7,BO33),JP_ShowInhalt,TRUE)&gt;0,"I",IF(COUNTIF(Feiertage,DATE(Planungsjahr,7,BO33))&gt;0,"h","w")),"")</f>
        <v>w</v>
      </c>
      <c r="BQ34" s="180" t="str">
        <f>IF(ISNUMBER(BO33),IF(COUNTIFS(JP_PAL,DATE(Planungsjahr,7,BO33),JP_ShowPAL,TRUE)&gt;0,"P",IF(COUNTIF(Feiertage,DATE(Planungsjahr,7,BO33))&gt;0,"h","w")),"")</f>
        <v>w</v>
      </c>
      <c r="BS34" s="179"/>
      <c r="BT34" s="159" t="str">
        <f>IF(ISNUMBER(BT33),IF(COUNTIFS(JP_StartSel,DATE(Planungsjahr,8,BT33),JP_ShowSel,TRUE)&gt;0,"S",IF(COUNTIF(Feiertage,DATE(Planungsjahr,8,BT33))&gt;0,"h","")),"")</f>
        <v/>
      </c>
      <c r="BU34" s="159" t="str">
        <f>IF(ISNUMBER(BT33),IF(COUNTIFS(JP_StartInhalt,DATE(Planungsjahr,8,BT33),JP_ShowInhalt,TRUE)&gt;0,"I",IF(COUNTIF(Feiertage,DATE(Planungsjahr,8,BT33))&gt;0,"h","")),"")</f>
        <v/>
      </c>
      <c r="BV34" s="159" t="str">
        <f>IF(ISNUMBER(BT33),IF(COUNTIFS(JP_PAL,DATE(Planungsjahr,8,BT33),JP_ShowPAL,TRUE)&gt;0,"P",IF(COUNTIF(Feiertage,DATE(Planungsjahr,8,BT33))&gt;0,"h","")),"")</f>
        <v/>
      </c>
      <c r="BW34" s="159" t="str">
        <f>IF(ISNUMBER(BW33),IF(COUNTIFS(JP_StartSel,DATE(Planungsjahr,8,BW33),JP_ShowSel,TRUE)&gt;0,"S",IF(COUNTIF(Feiertage,DATE(Planungsjahr,8,BW33))&gt;0,"h","")),"")</f>
        <v/>
      </c>
      <c r="BX34" s="159" t="str">
        <f>IF(ISNUMBER(BW33),IF(COUNTIFS(JP_StartInhalt,DATE(Planungsjahr,8,BW33),JP_ShowInhalt,TRUE)&gt;0,"I",IF(COUNTIF(Feiertage,DATE(Planungsjahr,8,BW33))&gt;0,"h","")),"")</f>
        <v/>
      </c>
      <c r="BY34" s="159" t="str">
        <f>IF(ISNUMBER(BW33),IF(COUNTIFS(JP_PAL,DATE(Planungsjahr,8,BW33),JP_ShowPAL,TRUE)&gt;0,"P",IF(COUNTIF(Feiertage,DATE(Planungsjahr,8,BW33))&gt;0,"h","")),"")</f>
        <v/>
      </c>
      <c r="BZ34" s="159" t="str">
        <f>IF(ISNUMBER(BZ33),IF(COUNTIFS(JP_StartSel,DATE(Planungsjahr,8,BZ33),JP_ShowSel,TRUE)&gt;0,"S",IF(COUNTIF(Feiertage,DATE(Planungsjahr,8,BZ33))&gt;0,"h","")),"")</f>
        <v/>
      </c>
      <c r="CA34" s="159" t="str">
        <f>IF(ISNUMBER(BZ33),IF(COUNTIFS(JP_StartInhalt,DATE(Planungsjahr,8,BZ33),JP_ShowInhalt,TRUE)&gt;0,"I",IF(COUNTIF(Feiertage,DATE(Planungsjahr,8,BZ33))&gt;0,"h","")),"")</f>
        <v>I</v>
      </c>
      <c r="CB34" s="159" t="str">
        <f>IF(ISNUMBER(BZ33),IF(COUNTIFS(JP_PAL,DATE(Planungsjahr,8,BZ33),JP_ShowPAL,TRUE)&gt;0,"P",IF(COUNTIF(Feiertage,DATE(Planungsjahr,8,BZ33))&gt;0,"h","")),"")</f>
        <v/>
      </c>
      <c r="CC34" s="159" t="str">
        <f>IF(ISNUMBER(CC33),IF(COUNTIFS(JP_StartSel,DATE(Planungsjahr,8,CC33),JP_ShowSel,TRUE)&gt;0,"S",IF(COUNTIF(Feiertage,DATE(Planungsjahr,8,CC33))&gt;0,"h","")),"")</f>
        <v/>
      </c>
      <c r="CD34" s="159" t="str">
        <f>IF(ISNUMBER(CC33),IF(COUNTIFS(JP_StartInhalt,DATE(Planungsjahr,8,CC33),JP_ShowInhalt,TRUE)&gt;0,"I",IF(COUNTIF(Feiertage,DATE(Planungsjahr,8,CC33))&gt;0,"h","")),"")</f>
        <v/>
      </c>
      <c r="CE34" s="159" t="str">
        <f>IF(ISNUMBER(CC33),IF(COUNTIFS(JP_PAL,DATE(Planungsjahr,8,CC33),JP_ShowPAL,TRUE)&gt;0,"P",IF(COUNTIF(Feiertage,DATE(Planungsjahr,8,CC33))&gt;0,"h","")),"")</f>
        <v/>
      </c>
      <c r="CF34" s="159" t="str">
        <f>IF(ISNUMBER(CF33),IF(COUNTIFS(JP_StartSel,DATE(Planungsjahr,8,CF33),JP_ShowSel,TRUE)&gt;0,"S",IF(COUNTIF(Feiertage,DATE(Planungsjahr,8,CF33))&gt;0,"h","")),"")</f>
        <v/>
      </c>
      <c r="CG34" s="159" t="str">
        <f>IF(ISNUMBER(CF33),IF(COUNTIFS(JP_StartInhalt,DATE(Planungsjahr,8,CF33),JP_ShowInhalt,TRUE)&gt;0,"I",IF(COUNTIF(Feiertage,DATE(Planungsjahr,8,CF33))&gt;0,"h","")),"")</f>
        <v/>
      </c>
      <c r="CH34" s="159" t="str">
        <f>IF(ISNUMBER(CF33),IF(COUNTIFS(JP_PAL,DATE(Planungsjahr,8,CF33),JP_ShowPAL,TRUE)&gt;0,"P",IF(COUNTIF(Feiertage,DATE(Planungsjahr,8,CF33))&gt;0,"h","")),"")</f>
        <v/>
      </c>
      <c r="CI34" s="159" t="str">
        <f>IF(ISNUMBER(CI33),IF(COUNTIFS(JP_StartSel,DATE(Planungsjahr,8,CI33),JP_ShowSel,TRUE)&gt;0,"S",IF(COUNTIF(Feiertage,DATE(Planungsjahr,8,CI33))&gt;0,"h","w")),"")</f>
        <v>w</v>
      </c>
      <c r="CJ34" s="159" t="str">
        <f>IF(ISNUMBER(CI33),IF(COUNTIFS(JP_StartInhalt,DATE(Planungsjahr,8,CI33),JP_ShowInhalt,TRUE)&gt;0,"I",IF(COUNTIF(Feiertage,DATE(Planungsjahr,8,CI33))&gt;0,"h","w")),"")</f>
        <v>w</v>
      </c>
      <c r="CK34" s="159" t="str">
        <f>IF(ISNUMBER(CI33),IF(COUNTIFS(JP_PAL,DATE(Planungsjahr,8,CI33),JP_ShowPAL,TRUE)&gt;0,"P",IF(COUNTIF(Feiertage,DATE(Planungsjahr,8,CI33))&gt;0,"h","w")),"")</f>
        <v>w</v>
      </c>
      <c r="CL34" s="159" t="str">
        <f>IF(ISNUMBER(CL33),IF(COUNTIFS(JP_StartSel,DATE(Planungsjahr,8,CL33),JP_ShowSel,TRUE)&gt;0,"S",IF(COUNTIF(Feiertage,DATE(Planungsjahr,8,CL33))&gt;0,"h","w")),"")</f>
        <v>w</v>
      </c>
      <c r="CM34" s="159" t="str">
        <f>IF(ISNUMBER(CL33),IF(COUNTIFS(JP_StartInhalt,DATE(Planungsjahr,8,CL33),JP_ShowInhalt,TRUE)&gt;0,"I",IF(COUNTIF(Feiertage,DATE(Planungsjahr,8,CL33))&gt;0,"h","w")),"")</f>
        <v>w</v>
      </c>
      <c r="CN34" s="180" t="str">
        <f>IF(ISNUMBER(CL33),IF(COUNTIFS(JP_PAL,DATE(Planungsjahr,8,CL33),JP_ShowPAL,TRUE)&gt;0,"P",IF(COUNTIF(Feiertage,DATE(Planungsjahr,8,CL33))&gt;0,"h","w")),"")</f>
        <v>w</v>
      </c>
    </row>
    <row r="35" spans="2:92" ht="15.95" customHeight="1" x14ac:dyDescent="0.25">
      <c r="B35" s="177">
        <f>IF(OR(ISNUMBER(C35),ISNUMBER(U35)),_xlfn.ISOWEEKNUM(DATE(Planungsjahr,5,1)-WEEKDAY(DATE(Planungsjahr,5,1),2)+22),"")</f>
        <v>20</v>
      </c>
      <c r="C35" s="188">
        <f>IF(MONTH(DATE(Planungsjahr,5,1)-WEEKDAY(DATE(Planungsjahr,5,1),2)+22)=5,DAY(DATE(Planungsjahr,5,1)-WEEKDAY(DATE(Planungsjahr,5,1),2)+22),"")</f>
        <v>17</v>
      </c>
      <c r="D35" s="188"/>
      <c r="E35" s="188"/>
      <c r="F35" s="188">
        <f>IF(MONTH(DATE(Planungsjahr,5,1)-WEEKDAY(DATE(Planungsjahr,5,1),2)+23)=5,DAY(DATE(Planungsjahr,5,1)-WEEKDAY(DATE(Planungsjahr,5,1),2)+23),"")</f>
        <v>18</v>
      </c>
      <c r="G35" s="188"/>
      <c r="H35" s="188"/>
      <c r="I35" s="188">
        <f>IF(MONTH(DATE(Planungsjahr,5,1)-WEEKDAY(DATE(Planungsjahr,5,1),2)+24)=5,DAY(DATE(Planungsjahr,5,1)-WEEKDAY(DATE(Planungsjahr,5,1),2)+24),"")</f>
        <v>19</v>
      </c>
      <c r="J35" s="188"/>
      <c r="K35" s="188"/>
      <c r="L35" s="188">
        <f>IF(MONTH(DATE(Planungsjahr,5,1)-WEEKDAY(DATE(Planungsjahr,5,1),2)+25)=5,DAY(DATE(Planungsjahr,5,1)-WEEKDAY(DATE(Planungsjahr,5,1),2)+25),"")</f>
        <v>20</v>
      </c>
      <c r="M35" s="188"/>
      <c r="N35" s="188"/>
      <c r="O35" s="188">
        <f>IF(MONTH(DATE(Planungsjahr,5,1)-WEEKDAY(DATE(Planungsjahr,5,1),2)+26)=5,DAY(DATE(Planungsjahr,5,1)-WEEKDAY(DATE(Planungsjahr,5,1),2)+26),"")</f>
        <v>21</v>
      </c>
      <c r="P35" s="188"/>
      <c r="Q35" s="188"/>
      <c r="R35" s="188">
        <f>IF(MONTH(DATE(Planungsjahr,5,1)-WEEKDAY(DATE(Planungsjahr,5,1),2)+27)=5,DAY(DATE(Planungsjahr,5,1)-WEEKDAY(DATE(Planungsjahr,5,1),2)+27),"")</f>
        <v>22</v>
      </c>
      <c r="S35" s="188"/>
      <c r="T35" s="188"/>
      <c r="U35" s="188">
        <f>IF(MONTH(DATE(Planungsjahr,5,1)-WEEKDAY(DATE(Planungsjahr,5,1),2)+28)=5,DAY(DATE(Planungsjahr,5,1)-WEEKDAY(DATE(Planungsjahr,5,1),2)+28),"")</f>
        <v>23</v>
      </c>
      <c r="V35" s="188"/>
      <c r="W35" s="190"/>
      <c r="Y35" s="177">
        <f>IF(OR(ISNUMBER(Z35),ISNUMBER(AR35)),_xlfn.ISOWEEKNUM(DATE(Planungsjahr,6,1)-WEEKDAY(DATE(Planungsjahr,6,1),2)+22),"")</f>
        <v>25</v>
      </c>
      <c r="Z35" s="188">
        <f>IF(MONTH(DATE(Planungsjahr,6,1)-WEEKDAY(DATE(Planungsjahr,6,1),2)+22)=6,DAY(DATE(Planungsjahr,6,1)-WEEKDAY(DATE(Planungsjahr,6,1),2)+22),"")</f>
        <v>21</v>
      </c>
      <c r="AA35" s="188"/>
      <c r="AB35" s="188"/>
      <c r="AC35" s="188">
        <f>IF(MONTH(DATE(Planungsjahr,6,1)-WEEKDAY(DATE(Planungsjahr,6,1),2)+23)=6,DAY(DATE(Planungsjahr,6,1)-WEEKDAY(DATE(Planungsjahr,6,1),2)+23),"")</f>
        <v>22</v>
      </c>
      <c r="AD35" s="188"/>
      <c r="AE35" s="188"/>
      <c r="AF35" s="188">
        <f>IF(MONTH(DATE(Planungsjahr,6,1)-WEEKDAY(DATE(Planungsjahr,6,1),2)+24)=6,DAY(DATE(Planungsjahr,6,1)-WEEKDAY(DATE(Planungsjahr,6,1),2)+24),"")</f>
        <v>23</v>
      </c>
      <c r="AG35" s="188"/>
      <c r="AH35" s="188"/>
      <c r="AI35" s="188">
        <f>IF(MONTH(DATE(Planungsjahr,6,1)-WEEKDAY(DATE(Planungsjahr,6,1),2)+25)=6,DAY(DATE(Planungsjahr,6,1)-WEEKDAY(DATE(Planungsjahr,6,1),2)+25),"")</f>
        <v>24</v>
      </c>
      <c r="AJ35" s="188"/>
      <c r="AK35" s="188"/>
      <c r="AL35" s="188">
        <f>IF(MONTH(DATE(Planungsjahr,6,1)-WEEKDAY(DATE(Planungsjahr,6,1),2)+26)=6,DAY(DATE(Planungsjahr,6,1)-WEEKDAY(DATE(Planungsjahr,6,1),2)+26),"")</f>
        <v>25</v>
      </c>
      <c r="AM35" s="188"/>
      <c r="AN35" s="188"/>
      <c r="AO35" s="188">
        <f>IF(MONTH(DATE(Planungsjahr,6,1)-WEEKDAY(DATE(Planungsjahr,6,1),2)+27)=6,DAY(DATE(Planungsjahr,6,1)-WEEKDAY(DATE(Planungsjahr,6,1),2)+27),"")</f>
        <v>26</v>
      </c>
      <c r="AP35" s="188"/>
      <c r="AQ35" s="188"/>
      <c r="AR35" s="188">
        <f>IF(MONTH(DATE(Planungsjahr,6,1)-WEEKDAY(DATE(Planungsjahr,6,1),2)+28)=6,DAY(DATE(Planungsjahr,6,1)-WEEKDAY(DATE(Planungsjahr,6,1),2)+28),"")</f>
        <v>27</v>
      </c>
      <c r="AS35" s="188"/>
      <c r="AT35" s="190"/>
      <c r="AV35" s="177">
        <f>IF(OR(ISNUMBER(AW35),ISNUMBER(BO35)),_xlfn.ISOWEEKNUM(DATE(Planungsjahr,7,1)-WEEKDAY(DATE(Planungsjahr,7,1),2)+22),"")</f>
        <v>29</v>
      </c>
      <c r="AW35" s="188">
        <f>IF(MONTH(DATE(Planungsjahr,7,1)-WEEKDAY(DATE(Planungsjahr,7,1),2)+22)=7,DAY(DATE(Planungsjahr,7,1)-WEEKDAY(DATE(Planungsjahr,7,1),2)+22),"")</f>
        <v>19</v>
      </c>
      <c r="AX35" s="188"/>
      <c r="AY35" s="188"/>
      <c r="AZ35" s="188">
        <f>IF(MONTH(DATE(Planungsjahr,7,1)-WEEKDAY(DATE(Planungsjahr,7,1),2)+23)=7,DAY(DATE(Planungsjahr,7,1)-WEEKDAY(DATE(Planungsjahr,7,1),2)+23),"")</f>
        <v>20</v>
      </c>
      <c r="BA35" s="188"/>
      <c r="BB35" s="188"/>
      <c r="BC35" s="188">
        <f>IF(MONTH(DATE(Planungsjahr,7,1)-WEEKDAY(DATE(Planungsjahr,7,1),2)+24)=7,DAY(DATE(Planungsjahr,7,1)-WEEKDAY(DATE(Planungsjahr,7,1),2)+24),"")</f>
        <v>21</v>
      </c>
      <c r="BD35" s="188"/>
      <c r="BE35" s="188"/>
      <c r="BF35" s="188">
        <f>IF(MONTH(DATE(Planungsjahr,7,1)-WEEKDAY(DATE(Planungsjahr,7,1),2)+25)=7,DAY(DATE(Planungsjahr,7,1)-WEEKDAY(DATE(Planungsjahr,7,1),2)+25),"")</f>
        <v>22</v>
      </c>
      <c r="BG35" s="188"/>
      <c r="BH35" s="188"/>
      <c r="BI35" s="188">
        <f>IF(MONTH(DATE(Planungsjahr,7,1)-WEEKDAY(DATE(Planungsjahr,7,1),2)+26)=7,DAY(DATE(Planungsjahr,7,1)-WEEKDAY(DATE(Planungsjahr,7,1),2)+26),"")</f>
        <v>23</v>
      </c>
      <c r="BJ35" s="188"/>
      <c r="BK35" s="188"/>
      <c r="BL35" s="188">
        <f>IF(MONTH(DATE(Planungsjahr,7,1)-WEEKDAY(DATE(Planungsjahr,7,1),2)+27)=7,DAY(DATE(Planungsjahr,7,1)-WEEKDAY(DATE(Planungsjahr,7,1),2)+27),"")</f>
        <v>24</v>
      </c>
      <c r="BM35" s="188"/>
      <c r="BN35" s="188"/>
      <c r="BO35" s="188">
        <f>IF(MONTH(DATE(Planungsjahr,7,1)-WEEKDAY(DATE(Planungsjahr,7,1),2)+28)=7,DAY(DATE(Planungsjahr,7,1)-WEEKDAY(DATE(Planungsjahr,7,1),2)+28),"")</f>
        <v>25</v>
      </c>
      <c r="BP35" s="188"/>
      <c r="BQ35" s="190"/>
      <c r="BS35" s="177">
        <f>IF(OR(ISNUMBER(BT35),ISNUMBER(CL35)),_xlfn.ISOWEEKNUM(DATE(Planungsjahr,8,1)-WEEKDAY(DATE(Planungsjahr,8,1),2)+22),"")</f>
        <v>33</v>
      </c>
      <c r="BT35" s="188">
        <f>IF(MONTH(DATE(Planungsjahr,8,1)-WEEKDAY(DATE(Planungsjahr,8,1),2)+22)=8,DAY(DATE(Planungsjahr,8,1)-WEEKDAY(DATE(Planungsjahr,8,1),2)+22),"")</f>
        <v>16</v>
      </c>
      <c r="BU35" s="188"/>
      <c r="BV35" s="188"/>
      <c r="BW35" s="188">
        <f>IF(MONTH(DATE(Planungsjahr,8,1)-WEEKDAY(DATE(Planungsjahr,8,1),2)+23)=8,DAY(DATE(Planungsjahr,8,1)-WEEKDAY(DATE(Planungsjahr,8,1),2)+23),"")</f>
        <v>17</v>
      </c>
      <c r="BX35" s="188"/>
      <c r="BY35" s="188"/>
      <c r="BZ35" s="188">
        <f>IF(MONTH(DATE(Planungsjahr,8,1)-WEEKDAY(DATE(Planungsjahr,8,1),2)+24)=8,DAY(DATE(Planungsjahr,8,1)-WEEKDAY(DATE(Planungsjahr,8,1),2)+24),"")</f>
        <v>18</v>
      </c>
      <c r="CA35" s="188"/>
      <c r="CB35" s="188"/>
      <c r="CC35" s="188">
        <f>IF(MONTH(DATE(Planungsjahr,8,1)-WEEKDAY(DATE(Planungsjahr,8,1),2)+25)=8,DAY(DATE(Planungsjahr,8,1)-WEEKDAY(DATE(Planungsjahr,8,1),2)+25),"")</f>
        <v>19</v>
      </c>
      <c r="CD35" s="188"/>
      <c r="CE35" s="188"/>
      <c r="CF35" s="188">
        <f>IF(MONTH(DATE(Planungsjahr,8,1)-WEEKDAY(DATE(Planungsjahr,8,1),2)+26)=8,DAY(DATE(Planungsjahr,8,1)-WEEKDAY(DATE(Planungsjahr,8,1),2)+26),"")</f>
        <v>20</v>
      </c>
      <c r="CG35" s="188"/>
      <c r="CH35" s="188"/>
      <c r="CI35" s="188">
        <f>IF(MONTH(DATE(Planungsjahr,8,1)-WEEKDAY(DATE(Planungsjahr,8,1),2)+27)=8,DAY(DATE(Planungsjahr,8,1)-WEEKDAY(DATE(Planungsjahr,8,1),2)+27),"")</f>
        <v>21</v>
      </c>
      <c r="CJ35" s="188"/>
      <c r="CK35" s="188"/>
      <c r="CL35" s="188">
        <f>IF(MONTH(DATE(Planungsjahr,8,1)-WEEKDAY(DATE(Planungsjahr,8,1),2)+28)=8,DAY(DATE(Planungsjahr,8,1)-WEEKDAY(DATE(Planungsjahr,8,1),2)+28),"")</f>
        <v>22</v>
      </c>
      <c r="CM35" s="188"/>
      <c r="CN35" s="190"/>
    </row>
    <row r="36" spans="2:92" ht="10.5" customHeight="1" x14ac:dyDescent="0.25">
      <c r="B36" s="179"/>
      <c r="C36" s="159" t="str">
        <f>IF(ISNUMBER(C35),IF(COUNTIFS(JP_StartSel,DATE(Planungsjahr,5,C35),JP_ShowSel,TRUE)&gt;0,"S",IF(COUNTIF(Feiertage,DATE(Planungsjahr,5,C35))&gt;0,"h","")),"")</f>
        <v>h</v>
      </c>
      <c r="D36" s="159" t="str">
        <f>IF(ISNUMBER(C35),IF(COUNTIFS(JP_StartInhalt,DATE(Planungsjahr,5,C35),JP_ShowInhalt,TRUE)&gt;0,"I",IF(COUNTIF(Feiertage,DATE(Planungsjahr,5,C35))&gt;0,"h","")),"")</f>
        <v>h</v>
      </c>
      <c r="E36" s="159" t="str">
        <f>IF(ISNUMBER(C35),IF(COUNTIFS(JP_PAL,DATE(Planungsjahr,5,C35),JP_ShowPAL,TRUE)&gt;0,"P",IF(COUNTIF(Feiertage,DATE(Planungsjahr,5,C35))&gt;0,"h","")),"")</f>
        <v>h</v>
      </c>
      <c r="F36" s="159" t="str">
        <f>IF(ISNUMBER(F35),IF(COUNTIFS(JP_StartSel,DATE(Planungsjahr,5,F35),JP_ShowSel,TRUE)&gt;0,"S",IF(COUNTIF(Feiertage,DATE(Planungsjahr,5,F35))&gt;0,"h","")),"")</f>
        <v/>
      </c>
      <c r="G36" s="159" t="str">
        <f>IF(ISNUMBER(F35),IF(COUNTIFS(JP_StartInhalt,DATE(Planungsjahr,5,F35),JP_ShowInhalt,TRUE)&gt;0,"I",IF(COUNTIF(Feiertage,DATE(Planungsjahr,5,F35))&gt;0,"h","")),"")</f>
        <v/>
      </c>
      <c r="H36" s="159" t="str">
        <f>IF(ISNUMBER(F35),IF(COUNTIFS(JP_PAL,DATE(Planungsjahr,5,F35),JP_ShowPAL,TRUE)&gt;0,"P",IF(COUNTIF(Feiertage,DATE(Planungsjahr,5,F35))&gt;0,"h","")),"")</f>
        <v/>
      </c>
      <c r="I36" s="159" t="str">
        <f>IF(ISNUMBER(I35),IF(COUNTIFS(JP_StartSel,DATE(Planungsjahr,5,I35),JP_ShowSel,TRUE)&gt;0,"S",IF(COUNTIF(Feiertage,DATE(Planungsjahr,5,I35))&gt;0,"h","")),"")</f>
        <v/>
      </c>
      <c r="J36" s="159" t="str">
        <f>IF(ISNUMBER(I35),IF(COUNTIFS(JP_StartInhalt,DATE(Planungsjahr,5,I35),JP_ShowInhalt,TRUE)&gt;0,"I",IF(COUNTIF(Feiertage,DATE(Planungsjahr,5,I35))&gt;0,"h","")),"")</f>
        <v/>
      </c>
      <c r="K36" s="159" t="str">
        <f>IF(ISNUMBER(I35),IF(COUNTIFS(JP_PAL,DATE(Planungsjahr,5,I35),JP_ShowPAL,TRUE)&gt;0,"P",IF(COUNTIF(Feiertage,DATE(Planungsjahr,5,I35))&gt;0,"h","")),"")</f>
        <v/>
      </c>
      <c r="L36" s="159" t="str">
        <f>IF(ISNUMBER(L35),IF(COUNTIFS(JP_StartSel,DATE(Planungsjahr,5,L35),JP_ShowSel,TRUE)&gt;0,"S",IF(COUNTIF(Feiertage,DATE(Planungsjahr,5,L35))&gt;0,"h","")),"")</f>
        <v/>
      </c>
      <c r="M36" s="159" t="str">
        <f>IF(ISNUMBER(L35),IF(COUNTIFS(JP_StartInhalt,DATE(Planungsjahr,5,L35),JP_ShowInhalt,TRUE)&gt;0,"I",IF(COUNTIF(Feiertage,DATE(Planungsjahr,5,L35))&gt;0,"h","")),"")</f>
        <v/>
      </c>
      <c r="N36" s="159" t="str">
        <f>IF(ISNUMBER(L35),IF(COUNTIFS(JP_PAL,DATE(Planungsjahr,5,L35),JP_ShowPAL,TRUE)&gt;0,"P",IF(COUNTIF(Feiertage,DATE(Planungsjahr,5,L35))&gt;0,"h","")),"")</f>
        <v/>
      </c>
      <c r="O36" s="159" t="str">
        <f>IF(ISNUMBER(O35),IF(COUNTIFS(JP_StartSel,DATE(Planungsjahr,5,O35),JP_ShowSel,TRUE)&gt;0,"S",IF(COUNTIF(Feiertage,DATE(Planungsjahr,5,O35))&gt;0,"h","")),"")</f>
        <v/>
      </c>
      <c r="P36" s="159" t="str">
        <f>IF(ISNUMBER(O35),IF(COUNTIFS(JP_StartInhalt,DATE(Planungsjahr,5,O35),JP_ShowInhalt,TRUE)&gt;0,"I",IF(COUNTIF(Feiertage,DATE(Planungsjahr,5,O35))&gt;0,"h","")),"")</f>
        <v/>
      </c>
      <c r="Q36" s="159" t="str">
        <f>IF(ISNUMBER(O35),IF(COUNTIFS(JP_PAL,DATE(Planungsjahr,5,O35),JP_ShowPAL,TRUE)&gt;0,"P",IF(COUNTIF(Feiertage,DATE(Planungsjahr,5,O35))&gt;0,"h","")),"")</f>
        <v/>
      </c>
      <c r="R36" s="159" t="str">
        <f>IF(ISNUMBER(R35),IF(COUNTIFS(JP_StartSel,DATE(Planungsjahr,5,R35),JP_ShowSel,TRUE)&gt;0,"S",IF(COUNTIF(Feiertage,DATE(Planungsjahr,5,R35))&gt;0,"h","w")),"")</f>
        <v>w</v>
      </c>
      <c r="S36" s="159" t="str">
        <f>IF(ISNUMBER(R35),IF(COUNTIFS(JP_StartInhalt,DATE(Planungsjahr,5,R35),JP_ShowInhalt,TRUE)&gt;0,"I",IF(COUNTIF(Feiertage,DATE(Planungsjahr,5,R35))&gt;0,"h","w")),"")</f>
        <v>w</v>
      </c>
      <c r="T36" s="159" t="str">
        <f>IF(ISNUMBER(R35),IF(COUNTIFS(JP_PAL,DATE(Planungsjahr,5,R35),JP_ShowPAL,TRUE)&gt;0,"P",IF(COUNTIF(Feiertage,DATE(Planungsjahr,5,R35))&gt;0,"h","w")),"")</f>
        <v>w</v>
      </c>
      <c r="U36" s="159" t="str">
        <f>IF(ISNUMBER(U35),IF(COUNTIFS(JP_StartSel,DATE(Planungsjahr,5,U35),JP_ShowSel,TRUE)&gt;0,"S",IF(COUNTIF(Feiertage,DATE(Planungsjahr,5,U35))&gt;0,"h","w")),"")</f>
        <v>w</v>
      </c>
      <c r="V36" s="159" t="str">
        <f>IF(ISNUMBER(U35),IF(COUNTIFS(JP_StartInhalt,DATE(Planungsjahr,5,U35),JP_ShowInhalt,TRUE)&gt;0,"I",IF(COUNTIF(Feiertage,DATE(Planungsjahr,5,U35))&gt;0,"h","w")),"")</f>
        <v>w</v>
      </c>
      <c r="W36" s="180" t="str">
        <f>IF(ISNUMBER(U35),IF(COUNTIFS(JP_PAL,DATE(Planungsjahr,5,U35),JP_ShowPAL,TRUE)&gt;0,"P",IF(COUNTIF(Feiertage,DATE(Planungsjahr,5,U35))&gt;0,"h","w")),"")</f>
        <v>w</v>
      </c>
      <c r="Y36" s="179"/>
      <c r="Z36" s="159" t="str">
        <f>IF(ISNUMBER(Z35),IF(COUNTIFS(JP_StartSel,DATE(Planungsjahr,6,Z35),JP_ShowSel,TRUE)&gt;0,"S",IF(COUNTIF(Feiertage,DATE(Planungsjahr,6,Z35))&gt;0,"h","")),"")</f>
        <v/>
      </c>
      <c r="AA36" s="159" t="str">
        <f>IF(ISNUMBER(Z35),IF(COUNTIFS(JP_StartInhalt,DATE(Planungsjahr,6,Z35),JP_ShowInhalt,TRUE)&gt;0,"I",IF(COUNTIF(Feiertage,DATE(Planungsjahr,6,Z35))&gt;0,"h","")),"")</f>
        <v/>
      </c>
      <c r="AB36" s="159" t="str">
        <f>IF(ISNUMBER(Z35),IF(COUNTIFS(JP_PAL,DATE(Planungsjahr,6,Z35),JP_ShowPAL,TRUE)&gt;0,"P",IF(COUNTIF(Feiertage,DATE(Planungsjahr,6,Z35))&gt;0,"h","")),"")</f>
        <v/>
      </c>
      <c r="AC36" s="159" t="str">
        <f>IF(ISNUMBER(AC35),IF(COUNTIFS(JP_StartSel,DATE(Planungsjahr,6,AC35),JP_ShowSel,TRUE)&gt;0,"S",IF(COUNTIF(Feiertage,DATE(Planungsjahr,6,AC35))&gt;0,"h","")),"")</f>
        <v/>
      </c>
      <c r="AD36" s="159" t="str">
        <f>IF(ISNUMBER(AC35),IF(COUNTIFS(JP_StartInhalt,DATE(Planungsjahr,6,AC35),JP_ShowInhalt,TRUE)&gt;0,"I",IF(COUNTIF(Feiertage,DATE(Planungsjahr,6,AC35))&gt;0,"h","")),"")</f>
        <v/>
      </c>
      <c r="AE36" s="159" t="str">
        <f>IF(ISNUMBER(AC35),IF(COUNTIFS(JP_PAL,DATE(Planungsjahr,6,AC35),JP_ShowPAL,TRUE)&gt;0,"P",IF(COUNTIF(Feiertage,DATE(Planungsjahr,6,AC35))&gt;0,"h","")),"")</f>
        <v/>
      </c>
      <c r="AF36" s="159" t="str">
        <f>IF(ISNUMBER(AF35),IF(COUNTIFS(JP_StartSel,DATE(Planungsjahr,6,AF35),JP_ShowSel,TRUE)&gt;0,"S",IF(COUNTIF(Feiertage,DATE(Planungsjahr,6,AF35))&gt;0,"h","")),"")</f>
        <v/>
      </c>
      <c r="AG36" s="159" t="str">
        <f>IF(ISNUMBER(AF35),IF(COUNTIFS(JP_StartInhalt,DATE(Planungsjahr,6,AF35),JP_ShowInhalt,TRUE)&gt;0,"I",IF(COUNTIF(Feiertage,DATE(Planungsjahr,6,AF35))&gt;0,"h","")),"")</f>
        <v/>
      </c>
      <c r="AH36" s="159" t="str">
        <f>IF(ISNUMBER(AF35),IF(COUNTIFS(JP_PAL,DATE(Planungsjahr,6,AF35),JP_ShowPAL,TRUE)&gt;0,"P",IF(COUNTIF(Feiertage,DATE(Planungsjahr,6,AF35))&gt;0,"h","")),"")</f>
        <v/>
      </c>
      <c r="AI36" s="159" t="str">
        <f>IF(ISNUMBER(AI35),IF(COUNTIFS(JP_StartSel,DATE(Planungsjahr,6,AI35),JP_ShowSel,TRUE)&gt;0,"S",IF(COUNTIF(Feiertage,DATE(Planungsjahr,6,AI35))&gt;0,"h","")),"")</f>
        <v/>
      </c>
      <c r="AJ36" s="159" t="str">
        <f>IF(ISNUMBER(AI35),IF(COUNTIFS(JP_StartInhalt,DATE(Planungsjahr,6,AI35),JP_ShowInhalt,TRUE)&gt;0,"I",IF(COUNTIF(Feiertage,DATE(Planungsjahr,6,AI35))&gt;0,"h","")),"")</f>
        <v/>
      </c>
      <c r="AK36" s="159" t="str">
        <f>IF(ISNUMBER(AI35),IF(COUNTIFS(JP_PAL,DATE(Planungsjahr,6,AI35),JP_ShowPAL,TRUE)&gt;0,"P",IF(COUNTIF(Feiertage,DATE(Planungsjahr,6,AI35))&gt;0,"h","")),"")</f>
        <v/>
      </c>
      <c r="AL36" s="159" t="str">
        <f>IF(ISNUMBER(AL35),IF(COUNTIFS(JP_StartSel,DATE(Planungsjahr,6,AL35),JP_ShowSel,TRUE)&gt;0,"S",IF(COUNTIF(Feiertage,DATE(Planungsjahr,6,AL35))&gt;0,"h","")),"")</f>
        <v/>
      </c>
      <c r="AM36" s="159" t="str">
        <f>IF(ISNUMBER(AL35),IF(COUNTIFS(JP_StartInhalt,DATE(Planungsjahr,6,AL35),JP_ShowInhalt,TRUE)&gt;0,"I",IF(COUNTIF(Feiertage,DATE(Planungsjahr,6,AL35))&gt;0,"h","")),"")</f>
        <v/>
      </c>
      <c r="AN36" s="159" t="str">
        <f>IF(ISNUMBER(AL35),IF(COUNTIFS(JP_PAL,DATE(Planungsjahr,6,AL35),JP_ShowPAL,TRUE)&gt;0,"P",IF(COUNTIF(Feiertage,DATE(Planungsjahr,6,AL35))&gt;0,"h","")),"")</f>
        <v/>
      </c>
      <c r="AO36" s="159" t="str">
        <f>IF(ISNUMBER(AO35),IF(COUNTIFS(JP_StartSel,DATE(Planungsjahr,6,AO35),JP_ShowSel,TRUE)&gt;0,"S",IF(COUNTIF(Feiertage,DATE(Planungsjahr,6,AO35))&gt;0,"h","w")),"")</f>
        <v>w</v>
      </c>
      <c r="AP36" s="159" t="str">
        <f>IF(ISNUMBER(AO35),IF(COUNTIFS(JP_StartInhalt,DATE(Planungsjahr,6,AO35),JP_ShowInhalt,TRUE)&gt;0,"I",IF(COUNTIF(Feiertage,DATE(Planungsjahr,6,AO35))&gt;0,"h","w")),"")</f>
        <v>w</v>
      </c>
      <c r="AQ36" s="159" t="str">
        <f>IF(ISNUMBER(AO35),IF(COUNTIFS(JP_PAL,DATE(Planungsjahr,6,AO35),JP_ShowPAL,TRUE)&gt;0,"P",IF(COUNTIF(Feiertage,DATE(Planungsjahr,6,AO35))&gt;0,"h","w")),"")</f>
        <v>w</v>
      </c>
      <c r="AR36" s="159" t="str">
        <f>IF(ISNUMBER(AR35),IF(COUNTIFS(JP_StartSel,DATE(Planungsjahr,6,AR35),JP_ShowSel,TRUE)&gt;0,"S",IF(COUNTIF(Feiertage,DATE(Planungsjahr,6,AR35))&gt;0,"h","w")),"")</f>
        <v>w</v>
      </c>
      <c r="AS36" s="159" t="str">
        <f>IF(ISNUMBER(AR35),IF(COUNTIFS(JP_StartInhalt,DATE(Planungsjahr,6,AR35),JP_ShowInhalt,TRUE)&gt;0,"I",IF(COUNTIF(Feiertage,DATE(Planungsjahr,6,AR35))&gt;0,"h","w")),"")</f>
        <v>w</v>
      </c>
      <c r="AT36" s="180" t="str">
        <f>IF(ISNUMBER(AR35),IF(COUNTIFS(JP_PAL,DATE(Planungsjahr,6,AR35),JP_ShowPAL,TRUE)&gt;0,"P",IF(COUNTIF(Feiertage,DATE(Planungsjahr,6,AR35))&gt;0,"h","w")),"")</f>
        <v>w</v>
      </c>
      <c r="AV36" s="179"/>
      <c r="AW36" s="159" t="str">
        <f>IF(ISNUMBER(AW35),IF(COUNTIFS(JP_StartSel,DATE(Planungsjahr,7,AW35),JP_ShowSel,TRUE)&gt;0,"S",IF(COUNTIF(Feiertage,DATE(Planungsjahr,7,AW35))&gt;0,"h","")),"")</f>
        <v/>
      </c>
      <c r="AX36" s="159" t="str">
        <f>IF(ISNUMBER(AW35),IF(COUNTIFS(JP_StartInhalt,DATE(Planungsjahr,7,AW35),JP_ShowInhalt,TRUE)&gt;0,"I",IF(COUNTIF(Feiertage,DATE(Planungsjahr,7,AW35))&gt;0,"h","")),"")</f>
        <v/>
      </c>
      <c r="AY36" s="159" t="str">
        <f>IF(ISNUMBER(AW35),IF(COUNTIFS(JP_PAL,DATE(Planungsjahr,7,AW35),JP_ShowPAL,TRUE)&gt;0,"P",IF(COUNTIF(Feiertage,DATE(Planungsjahr,7,AW35))&gt;0,"h","")),"")</f>
        <v/>
      </c>
      <c r="AZ36" s="159" t="str">
        <f>IF(ISNUMBER(AZ35),IF(COUNTIFS(JP_StartSel,DATE(Planungsjahr,7,AZ35),JP_ShowSel,TRUE)&gt;0,"S",IF(COUNTIF(Feiertage,DATE(Planungsjahr,7,AZ35))&gt;0,"h","")),"")</f>
        <v/>
      </c>
      <c r="BA36" s="159" t="str">
        <f>IF(ISNUMBER(AZ35),IF(COUNTIFS(JP_StartInhalt,DATE(Planungsjahr,7,AZ35),JP_ShowInhalt,TRUE)&gt;0,"I",IF(COUNTIF(Feiertage,DATE(Planungsjahr,7,AZ35))&gt;0,"h","")),"")</f>
        <v/>
      </c>
      <c r="BB36" s="159" t="str">
        <f>IF(ISNUMBER(AZ35),IF(COUNTIFS(JP_PAL,DATE(Planungsjahr,7,AZ35),JP_ShowPAL,TRUE)&gt;0,"P",IF(COUNTIF(Feiertage,DATE(Planungsjahr,7,AZ35))&gt;0,"h","")),"")</f>
        <v/>
      </c>
      <c r="BC36" s="159" t="str">
        <f>IF(ISNUMBER(BC35),IF(COUNTIFS(JP_StartSel,DATE(Planungsjahr,7,BC35),JP_ShowSel,TRUE)&gt;0,"S",IF(COUNTIF(Feiertage,DATE(Planungsjahr,7,BC35))&gt;0,"h","")),"")</f>
        <v/>
      </c>
      <c r="BD36" s="159" t="str">
        <f>IF(ISNUMBER(BC35),IF(COUNTIFS(JP_StartInhalt,DATE(Planungsjahr,7,BC35),JP_ShowInhalt,TRUE)&gt;0,"I",IF(COUNTIF(Feiertage,DATE(Planungsjahr,7,BC35))&gt;0,"h","")),"")</f>
        <v/>
      </c>
      <c r="BE36" s="159" t="str">
        <f>IF(ISNUMBER(BC35),IF(COUNTIFS(JP_PAL,DATE(Planungsjahr,7,BC35),JP_ShowPAL,TRUE)&gt;0,"P",IF(COUNTIF(Feiertage,DATE(Planungsjahr,7,BC35))&gt;0,"h","")),"")</f>
        <v/>
      </c>
      <c r="BF36" s="159" t="str">
        <f>IF(ISNUMBER(BF35),IF(COUNTIFS(JP_StartSel,DATE(Planungsjahr,7,BF35),JP_ShowSel,TRUE)&gt;0,"S",IF(COUNTIF(Feiertage,DATE(Planungsjahr,7,BF35))&gt;0,"h","")),"")</f>
        <v/>
      </c>
      <c r="BG36" s="159" t="str">
        <f>IF(ISNUMBER(BF35),IF(COUNTIFS(JP_StartInhalt,DATE(Planungsjahr,7,BF35),JP_ShowInhalt,TRUE)&gt;0,"I",IF(COUNTIF(Feiertage,DATE(Planungsjahr,7,BF35))&gt;0,"h","")),"")</f>
        <v/>
      </c>
      <c r="BH36" s="159" t="str">
        <f>IF(ISNUMBER(BF35),IF(COUNTIFS(JP_PAL,DATE(Planungsjahr,7,BF35),JP_ShowPAL,TRUE)&gt;0,"P",IF(COUNTIF(Feiertage,DATE(Planungsjahr,7,BF35))&gt;0,"h","")),"")</f>
        <v/>
      </c>
      <c r="BI36" s="159" t="str">
        <f>IF(ISNUMBER(BI35),IF(COUNTIFS(JP_StartSel,DATE(Planungsjahr,7,BI35),JP_ShowSel,TRUE)&gt;0,"S",IF(COUNTIF(Feiertage,DATE(Planungsjahr,7,BI35))&gt;0,"h","")),"")</f>
        <v/>
      </c>
      <c r="BJ36" s="159" t="str">
        <f>IF(ISNUMBER(BI35),IF(COUNTIFS(JP_StartInhalt,DATE(Planungsjahr,7,BI35),JP_ShowInhalt,TRUE)&gt;0,"I",IF(COUNTIF(Feiertage,DATE(Planungsjahr,7,BI35))&gt;0,"h","")),"")</f>
        <v/>
      </c>
      <c r="BK36" s="159" t="str">
        <f>IF(ISNUMBER(BI35),IF(COUNTIFS(JP_PAL,DATE(Planungsjahr,7,BI35),JP_ShowPAL,TRUE)&gt;0,"P",IF(COUNTIF(Feiertage,DATE(Planungsjahr,7,BI35))&gt;0,"h","")),"")</f>
        <v/>
      </c>
      <c r="BL36" s="159" t="str">
        <f>IF(ISNUMBER(BL35),IF(COUNTIFS(JP_StartSel,DATE(Planungsjahr,7,BL35),JP_ShowSel,TRUE)&gt;0,"S",IF(COUNTIF(Feiertage,DATE(Planungsjahr,7,BL35))&gt;0,"h","w")),"")</f>
        <v>S</v>
      </c>
      <c r="BM36" s="159" t="str">
        <f>IF(ISNUMBER(BL35),IF(COUNTIFS(JP_StartInhalt,DATE(Planungsjahr,7,BL35),JP_ShowInhalt,TRUE)&gt;0,"I",IF(COUNTIF(Feiertage,DATE(Planungsjahr,7,BL35))&gt;0,"h","w")),"")</f>
        <v>w</v>
      </c>
      <c r="BN36" s="159" t="str">
        <f>IF(ISNUMBER(BL35),IF(COUNTIFS(JP_PAL,DATE(Planungsjahr,7,BL35),JP_ShowPAL,TRUE)&gt;0,"P",IF(COUNTIF(Feiertage,DATE(Planungsjahr,7,BL35))&gt;0,"h","w")),"")</f>
        <v>w</v>
      </c>
      <c r="BO36" s="159" t="str">
        <f>IF(ISNUMBER(BO35),IF(COUNTIFS(JP_StartSel,DATE(Planungsjahr,7,BO35),JP_ShowSel,TRUE)&gt;0,"S",IF(COUNTIF(Feiertage,DATE(Planungsjahr,7,BO35))&gt;0,"h","w")),"")</f>
        <v>w</v>
      </c>
      <c r="BP36" s="159" t="str">
        <f>IF(ISNUMBER(BO35),IF(COUNTIFS(JP_StartInhalt,DATE(Planungsjahr,7,BO35),JP_ShowInhalt,TRUE)&gt;0,"I",IF(COUNTIF(Feiertage,DATE(Planungsjahr,7,BO35))&gt;0,"h","w")),"")</f>
        <v>w</v>
      </c>
      <c r="BQ36" s="180" t="str">
        <f>IF(ISNUMBER(BO35),IF(COUNTIFS(JP_PAL,DATE(Planungsjahr,7,BO35),JP_ShowPAL,TRUE)&gt;0,"P",IF(COUNTIF(Feiertage,DATE(Planungsjahr,7,BO35))&gt;0,"h","w")),"")</f>
        <v>w</v>
      </c>
      <c r="BS36" s="179"/>
      <c r="BT36" s="159" t="str">
        <f>IF(ISNUMBER(BT35),IF(COUNTIFS(JP_StartSel,DATE(Planungsjahr,8,BT35),JP_ShowSel,TRUE)&gt;0,"S",IF(COUNTIF(Feiertage,DATE(Planungsjahr,8,BT35))&gt;0,"h","")),"")</f>
        <v/>
      </c>
      <c r="BU36" s="159" t="str">
        <f>IF(ISNUMBER(BT35),IF(COUNTIFS(JP_StartInhalt,DATE(Planungsjahr,8,BT35),JP_ShowInhalt,TRUE)&gt;0,"I",IF(COUNTIF(Feiertage,DATE(Planungsjahr,8,BT35))&gt;0,"h","")),"")</f>
        <v/>
      </c>
      <c r="BV36" s="159" t="str">
        <f>IF(ISNUMBER(BT35),IF(COUNTIFS(JP_PAL,DATE(Planungsjahr,8,BT35),JP_ShowPAL,TRUE)&gt;0,"P",IF(COUNTIF(Feiertage,DATE(Planungsjahr,8,BT35))&gt;0,"h","")),"")</f>
        <v/>
      </c>
      <c r="BW36" s="159" t="str">
        <f>IF(ISNUMBER(BW35),IF(COUNTIFS(JP_StartSel,DATE(Planungsjahr,8,BW35),JP_ShowSel,TRUE)&gt;0,"S",IF(COUNTIF(Feiertage,DATE(Planungsjahr,8,BW35))&gt;0,"h","")),"")</f>
        <v/>
      </c>
      <c r="BX36" s="159" t="str">
        <f>IF(ISNUMBER(BW35),IF(COUNTIFS(JP_StartInhalt,DATE(Planungsjahr,8,BW35),JP_ShowInhalt,TRUE)&gt;0,"I",IF(COUNTIF(Feiertage,DATE(Planungsjahr,8,BW35))&gt;0,"h","")),"")</f>
        <v/>
      </c>
      <c r="BY36" s="159" t="str">
        <f>IF(ISNUMBER(BW35),IF(COUNTIFS(JP_PAL,DATE(Planungsjahr,8,BW35),JP_ShowPAL,TRUE)&gt;0,"P",IF(COUNTIF(Feiertage,DATE(Planungsjahr,8,BW35))&gt;0,"h","")),"")</f>
        <v/>
      </c>
      <c r="BZ36" s="159" t="str">
        <f>IF(ISNUMBER(BZ35),IF(COUNTIFS(JP_StartSel,DATE(Planungsjahr,8,BZ35),JP_ShowSel,TRUE)&gt;0,"S",IF(COUNTIF(Feiertage,DATE(Planungsjahr,8,BZ35))&gt;0,"h","")),"")</f>
        <v/>
      </c>
      <c r="CA36" s="159" t="str">
        <f>IF(ISNUMBER(BZ35),IF(COUNTIFS(JP_StartInhalt,DATE(Planungsjahr,8,BZ35),JP_ShowInhalt,TRUE)&gt;0,"I",IF(COUNTIF(Feiertage,DATE(Planungsjahr,8,BZ35))&gt;0,"h","")),"")</f>
        <v/>
      </c>
      <c r="CB36" s="159" t="str">
        <f>IF(ISNUMBER(BZ35),IF(COUNTIFS(JP_PAL,DATE(Planungsjahr,8,BZ35),JP_ShowPAL,TRUE)&gt;0,"P",IF(COUNTIF(Feiertage,DATE(Planungsjahr,8,BZ35))&gt;0,"h","")),"")</f>
        <v/>
      </c>
      <c r="CC36" s="159" t="str">
        <f>IF(ISNUMBER(CC35),IF(COUNTIFS(JP_StartSel,DATE(Planungsjahr,8,CC35),JP_ShowSel,TRUE)&gt;0,"S",IF(COUNTIF(Feiertage,DATE(Planungsjahr,8,CC35))&gt;0,"h","")),"")</f>
        <v/>
      </c>
      <c r="CD36" s="159" t="str">
        <f>IF(ISNUMBER(CC35),IF(COUNTIFS(JP_StartInhalt,DATE(Planungsjahr,8,CC35),JP_ShowInhalt,TRUE)&gt;0,"I",IF(COUNTIF(Feiertage,DATE(Planungsjahr,8,CC35))&gt;0,"h","")),"")</f>
        <v/>
      </c>
      <c r="CE36" s="159" t="str">
        <f>IF(ISNUMBER(CC35),IF(COUNTIFS(JP_PAL,DATE(Planungsjahr,8,CC35),JP_ShowPAL,TRUE)&gt;0,"P",IF(COUNTIF(Feiertage,DATE(Planungsjahr,8,CC35))&gt;0,"h","")),"")</f>
        <v/>
      </c>
      <c r="CF36" s="159" t="str">
        <f>IF(ISNUMBER(CF35),IF(COUNTIFS(JP_StartSel,DATE(Planungsjahr,8,CF35),JP_ShowSel,TRUE)&gt;0,"S",IF(COUNTIF(Feiertage,DATE(Planungsjahr,8,CF35))&gt;0,"h","")),"")</f>
        <v/>
      </c>
      <c r="CG36" s="159" t="str">
        <f>IF(ISNUMBER(CF35),IF(COUNTIFS(JP_StartInhalt,DATE(Planungsjahr,8,CF35),JP_ShowInhalt,TRUE)&gt;0,"I",IF(COUNTIF(Feiertage,DATE(Planungsjahr,8,CF35))&gt;0,"h","")),"")</f>
        <v/>
      </c>
      <c r="CH36" s="159" t="str">
        <f>IF(ISNUMBER(CF35),IF(COUNTIFS(JP_PAL,DATE(Planungsjahr,8,CF35),JP_ShowPAL,TRUE)&gt;0,"P",IF(COUNTIF(Feiertage,DATE(Planungsjahr,8,CF35))&gt;0,"h","")),"")</f>
        <v/>
      </c>
      <c r="CI36" s="159" t="str">
        <f>IF(ISNUMBER(CI35),IF(COUNTIFS(JP_StartSel,DATE(Planungsjahr,8,CI35),JP_ShowSel,TRUE)&gt;0,"S",IF(COUNTIF(Feiertage,DATE(Planungsjahr,8,CI35))&gt;0,"h","w")),"")</f>
        <v>w</v>
      </c>
      <c r="CJ36" s="159" t="str">
        <f>IF(ISNUMBER(CI35),IF(COUNTIFS(JP_StartInhalt,DATE(Planungsjahr,8,CI35),JP_ShowInhalt,TRUE)&gt;0,"I",IF(COUNTIF(Feiertage,DATE(Planungsjahr,8,CI35))&gt;0,"h","w")),"")</f>
        <v>w</v>
      </c>
      <c r="CK36" s="159" t="str">
        <f>IF(ISNUMBER(CI35),IF(COUNTIFS(JP_PAL,DATE(Planungsjahr,8,CI35),JP_ShowPAL,TRUE)&gt;0,"P",IF(COUNTIF(Feiertage,DATE(Planungsjahr,8,CI35))&gt;0,"h","w")),"")</f>
        <v>w</v>
      </c>
      <c r="CL36" s="159" t="str">
        <f>IF(ISNUMBER(CL35),IF(COUNTIFS(JP_StartSel,DATE(Planungsjahr,8,CL35),JP_ShowSel,TRUE)&gt;0,"S",IF(COUNTIF(Feiertage,DATE(Planungsjahr,8,CL35))&gt;0,"h","w")),"")</f>
        <v>w</v>
      </c>
      <c r="CM36" s="159" t="str">
        <f>IF(ISNUMBER(CL35),IF(COUNTIFS(JP_StartInhalt,DATE(Planungsjahr,8,CL35),JP_ShowInhalt,TRUE)&gt;0,"I",IF(COUNTIF(Feiertage,DATE(Planungsjahr,8,CL35))&gt;0,"h","w")),"")</f>
        <v>w</v>
      </c>
      <c r="CN36" s="180" t="str">
        <f>IF(ISNUMBER(CL35),IF(COUNTIFS(JP_PAL,DATE(Planungsjahr,8,CL35),JP_ShowPAL,TRUE)&gt;0,"P",IF(COUNTIF(Feiertage,DATE(Planungsjahr,8,CL35))&gt;0,"h","w")),"")</f>
        <v>w</v>
      </c>
    </row>
    <row r="37" spans="2:92" ht="15.95" customHeight="1" x14ac:dyDescent="0.25">
      <c r="B37" s="177">
        <f>IF(OR(ISNUMBER(C37),ISNUMBER(U37)),_xlfn.ISOWEEKNUM(DATE(Planungsjahr,5,1)-WEEKDAY(DATE(Planungsjahr,5,1),2)+29),"")</f>
        <v>21</v>
      </c>
      <c r="C37" s="188">
        <f>IF(MONTH(DATE(Planungsjahr,5,1)-WEEKDAY(DATE(Planungsjahr,5,1),2)+29)=5,DAY(DATE(Planungsjahr,5,1)-WEEKDAY(DATE(Planungsjahr,5,1),2)+29),"")</f>
        <v>24</v>
      </c>
      <c r="D37" s="188"/>
      <c r="E37" s="188"/>
      <c r="F37" s="188">
        <f>IF(MONTH(DATE(Planungsjahr,5,1)-WEEKDAY(DATE(Planungsjahr,5,1),2)+30)=5,DAY(DATE(Planungsjahr,5,1)-WEEKDAY(DATE(Planungsjahr,5,1),2)+30),"")</f>
        <v>25</v>
      </c>
      <c r="G37" s="188"/>
      <c r="H37" s="188"/>
      <c r="I37" s="188">
        <f>IF(MONTH(DATE(Planungsjahr,5,1)-WEEKDAY(DATE(Planungsjahr,5,1),2)+31)=5,DAY(DATE(Planungsjahr,5,1)-WEEKDAY(DATE(Planungsjahr,5,1),2)+31),"")</f>
        <v>26</v>
      </c>
      <c r="J37" s="188"/>
      <c r="K37" s="188"/>
      <c r="L37" s="188">
        <f>IF(MONTH(DATE(Planungsjahr,5,1)-WEEKDAY(DATE(Planungsjahr,5,1),2)+32)=5,DAY(DATE(Planungsjahr,5,1)-WEEKDAY(DATE(Planungsjahr,5,1),2)+32),"")</f>
        <v>27</v>
      </c>
      <c r="M37" s="188"/>
      <c r="N37" s="188"/>
      <c r="O37" s="188">
        <f>IF(MONTH(DATE(Planungsjahr,5,1)-WEEKDAY(DATE(Planungsjahr,5,1),2)+33)=5,DAY(DATE(Planungsjahr,5,1)-WEEKDAY(DATE(Planungsjahr,5,1),2)+33),"")</f>
        <v>28</v>
      </c>
      <c r="P37" s="188"/>
      <c r="Q37" s="188"/>
      <c r="R37" s="188">
        <f>IF(MONTH(DATE(Planungsjahr,5,1)-WEEKDAY(DATE(Planungsjahr,5,1),2)+34)=5,DAY(DATE(Planungsjahr,5,1)-WEEKDAY(DATE(Planungsjahr,5,1),2)+34),"")</f>
        <v>29</v>
      </c>
      <c r="S37" s="188"/>
      <c r="T37" s="188"/>
      <c r="U37" s="188">
        <f>IF(MONTH(DATE(Planungsjahr,5,1)-WEEKDAY(DATE(Planungsjahr,5,1),2)+35)=5,DAY(DATE(Planungsjahr,5,1)-WEEKDAY(DATE(Planungsjahr,5,1),2)+35),"")</f>
        <v>30</v>
      </c>
      <c r="V37" s="188"/>
      <c r="W37" s="190"/>
      <c r="Y37" s="177">
        <f>IF(OR(ISNUMBER(Z37),ISNUMBER(AR37)),_xlfn.ISOWEEKNUM(DATE(Planungsjahr,6,1)-WEEKDAY(DATE(Planungsjahr,6,1),2)+29),"")</f>
        <v>26</v>
      </c>
      <c r="Z37" s="188">
        <f>IF(MONTH(DATE(Planungsjahr,6,1)-WEEKDAY(DATE(Planungsjahr,6,1),2)+29)=6,DAY(DATE(Planungsjahr,6,1)-WEEKDAY(DATE(Planungsjahr,6,1),2)+29),"")</f>
        <v>28</v>
      </c>
      <c r="AA37" s="188"/>
      <c r="AB37" s="188"/>
      <c r="AC37" s="188">
        <f>IF(MONTH(DATE(Planungsjahr,6,1)-WEEKDAY(DATE(Planungsjahr,6,1),2)+30)=6,DAY(DATE(Planungsjahr,6,1)-WEEKDAY(DATE(Planungsjahr,6,1),2)+30),"")</f>
        <v>29</v>
      </c>
      <c r="AD37" s="188"/>
      <c r="AE37" s="188"/>
      <c r="AF37" s="188">
        <f>IF(MONTH(DATE(Planungsjahr,6,1)-WEEKDAY(DATE(Planungsjahr,6,1),2)+31)=6,DAY(DATE(Planungsjahr,6,1)-WEEKDAY(DATE(Planungsjahr,6,1),2)+31),"")</f>
        <v>30</v>
      </c>
      <c r="AG37" s="188"/>
      <c r="AH37" s="188"/>
      <c r="AI37" s="188" t="str">
        <f>IF(MONTH(DATE(Planungsjahr,6,1)-WEEKDAY(DATE(Planungsjahr,6,1),2)+32)=6,DAY(DATE(Planungsjahr,6,1)-WEEKDAY(DATE(Planungsjahr,6,1),2)+32),"")</f>
        <v/>
      </c>
      <c r="AJ37" s="188"/>
      <c r="AK37" s="188"/>
      <c r="AL37" s="188" t="str">
        <f>IF(MONTH(DATE(Planungsjahr,6,1)-WEEKDAY(DATE(Planungsjahr,6,1),2)+33)=6,DAY(DATE(Planungsjahr,6,1)-WEEKDAY(DATE(Planungsjahr,6,1),2)+33),"")</f>
        <v/>
      </c>
      <c r="AM37" s="188"/>
      <c r="AN37" s="188"/>
      <c r="AO37" s="188" t="str">
        <f>IF(MONTH(DATE(Planungsjahr,6,1)-WEEKDAY(DATE(Planungsjahr,6,1),2)+34)=6,DAY(DATE(Planungsjahr,6,1)-WEEKDAY(DATE(Planungsjahr,6,1),2)+34),"")</f>
        <v/>
      </c>
      <c r="AP37" s="188"/>
      <c r="AQ37" s="188"/>
      <c r="AR37" s="188" t="str">
        <f>IF(MONTH(DATE(Planungsjahr,6,1)-WEEKDAY(DATE(Planungsjahr,6,1),2)+35)=6,DAY(DATE(Planungsjahr,6,1)-WEEKDAY(DATE(Planungsjahr,6,1),2)+35),"")</f>
        <v/>
      </c>
      <c r="AS37" s="188"/>
      <c r="AT37" s="190"/>
      <c r="AV37" s="177">
        <f>IF(OR(ISNUMBER(AW37),ISNUMBER(BO37)),_xlfn.ISOWEEKNUM(DATE(Planungsjahr,7,1)-WEEKDAY(DATE(Planungsjahr,7,1),2)+29),"")</f>
        <v>30</v>
      </c>
      <c r="AW37" s="188">
        <f>IF(MONTH(DATE(Planungsjahr,7,1)-WEEKDAY(DATE(Planungsjahr,7,1),2)+29)=7,DAY(DATE(Planungsjahr,7,1)-WEEKDAY(DATE(Planungsjahr,7,1),2)+29),"")</f>
        <v>26</v>
      </c>
      <c r="AX37" s="188"/>
      <c r="AY37" s="188"/>
      <c r="AZ37" s="188">
        <f>IF(MONTH(DATE(Planungsjahr,7,1)-WEEKDAY(DATE(Planungsjahr,7,1),2)+30)=7,DAY(DATE(Planungsjahr,7,1)-WEEKDAY(DATE(Planungsjahr,7,1),2)+30),"")</f>
        <v>27</v>
      </c>
      <c r="BA37" s="188"/>
      <c r="BB37" s="188"/>
      <c r="BC37" s="188">
        <f>IF(MONTH(DATE(Planungsjahr,7,1)-WEEKDAY(DATE(Planungsjahr,7,1),2)+31)=7,DAY(DATE(Planungsjahr,7,1)-WEEKDAY(DATE(Planungsjahr,7,1),2)+31),"")</f>
        <v>28</v>
      </c>
      <c r="BD37" s="188"/>
      <c r="BE37" s="188"/>
      <c r="BF37" s="188">
        <f>IF(MONTH(DATE(Planungsjahr,7,1)-WEEKDAY(DATE(Planungsjahr,7,1),2)+32)=7,DAY(DATE(Planungsjahr,7,1)-WEEKDAY(DATE(Planungsjahr,7,1),2)+32),"")</f>
        <v>29</v>
      </c>
      <c r="BG37" s="188"/>
      <c r="BH37" s="188"/>
      <c r="BI37" s="188">
        <f>IF(MONTH(DATE(Planungsjahr,7,1)-WEEKDAY(DATE(Planungsjahr,7,1),2)+33)=7,DAY(DATE(Planungsjahr,7,1)-WEEKDAY(DATE(Planungsjahr,7,1),2)+33),"")</f>
        <v>30</v>
      </c>
      <c r="BJ37" s="188"/>
      <c r="BK37" s="188"/>
      <c r="BL37" s="188">
        <f>IF(MONTH(DATE(Planungsjahr,7,1)-WEEKDAY(DATE(Planungsjahr,7,1),2)+34)=7,DAY(DATE(Planungsjahr,7,1)-WEEKDAY(DATE(Planungsjahr,7,1),2)+34),"")</f>
        <v>31</v>
      </c>
      <c r="BM37" s="188"/>
      <c r="BN37" s="188"/>
      <c r="BO37" s="188" t="str">
        <f>IF(MONTH(DATE(Planungsjahr,7,1)-WEEKDAY(DATE(Planungsjahr,7,1),2)+35)=7,DAY(DATE(Planungsjahr,7,1)-WEEKDAY(DATE(Planungsjahr,7,1),2)+35),"")</f>
        <v/>
      </c>
      <c r="BP37" s="188"/>
      <c r="BQ37" s="190"/>
      <c r="BS37" s="177">
        <f>IF(OR(ISNUMBER(BT37),ISNUMBER(CL37)),_xlfn.ISOWEEKNUM(DATE(Planungsjahr,8,1)-WEEKDAY(DATE(Planungsjahr,8,1),2)+29),"")</f>
        <v>34</v>
      </c>
      <c r="BT37" s="188">
        <f>IF(MONTH(DATE(Planungsjahr,8,1)-WEEKDAY(DATE(Planungsjahr,8,1),2)+29)=8,DAY(DATE(Planungsjahr,8,1)-WEEKDAY(DATE(Planungsjahr,8,1),2)+29),"")</f>
        <v>23</v>
      </c>
      <c r="BU37" s="188"/>
      <c r="BV37" s="188"/>
      <c r="BW37" s="188">
        <f>IF(MONTH(DATE(Planungsjahr,8,1)-WEEKDAY(DATE(Planungsjahr,8,1),2)+30)=8,DAY(DATE(Planungsjahr,8,1)-WEEKDAY(DATE(Planungsjahr,8,1),2)+30),"")</f>
        <v>24</v>
      </c>
      <c r="BX37" s="188"/>
      <c r="BY37" s="188"/>
      <c r="BZ37" s="188">
        <f>IF(MONTH(DATE(Planungsjahr,8,1)-WEEKDAY(DATE(Planungsjahr,8,1),2)+31)=8,DAY(DATE(Planungsjahr,8,1)-WEEKDAY(DATE(Planungsjahr,8,1),2)+31),"")</f>
        <v>25</v>
      </c>
      <c r="CA37" s="188"/>
      <c r="CB37" s="188"/>
      <c r="CC37" s="188">
        <f>IF(MONTH(DATE(Planungsjahr,8,1)-WEEKDAY(DATE(Planungsjahr,8,1),2)+32)=8,DAY(DATE(Planungsjahr,8,1)-WEEKDAY(DATE(Planungsjahr,8,1),2)+32),"")</f>
        <v>26</v>
      </c>
      <c r="CD37" s="188"/>
      <c r="CE37" s="188"/>
      <c r="CF37" s="188">
        <f>IF(MONTH(DATE(Planungsjahr,8,1)-WEEKDAY(DATE(Planungsjahr,8,1),2)+33)=8,DAY(DATE(Planungsjahr,8,1)-WEEKDAY(DATE(Planungsjahr,8,1),2)+33),"")</f>
        <v>27</v>
      </c>
      <c r="CG37" s="188"/>
      <c r="CH37" s="188"/>
      <c r="CI37" s="188">
        <f>IF(MONTH(DATE(Planungsjahr,8,1)-WEEKDAY(DATE(Planungsjahr,8,1),2)+34)=8,DAY(DATE(Planungsjahr,8,1)-WEEKDAY(DATE(Planungsjahr,8,1),2)+34),"")</f>
        <v>28</v>
      </c>
      <c r="CJ37" s="188"/>
      <c r="CK37" s="188"/>
      <c r="CL37" s="188">
        <f>IF(MONTH(DATE(Planungsjahr,8,1)-WEEKDAY(DATE(Planungsjahr,8,1),2)+35)=8,DAY(DATE(Planungsjahr,8,1)-WEEKDAY(DATE(Planungsjahr,8,1),2)+35),"")</f>
        <v>29</v>
      </c>
      <c r="CM37" s="188"/>
      <c r="CN37" s="190"/>
    </row>
    <row r="38" spans="2:92" ht="10.5" customHeight="1" x14ac:dyDescent="0.25">
      <c r="B38" s="179"/>
      <c r="C38" s="159" t="str">
        <f>IF(ISNUMBER(C37),IF(COUNTIFS(JP_StartSel,DATE(Planungsjahr,5,C37),JP_ShowSel,TRUE)&gt;0,"S",IF(COUNTIF(Feiertage,DATE(Planungsjahr,5,C37))&gt;0,"h","")),"")</f>
        <v/>
      </c>
      <c r="D38" s="159" t="str">
        <f>IF(ISNUMBER(C37),IF(COUNTIFS(JP_StartInhalt,DATE(Planungsjahr,5,C37),JP_ShowInhalt,TRUE)&gt;0,"I",IF(COUNTIF(Feiertage,DATE(Planungsjahr,5,C37))&gt;0,"h","")),"")</f>
        <v/>
      </c>
      <c r="E38" s="159" t="str">
        <f>IF(ISNUMBER(C37),IF(COUNTIFS(JP_PAL,DATE(Planungsjahr,5,C37),JP_ShowPAL,TRUE)&gt;0,"P",IF(COUNTIF(Feiertage,DATE(Planungsjahr,5,C37))&gt;0,"h","")),"")</f>
        <v/>
      </c>
      <c r="F38" s="159" t="str">
        <f>IF(ISNUMBER(F37),IF(COUNTIFS(JP_StartSel,DATE(Planungsjahr,5,F37),JP_ShowSel,TRUE)&gt;0,"S",IF(COUNTIF(Feiertage,DATE(Planungsjahr,5,F37))&gt;0,"h","")),"")</f>
        <v/>
      </c>
      <c r="G38" s="159" t="str">
        <f>IF(ISNUMBER(F37),IF(COUNTIFS(JP_StartInhalt,DATE(Planungsjahr,5,F37),JP_ShowInhalt,TRUE)&gt;0,"I",IF(COUNTIF(Feiertage,DATE(Planungsjahr,5,F37))&gt;0,"h","")),"")</f>
        <v/>
      </c>
      <c r="H38" s="159" t="str">
        <f>IF(ISNUMBER(F37),IF(COUNTIFS(JP_PAL,DATE(Planungsjahr,5,F37),JP_ShowPAL,TRUE)&gt;0,"P",IF(COUNTIF(Feiertage,DATE(Planungsjahr,5,F37))&gt;0,"h","")),"")</f>
        <v/>
      </c>
      <c r="I38" s="159" t="str">
        <f>IF(ISNUMBER(I37),IF(COUNTIFS(JP_StartSel,DATE(Planungsjahr,5,I37),JP_ShowSel,TRUE)&gt;0,"S",IF(COUNTIF(Feiertage,DATE(Planungsjahr,5,I37))&gt;0,"h","")),"")</f>
        <v/>
      </c>
      <c r="J38" s="159" t="str">
        <f>IF(ISNUMBER(I37),IF(COUNTIFS(JP_StartInhalt,DATE(Planungsjahr,5,I37),JP_ShowInhalt,TRUE)&gt;0,"I",IF(COUNTIF(Feiertage,DATE(Planungsjahr,5,I37))&gt;0,"h","")),"")</f>
        <v/>
      </c>
      <c r="K38" s="159" t="str">
        <f>IF(ISNUMBER(I37),IF(COUNTIFS(JP_PAL,DATE(Planungsjahr,5,I37),JP_ShowPAL,TRUE)&gt;0,"P",IF(COUNTIF(Feiertage,DATE(Planungsjahr,5,I37))&gt;0,"h","")),"")</f>
        <v/>
      </c>
      <c r="L38" s="159" t="str">
        <f>IF(ISNUMBER(L37),IF(COUNTIFS(JP_StartSel,DATE(Planungsjahr,5,L37),JP_ShowSel,TRUE)&gt;0,"S",IF(COUNTIF(Feiertage,DATE(Planungsjahr,5,L37))&gt;0,"h","")),"")</f>
        <v>h</v>
      </c>
      <c r="M38" s="159" t="str">
        <f>IF(ISNUMBER(L37),IF(COUNTIFS(JP_StartInhalt,DATE(Planungsjahr,5,L37),JP_ShowInhalt,TRUE)&gt;0,"I",IF(COUNTIF(Feiertage,DATE(Planungsjahr,5,L37))&gt;0,"h","")),"")</f>
        <v>h</v>
      </c>
      <c r="N38" s="159" t="str">
        <f>IF(ISNUMBER(L37),IF(COUNTIFS(JP_PAL,DATE(Planungsjahr,5,L37),JP_ShowPAL,TRUE)&gt;0,"P",IF(COUNTIF(Feiertage,DATE(Planungsjahr,5,L37))&gt;0,"h","")),"")</f>
        <v>h</v>
      </c>
      <c r="O38" s="159" t="str">
        <f>IF(ISNUMBER(O37),IF(COUNTIFS(JP_StartSel,DATE(Planungsjahr,5,O37),JP_ShowSel,TRUE)&gt;0,"S",IF(COUNTIF(Feiertage,DATE(Planungsjahr,5,O37))&gt;0,"h","")),"")</f>
        <v/>
      </c>
      <c r="P38" s="159" t="str">
        <f>IF(ISNUMBER(O37),IF(COUNTIFS(JP_StartInhalt,DATE(Planungsjahr,5,O37),JP_ShowInhalt,TRUE)&gt;0,"I",IF(COUNTIF(Feiertage,DATE(Planungsjahr,5,O37))&gt;0,"h","")),"")</f>
        <v/>
      </c>
      <c r="Q38" s="159" t="str">
        <f>IF(ISNUMBER(O37),IF(COUNTIFS(JP_PAL,DATE(Planungsjahr,5,O37),JP_ShowPAL,TRUE)&gt;0,"P",IF(COUNTIF(Feiertage,DATE(Planungsjahr,5,O37))&gt;0,"h","")),"")</f>
        <v/>
      </c>
      <c r="R38" s="159" t="str">
        <f>IF(ISNUMBER(R37),IF(COUNTIFS(JP_StartSel,DATE(Planungsjahr,5,R37),JP_ShowSel,TRUE)&gt;0,"S",IF(COUNTIF(Feiertage,DATE(Planungsjahr,5,R37))&gt;0,"h","w")),"")</f>
        <v>w</v>
      </c>
      <c r="S38" s="159" t="str">
        <f>IF(ISNUMBER(R37),IF(COUNTIFS(JP_StartInhalt,DATE(Planungsjahr,5,R37),JP_ShowInhalt,TRUE)&gt;0,"I",IF(COUNTIF(Feiertage,DATE(Planungsjahr,5,R37))&gt;0,"h","w")),"")</f>
        <v>w</v>
      </c>
      <c r="T38" s="159" t="str">
        <f>IF(ISNUMBER(R37),IF(COUNTIFS(JP_PAL,DATE(Planungsjahr,5,R37),JP_ShowPAL,TRUE)&gt;0,"P",IF(COUNTIF(Feiertage,DATE(Planungsjahr,5,R37))&gt;0,"h","w")),"")</f>
        <v>w</v>
      </c>
      <c r="U38" s="159" t="str">
        <f>IF(ISNUMBER(U37),IF(COUNTIFS(JP_StartSel,DATE(Planungsjahr,5,U37),JP_ShowSel,TRUE)&gt;0,"S",IF(COUNTIF(Feiertage,DATE(Planungsjahr,5,U37))&gt;0,"h","w")),"")</f>
        <v>w</v>
      </c>
      <c r="V38" s="159" t="str">
        <f>IF(ISNUMBER(U37),IF(COUNTIFS(JP_StartInhalt,DATE(Planungsjahr,5,U37),JP_ShowInhalt,TRUE)&gt;0,"I",IF(COUNTIF(Feiertage,DATE(Planungsjahr,5,U37))&gt;0,"h","w")),"")</f>
        <v>w</v>
      </c>
      <c r="W38" s="180" t="str">
        <f>IF(ISNUMBER(U37),IF(COUNTIFS(JP_PAL,DATE(Planungsjahr,5,U37),JP_ShowPAL,TRUE)&gt;0,"P",IF(COUNTIF(Feiertage,DATE(Planungsjahr,5,U37))&gt;0,"h","w")),"")</f>
        <v>w</v>
      </c>
      <c r="Y38" s="179"/>
      <c r="Z38" s="159" t="str">
        <f>IF(ISNUMBER(Z37),IF(COUNTIFS(JP_StartSel,DATE(Planungsjahr,6,Z37),JP_ShowSel,TRUE)&gt;0,"S",IF(COUNTIF(Feiertage,DATE(Planungsjahr,6,Z37))&gt;0,"h","")),"")</f>
        <v/>
      </c>
      <c r="AA38" s="159" t="str">
        <f>IF(ISNUMBER(Z37),IF(COUNTIFS(JP_StartInhalt,DATE(Planungsjahr,6,Z37),JP_ShowInhalt,TRUE)&gt;0,"I",IF(COUNTIF(Feiertage,DATE(Planungsjahr,6,Z37))&gt;0,"h","")),"")</f>
        <v/>
      </c>
      <c r="AB38" s="159" t="str">
        <f>IF(ISNUMBER(Z37),IF(COUNTIFS(JP_PAL,DATE(Planungsjahr,6,Z37),JP_ShowPAL,TRUE)&gt;0,"P",IF(COUNTIF(Feiertage,DATE(Planungsjahr,6,Z37))&gt;0,"h","")),"")</f>
        <v/>
      </c>
      <c r="AC38" s="159" t="str">
        <f>IF(ISNUMBER(AC37),IF(COUNTIFS(JP_StartSel,DATE(Planungsjahr,6,AC37),JP_ShowSel,TRUE)&gt;0,"S",IF(COUNTIF(Feiertage,DATE(Planungsjahr,6,AC37))&gt;0,"h","")),"")</f>
        <v/>
      </c>
      <c r="AD38" s="159" t="str">
        <f>IF(ISNUMBER(AC37),IF(COUNTIFS(JP_StartInhalt,DATE(Planungsjahr,6,AC37),JP_ShowInhalt,TRUE)&gt;0,"I",IF(COUNTIF(Feiertage,DATE(Planungsjahr,6,AC37))&gt;0,"h","")),"")</f>
        <v/>
      </c>
      <c r="AE38" s="159" t="str">
        <f>IF(ISNUMBER(AC37),IF(COUNTIFS(JP_PAL,DATE(Planungsjahr,6,AC37),JP_ShowPAL,TRUE)&gt;0,"P",IF(COUNTIF(Feiertage,DATE(Planungsjahr,6,AC37))&gt;0,"h","")),"")</f>
        <v/>
      </c>
      <c r="AF38" s="159" t="str">
        <f>IF(ISNUMBER(AF37),IF(COUNTIFS(JP_StartSel,DATE(Planungsjahr,6,AF37),JP_ShowSel,TRUE)&gt;0,"S",IF(COUNTIF(Feiertage,DATE(Planungsjahr,6,AF37))&gt;0,"h","")),"")</f>
        <v/>
      </c>
      <c r="AG38" s="159" t="str">
        <f>IF(ISNUMBER(AF37),IF(COUNTIFS(JP_StartInhalt,DATE(Planungsjahr,6,AF37),JP_ShowInhalt,TRUE)&gt;0,"I",IF(COUNTIF(Feiertage,DATE(Planungsjahr,6,AF37))&gt;0,"h","")),"")</f>
        <v>I</v>
      </c>
      <c r="AH38" s="159" t="str">
        <f>IF(ISNUMBER(AF37),IF(COUNTIFS(JP_PAL,DATE(Planungsjahr,6,AF37),JP_ShowPAL,TRUE)&gt;0,"P",IF(COUNTIF(Feiertage,DATE(Planungsjahr,6,AF37))&gt;0,"h","")),"")</f>
        <v/>
      </c>
      <c r="AI38" s="159" t="str">
        <f>IF(ISNUMBER(AI37),IF(COUNTIFS(JP_StartSel,DATE(Planungsjahr,6,AI37),JP_ShowSel,TRUE)&gt;0,"S",IF(COUNTIF(Feiertage,DATE(Planungsjahr,6,AI37))&gt;0,"h","")),"")</f>
        <v/>
      </c>
      <c r="AJ38" s="159" t="str">
        <f>IF(ISNUMBER(AI37),IF(COUNTIFS(JP_StartInhalt,DATE(Planungsjahr,6,AI37),JP_ShowInhalt,TRUE)&gt;0,"I",IF(COUNTIF(Feiertage,DATE(Planungsjahr,6,AI37))&gt;0,"h","")),"")</f>
        <v/>
      </c>
      <c r="AK38" s="159" t="str">
        <f>IF(ISNUMBER(AI37),IF(COUNTIFS(JP_PAL,DATE(Planungsjahr,6,AI37),JP_ShowPAL,TRUE)&gt;0,"P",IF(COUNTIF(Feiertage,DATE(Planungsjahr,6,AI37))&gt;0,"h","")),"")</f>
        <v/>
      </c>
      <c r="AL38" s="159" t="str">
        <f>IF(ISNUMBER(AL37),IF(COUNTIFS(JP_StartSel,DATE(Planungsjahr,6,AL37),JP_ShowSel,TRUE)&gt;0,"S",IF(COUNTIF(Feiertage,DATE(Planungsjahr,6,AL37))&gt;0,"h","")),"")</f>
        <v/>
      </c>
      <c r="AM38" s="159" t="str">
        <f>IF(ISNUMBER(AL37),IF(COUNTIFS(JP_StartInhalt,DATE(Planungsjahr,6,AL37),JP_ShowInhalt,TRUE)&gt;0,"I",IF(COUNTIF(Feiertage,DATE(Planungsjahr,6,AL37))&gt;0,"h","")),"")</f>
        <v/>
      </c>
      <c r="AN38" s="159" t="str">
        <f>IF(ISNUMBER(AL37),IF(COUNTIFS(JP_PAL,DATE(Planungsjahr,6,AL37),JP_ShowPAL,TRUE)&gt;0,"P",IF(COUNTIF(Feiertage,DATE(Planungsjahr,6,AL37))&gt;0,"h","")),"")</f>
        <v/>
      </c>
      <c r="AO38" s="159" t="str">
        <f>IF(ISNUMBER(AO37),IF(COUNTIFS(JP_StartSel,DATE(Planungsjahr,6,AO37),JP_ShowSel,TRUE)&gt;0,"S",IF(COUNTIF(Feiertage,DATE(Planungsjahr,6,AO37))&gt;0,"h","w")),"")</f>
        <v/>
      </c>
      <c r="AP38" s="159" t="str">
        <f>IF(ISNUMBER(AO37),IF(COUNTIFS(JP_StartInhalt,DATE(Planungsjahr,6,AO37),JP_ShowInhalt,TRUE)&gt;0,"I",IF(COUNTIF(Feiertage,DATE(Planungsjahr,6,AO37))&gt;0,"h","w")),"")</f>
        <v/>
      </c>
      <c r="AQ38" s="159" t="str">
        <f>IF(ISNUMBER(AO37),IF(COUNTIFS(JP_PAL,DATE(Planungsjahr,6,AO37),JP_ShowPAL,TRUE)&gt;0,"P",IF(COUNTIF(Feiertage,DATE(Planungsjahr,6,AO37))&gt;0,"h","w")),"")</f>
        <v/>
      </c>
      <c r="AR38" s="159" t="str">
        <f>IF(ISNUMBER(AR37),IF(COUNTIFS(JP_StartSel,DATE(Planungsjahr,6,AR37),JP_ShowSel,TRUE)&gt;0,"S",IF(COUNTIF(Feiertage,DATE(Planungsjahr,6,AR37))&gt;0,"h","w")),"")</f>
        <v/>
      </c>
      <c r="AS38" s="159" t="str">
        <f>IF(ISNUMBER(AR37),IF(COUNTIFS(JP_StartInhalt,DATE(Planungsjahr,6,AR37),JP_ShowInhalt,TRUE)&gt;0,"I",IF(COUNTIF(Feiertage,DATE(Planungsjahr,6,AR37))&gt;0,"h","w")),"")</f>
        <v/>
      </c>
      <c r="AT38" s="180" t="str">
        <f>IF(ISNUMBER(AR37),IF(COUNTIFS(JP_PAL,DATE(Planungsjahr,6,AR37),JP_ShowPAL,TRUE)&gt;0,"P",IF(COUNTIF(Feiertage,DATE(Planungsjahr,6,AR37))&gt;0,"h","w")),"")</f>
        <v/>
      </c>
      <c r="AV38" s="179"/>
      <c r="AW38" s="159" t="str">
        <f>IF(ISNUMBER(AW37),IF(COUNTIFS(JP_StartSel,DATE(Planungsjahr,7,AW37),JP_ShowSel,TRUE)&gt;0,"S",IF(COUNTIF(Feiertage,DATE(Planungsjahr,7,AW37))&gt;0,"h","")),"")</f>
        <v/>
      </c>
      <c r="AX38" s="159" t="str">
        <f>IF(ISNUMBER(AW37),IF(COUNTIFS(JP_StartInhalt,DATE(Planungsjahr,7,AW37),JP_ShowInhalt,TRUE)&gt;0,"I",IF(COUNTIF(Feiertage,DATE(Planungsjahr,7,AW37))&gt;0,"h","")),"")</f>
        <v/>
      </c>
      <c r="AY38" s="159" t="str">
        <f>IF(ISNUMBER(AW37),IF(COUNTIFS(JP_PAL,DATE(Planungsjahr,7,AW37),JP_ShowPAL,TRUE)&gt;0,"P",IF(COUNTIF(Feiertage,DATE(Planungsjahr,7,AW37))&gt;0,"h","")),"")</f>
        <v/>
      </c>
      <c r="AZ38" s="159" t="str">
        <f>IF(ISNUMBER(AZ37),IF(COUNTIFS(JP_StartSel,DATE(Planungsjahr,7,AZ37),JP_ShowSel,TRUE)&gt;0,"S",IF(COUNTIF(Feiertage,DATE(Planungsjahr,7,AZ37))&gt;0,"h","")),"")</f>
        <v/>
      </c>
      <c r="BA38" s="159" t="str">
        <f>IF(ISNUMBER(AZ37),IF(COUNTIFS(JP_StartInhalt,DATE(Planungsjahr,7,AZ37),JP_ShowInhalt,TRUE)&gt;0,"I",IF(COUNTIF(Feiertage,DATE(Planungsjahr,7,AZ37))&gt;0,"h","")),"")</f>
        <v/>
      </c>
      <c r="BB38" s="159" t="str">
        <f>IF(ISNUMBER(AZ37),IF(COUNTIFS(JP_PAL,DATE(Planungsjahr,7,AZ37),JP_ShowPAL,TRUE)&gt;0,"P",IF(COUNTIF(Feiertage,DATE(Planungsjahr,7,AZ37))&gt;0,"h","")),"")</f>
        <v/>
      </c>
      <c r="BC38" s="159" t="str">
        <f>IF(ISNUMBER(BC37),IF(COUNTIFS(JP_StartSel,DATE(Planungsjahr,7,BC37),JP_ShowSel,TRUE)&gt;0,"S",IF(COUNTIF(Feiertage,DATE(Planungsjahr,7,BC37))&gt;0,"h","")),"")</f>
        <v/>
      </c>
      <c r="BD38" s="159" t="str">
        <f>IF(ISNUMBER(BC37),IF(COUNTIFS(JP_StartInhalt,DATE(Planungsjahr,7,BC37),JP_ShowInhalt,TRUE)&gt;0,"I",IF(COUNTIF(Feiertage,DATE(Planungsjahr,7,BC37))&gt;0,"h","")),"")</f>
        <v>I</v>
      </c>
      <c r="BE38" s="159" t="str">
        <f>IF(ISNUMBER(BC37),IF(COUNTIFS(JP_PAL,DATE(Planungsjahr,7,BC37),JP_ShowPAL,TRUE)&gt;0,"P",IF(COUNTIF(Feiertage,DATE(Planungsjahr,7,BC37))&gt;0,"h","")),"")</f>
        <v/>
      </c>
      <c r="BF38" s="159" t="str">
        <f>IF(ISNUMBER(BF37),IF(COUNTIFS(JP_StartSel,DATE(Planungsjahr,7,BF37),JP_ShowSel,TRUE)&gt;0,"S",IF(COUNTIF(Feiertage,DATE(Planungsjahr,7,BF37))&gt;0,"h","")),"")</f>
        <v/>
      </c>
      <c r="BG38" s="159" t="str">
        <f>IF(ISNUMBER(BF37),IF(COUNTIFS(JP_StartInhalt,DATE(Planungsjahr,7,BF37),JP_ShowInhalt,TRUE)&gt;0,"I",IF(COUNTIF(Feiertage,DATE(Planungsjahr,7,BF37))&gt;0,"h","")),"")</f>
        <v/>
      </c>
      <c r="BH38" s="159" t="str">
        <f>IF(ISNUMBER(BF37),IF(COUNTIFS(JP_PAL,DATE(Planungsjahr,7,BF37),JP_ShowPAL,TRUE)&gt;0,"P",IF(COUNTIF(Feiertage,DATE(Planungsjahr,7,BF37))&gt;0,"h","")),"")</f>
        <v/>
      </c>
      <c r="BI38" s="159" t="str">
        <f>IF(ISNUMBER(BI37),IF(COUNTIFS(JP_StartSel,DATE(Planungsjahr,7,BI37),JP_ShowSel,TRUE)&gt;0,"S",IF(COUNTIF(Feiertage,DATE(Planungsjahr,7,BI37))&gt;0,"h","")),"")</f>
        <v/>
      </c>
      <c r="BJ38" s="159" t="str">
        <f>IF(ISNUMBER(BI37),IF(COUNTIFS(JP_StartInhalt,DATE(Planungsjahr,7,BI37),JP_ShowInhalt,TRUE)&gt;0,"I",IF(COUNTIF(Feiertage,DATE(Planungsjahr,7,BI37))&gt;0,"h","")),"")</f>
        <v/>
      </c>
      <c r="BK38" s="159" t="str">
        <f>IF(ISNUMBER(BI37),IF(COUNTIFS(JP_PAL,DATE(Planungsjahr,7,BI37),JP_ShowPAL,TRUE)&gt;0,"P",IF(COUNTIF(Feiertage,DATE(Planungsjahr,7,BI37))&gt;0,"h","")),"")</f>
        <v/>
      </c>
      <c r="BL38" s="159" t="str">
        <f>IF(ISNUMBER(BL37),IF(COUNTIFS(JP_StartSel,DATE(Planungsjahr,7,BL37),JP_ShowSel,TRUE)&gt;0,"S",IF(COUNTIF(Feiertage,DATE(Planungsjahr,7,BL37))&gt;0,"h","w")),"")</f>
        <v>w</v>
      </c>
      <c r="BM38" s="159" t="str">
        <f>IF(ISNUMBER(BL37),IF(COUNTIFS(JP_StartInhalt,DATE(Planungsjahr,7,BL37),JP_ShowInhalt,TRUE)&gt;0,"I",IF(COUNTIF(Feiertage,DATE(Planungsjahr,7,BL37))&gt;0,"h","w")),"")</f>
        <v>w</v>
      </c>
      <c r="BN38" s="159" t="str">
        <f>IF(ISNUMBER(BL37),IF(COUNTIFS(JP_PAL,DATE(Planungsjahr,7,BL37),JP_ShowPAL,TRUE)&gt;0,"P",IF(COUNTIF(Feiertage,DATE(Planungsjahr,7,BL37))&gt;0,"h","w")),"")</f>
        <v>w</v>
      </c>
      <c r="BO38" s="159" t="str">
        <f>IF(ISNUMBER(BO37),IF(COUNTIFS(JP_StartSel,DATE(Planungsjahr,7,BO37),JP_ShowSel,TRUE)&gt;0,"S",IF(COUNTIF(Feiertage,DATE(Planungsjahr,7,BO37))&gt;0,"h","w")),"")</f>
        <v/>
      </c>
      <c r="BP38" s="159" t="str">
        <f>IF(ISNUMBER(BO37),IF(COUNTIFS(JP_StartInhalt,DATE(Planungsjahr,7,BO37),JP_ShowInhalt,TRUE)&gt;0,"I",IF(COUNTIF(Feiertage,DATE(Planungsjahr,7,BO37))&gt;0,"h","w")),"")</f>
        <v/>
      </c>
      <c r="BQ38" s="180" t="str">
        <f>IF(ISNUMBER(BO37),IF(COUNTIFS(JP_PAL,DATE(Planungsjahr,7,BO37),JP_ShowPAL,TRUE)&gt;0,"P",IF(COUNTIF(Feiertage,DATE(Planungsjahr,7,BO37))&gt;0,"h","w")),"")</f>
        <v/>
      </c>
      <c r="BS38" s="179"/>
      <c r="BT38" s="159" t="str">
        <f>IF(ISNUMBER(BT37),IF(COUNTIFS(JP_StartSel,DATE(Planungsjahr,8,BT37),JP_ShowSel,TRUE)&gt;0,"S",IF(COUNTIF(Feiertage,DATE(Planungsjahr,8,BT37))&gt;0,"h","")),"")</f>
        <v/>
      </c>
      <c r="BU38" s="159" t="str">
        <f>IF(ISNUMBER(BT37),IF(COUNTIFS(JP_StartInhalt,DATE(Planungsjahr,8,BT37),JP_ShowInhalt,TRUE)&gt;0,"I",IF(COUNTIF(Feiertage,DATE(Planungsjahr,8,BT37))&gt;0,"h","")),"")</f>
        <v/>
      </c>
      <c r="BV38" s="159" t="str">
        <f>IF(ISNUMBER(BT37),IF(COUNTIFS(JP_PAL,DATE(Planungsjahr,8,BT37),JP_ShowPAL,TRUE)&gt;0,"P",IF(COUNTIF(Feiertage,DATE(Planungsjahr,8,BT37))&gt;0,"h","")),"")</f>
        <v/>
      </c>
      <c r="BW38" s="159" t="str">
        <f>IF(ISNUMBER(BW37),IF(COUNTIFS(JP_StartSel,DATE(Planungsjahr,8,BW37),JP_ShowSel,TRUE)&gt;0,"S",IF(COUNTIF(Feiertage,DATE(Planungsjahr,8,BW37))&gt;0,"h","")),"")</f>
        <v/>
      </c>
      <c r="BX38" s="159" t="str">
        <f>IF(ISNUMBER(BW37),IF(COUNTIFS(JP_StartInhalt,DATE(Planungsjahr,8,BW37),JP_ShowInhalt,TRUE)&gt;0,"I",IF(COUNTIF(Feiertage,DATE(Planungsjahr,8,BW37))&gt;0,"h","")),"")</f>
        <v/>
      </c>
      <c r="BY38" s="159" t="str">
        <f>IF(ISNUMBER(BW37),IF(COUNTIFS(JP_PAL,DATE(Planungsjahr,8,BW37),JP_ShowPAL,TRUE)&gt;0,"P",IF(COUNTIF(Feiertage,DATE(Planungsjahr,8,BW37))&gt;0,"h","")),"")</f>
        <v/>
      </c>
      <c r="BZ38" s="159" t="str">
        <f>IF(ISNUMBER(BZ37),IF(COUNTIFS(JP_StartSel,DATE(Planungsjahr,8,BZ37),JP_ShowSel,TRUE)&gt;0,"S",IF(COUNTIF(Feiertage,DATE(Planungsjahr,8,BZ37))&gt;0,"h","")),"")</f>
        <v/>
      </c>
      <c r="CA38" s="159" t="str">
        <f>IF(ISNUMBER(BZ37),IF(COUNTIFS(JP_StartInhalt,DATE(Planungsjahr,8,BZ37),JP_ShowInhalt,TRUE)&gt;0,"I",IF(COUNTIF(Feiertage,DATE(Planungsjahr,8,BZ37))&gt;0,"h","")),"")</f>
        <v>I</v>
      </c>
      <c r="CB38" s="159" t="str">
        <f>IF(ISNUMBER(BZ37),IF(COUNTIFS(JP_PAL,DATE(Planungsjahr,8,BZ37),JP_ShowPAL,TRUE)&gt;0,"P",IF(COUNTIF(Feiertage,DATE(Planungsjahr,8,BZ37))&gt;0,"h","")),"")</f>
        <v/>
      </c>
      <c r="CC38" s="159" t="str">
        <f>IF(ISNUMBER(CC37),IF(COUNTIFS(JP_StartSel,DATE(Planungsjahr,8,CC37),JP_ShowSel,TRUE)&gt;0,"S",IF(COUNTIF(Feiertage,DATE(Planungsjahr,8,CC37))&gt;0,"h","")),"")</f>
        <v/>
      </c>
      <c r="CD38" s="159" t="str">
        <f>IF(ISNUMBER(CC37),IF(COUNTIFS(JP_StartInhalt,DATE(Planungsjahr,8,CC37),JP_ShowInhalt,TRUE)&gt;0,"I",IF(COUNTIF(Feiertage,DATE(Planungsjahr,8,CC37))&gt;0,"h","")),"")</f>
        <v/>
      </c>
      <c r="CE38" s="159" t="str">
        <f>IF(ISNUMBER(CC37),IF(COUNTIFS(JP_PAL,DATE(Planungsjahr,8,CC37),JP_ShowPAL,TRUE)&gt;0,"P",IF(COUNTIF(Feiertage,DATE(Planungsjahr,8,CC37))&gt;0,"h","")),"")</f>
        <v/>
      </c>
      <c r="CF38" s="159" t="str">
        <f>IF(ISNUMBER(CF37),IF(COUNTIFS(JP_StartSel,DATE(Planungsjahr,8,CF37),JP_ShowSel,TRUE)&gt;0,"S",IF(COUNTIF(Feiertage,DATE(Planungsjahr,8,CF37))&gt;0,"h","")),"")</f>
        <v/>
      </c>
      <c r="CG38" s="159" t="str">
        <f>IF(ISNUMBER(CF37),IF(COUNTIFS(JP_StartInhalt,DATE(Planungsjahr,8,CF37),JP_ShowInhalt,TRUE)&gt;0,"I",IF(COUNTIF(Feiertage,DATE(Planungsjahr,8,CF37))&gt;0,"h","")),"")</f>
        <v/>
      </c>
      <c r="CH38" s="159" t="str">
        <f>IF(ISNUMBER(CF37),IF(COUNTIFS(JP_PAL,DATE(Planungsjahr,8,CF37),JP_ShowPAL,TRUE)&gt;0,"P",IF(COUNTIF(Feiertage,DATE(Planungsjahr,8,CF37))&gt;0,"h","")),"")</f>
        <v>P</v>
      </c>
      <c r="CI38" s="159" t="str">
        <f>IF(ISNUMBER(CI37),IF(COUNTIFS(JP_StartSel,DATE(Planungsjahr,8,CI37),JP_ShowSel,TRUE)&gt;0,"S",IF(COUNTIF(Feiertage,DATE(Planungsjahr,8,CI37))&gt;0,"h","w")),"")</f>
        <v>w</v>
      </c>
      <c r="CJ38" s="159" t="str">
        <f>IF(ISNUMBER(CI37),IF(COUNTIFS(JP_StartInhalt,DATE(Planungsjahr,8,CI37),JP_ShowInhalt,TRUE)&gt;0,"I",IF(COUNTIF(Feiertage,DATE(Planungsjahr,8,CI37))&gt;0,"h","w")),"")</f>
        <v>w</v>
      </c>
      <c r="CK38" s="159" t="str">
        <f>IF(ISNUMBER(CI37),IF(COUNTIFS(JP_PAL,DATE(Planungsjahr,8,CI37),JP_ShowPAL,TRUE)&gt;0,"P",IF(COUNTIF(Feiertage,DATE(Planungsjahr,8,CI37))&gt;0,"h","w")),"")</f>
        <v>w</v>
      </c>
      <c r="CL38" s="159" t="str">
        <f>IF(ISNUMBER(CL37),IF(COUNTIFS(JP_StartSel,DATE(Planungsjahr,8,CL37),JP_ShowSel,TRUE)&gt;0,"S",IF(COUNTIF(Feiertage,DATE(Planungsjahr,8,CL37))&gt;0,"h","w")),"")</f>
        <v>w</v>
      </c>
      <c r="CM38" s="159" t="str">
        <f>IF(ISNUMBER(CL37),IF(COUNTIFS(JP_StartInhalt,DATE(Planungsjahr,8,CL37),JP_ShowInhalt,TRUE)&gt;0,"I",IF(COUNTIF(Feiertage,DATE(Planungsjahr,8,CL37))&gt;0,"h","w")),"")</f>
        <v>w</v>
      </c>
      <c r="CN38" s="180" t="str">
        <f>IF(ISNUMBER(CL37),IF(COUNTIFS(JP_PAL,DATE(Planungsjahr,8,CL37),JP_ShowPAL,TRUE)&gt;0,"P",IF(COUNTIF(Feiertage,DATE(Planungsjahr,8,CL37))&gt;0,"h","w")),"")</f>
        <v>w</v>
      </c>
    </row>
    <row r="39" spans="2:92" ht="15.95" customHeight="1" x14ac:dyDescent="0.25">
      <c r="B39" s="177">
        <f>IF(OR(ISNUMBER(C39),ISNUMBER(U39)),_xlfn.ISOWEEKNUM(DATE(Planungsjahr,5,1)-WEEKDAY(DATE(Planungsjahr,5,1),2)+36),"")</f>
        <v>22</v>
      </c>
      <c r="C39" s="188">
        <f>IF(MONTH(DATE(Planungsjahr,5,1)-WEEKDAY(DATE(Planungsjahr,5,1),2)+36)=5,DAY(DATE(Planungsjahr,5,1)-WEEKDAY(DATE(Planungsjahr,5,1),2)+36),"")</f>
        <v>31</v>
      </c>
      <c r="D39" s="188"/>
      <c r="E39" s="188"/>
      <c r="F39" s="188" t="str">
        <f>IF(MONTH(DATE(Planungsjahr,5,1)-WEEKDAY(DATE(Planungsjahr,5,1),2)+37)=5,DAY(DATE(Planungsjahr,5,1)-WEEKDAY(DATE(Planungsjahr,5,1),2)+37),"")</f>
        <v/>
      </c>
      <c r="G39" s="188"/>
      <c r="H39" s="188"/>
      <c r="I39" s="188" t="str">
        <f>IF(MONTH(DATE(Planungsjahr,5,1)-WEEKDAY(DATE(Planungsjahr,5,1),2)+38)=5,DAY(DATE(Planungsjahr,5,1)-WEEKDAY(DATE(Planungsjahr,5,1),2)+38),"")</f>
        <v/>
      </c>
      <c r="J39" s="188"/>
      <c r="K39" s="188"/>
      <c r="L39" s="188" t="str">
        <f>IF(MONTH(DATE(Planungsjahr,5,1)-WEEKDAY(DATE(Planungsjahr,5,1),2)+39)=5,DAY(DATE(Planungsjahr,5,1)-WEEKDAY(DATE(Planungsjahr,5,1),2)+39),"")</f>
        <v/>
      </c>
      <c r="M39" s="188"/>
      <c r="N39" s="188"/>
      <c r="O39" s="188" t="str">
        <f>IF(MONTH(DATE(Planungsjahr,5,1)-WEEKDAY(DATE(Planungsjahr,5,1),2)+40)=5,DAY(DATE(Planungsjahr,5,1)-WEEKDAY(DATE(Planungsjahr,5,1),2)+40),"")</f>
        <v/>
      </c>
      <c r="P39" s="188"/>
      <c r="Q39" s="188"/>
      <c r="R39" s="188" t="str">
        <f>IF(MONTH(DATE(Planungsjahr,5,1)-WEEKDAY(DATE(Planungsjahr,5,1),2)+41)=5,DAY(DATE(Planungsjahr,5,1)-WEEKDAY(DATE(Planungsjahr,5,1),2)+41),"")</f>
        <v/>
      </c>
      <c r="S39" s="188"/>
      <c r="T39" s="188"/>
      <c r="U39" s="188" t="str">
        <f>IF(MONTH(DATE(Planungsjahr,5,1)-WEEKDAY(DATE(Planungsjahr,5,1),2)+42)=5,DAY(DATE(Planungsjahr,5,1)-WEEKDAY(DATE(Planungsjahr,5,1),2)+42),"")</f>
        <v/>
      </c>
      <c r="V39" s="188"/>
      <c r="W39" s="190"/>
      <c r="Y39" s="177" t="str">
        <f>IF(OR(ISNUMBER(Z39),ISNUMBER(AR39)),_xlfn.ISOWEEKNUM(DATE(Planungsjahr,6,1)-WEEKDAY(DATE(Planungsjahr,6,1),2)+36),"")</f>
        <v/>
      </c>
      <c r="Z39" s="188" t="str">
        <f>IF(MONTH(DATE(Planungsjahr,6,1)-WEEKDAY(DATE(Planungsjahr,6,1),2)+36)=6,DAY(DATE(Planungsjahr,6,1)-WEEKDAY(DATE(Planungsjahr,6,1),2)+36),"")</f>
        <v/>
      </c>
      <c r="AA39" s="188"/>
      <c r="AB39" s="188"/>
      <c r="AC39" s="188" t="str">
        <f>IF(MONTH(DATE(Planungsjahr,6,1)-WEEKDAY(DATE(Planungsjahr,6,1),2)+37)=6,DAY(DATE(Planungsjahr,6,1)-WEEKDAY(DATE(Planungsjahr,6,1),2)+37),"")</f>
        <v/>
      </c>
      <c r="AD39" s="188"/>
      <c r="AE39" s="188"/>
      <c r="AF39" s="188" t="str">
        <f>IF(MONTH(DATE(Planungsjahr,6,1)-WEEKDAY(DATE(Planungsjahr,6,1),2)+38)=6,DAY(DATE(Planungsjahr,6,1)-WEEKDAY(DATE(Planungsjahr,6,1),2)+38),"")</f>
        <v/>
      </c>
      <c r="AG39" s="188"/>
      <c r="AH39" s="188"/>
      <c r="AI39" s="188" t="str">
        <f>IF(MONTH(DATE(Planungsjahr,6,1)-WEEKDAY(DATE(Planungsjahr,6,1),2)+39)=6,DAY(DATE(Planungsjahr,6,1)-WEEKDAY(DATE(Planungsjahr,6,1),2)+39),"")</f>
        <v/>
      </c>
      <c r="AJ39" s="188"/>
      <c r="AK39" s="188"/>
      <c r="AL39" s="188" t="str">
        <f>IF(MONTH(DATE(Planungsjahr,6,1)-WEEKDAY(DATE(Planungsjahr,6,1),2)+40)=6,DAY(DATE(Planungsjahr,6,1)-WEEKDAY(DATE(Planungsjahr,6,1),2)+40),"")</f>
        <v/>
      </c>
      <c r="AM39" s="188"/>
      <c r="AN39" s="188"/>
      <c r="AO39" s="188" t="str">
        <f>IF(MONTH(DATE(Planungsjahr,6,1)-WEEKDAY(DATE(Planungsjahr,6,1),2)+41)=6,DAY(DATE(Planungsjahr,6,1)-WEEKDAY(DATE(Planungsjahr,6,1),2)+41),"")</f>
        <v/>
      </c>
      <c r="AP39" s="188"/>
      <c r="AQ39" s="188"/>
      <c r="AR39" s="188" t="str">
        <f>IF(MONTH(DATE(Planungsjahr,6,1)-WEEKDAY(DATE(Planungsjahr,6,1),2)+42)=6,DAY(DATE(Planungsjahr,6,1)-WEEKDAY(DATE(Planungsjahr,6,1),2)+42),"")</f>
        <v/>
      </c>
      <c r="AS39" s="188"/>
      <c r="AT39" s="190"/>
      <c r="AV39" s="177" t="str">
        <f>IF(OR(ISNUMBER(AW39),ISNUMBER(BO39)),_xlfn.ISOWEEKNUM(DATE(Planungsjahr,7,1)-WEEKDAY(DATE(Planungsjahr,7,1),2)+36),"")</f>
        <v/>
      </c>
      <c r="AW39" s="188" t="str">
        <f>IF(MONTH(DATE(Planungsjahr,7,1)-WEEKDAY(DATE(Planungsjahr,7,1),2)+36)=7,DAY(DATE(Planungsjahr,7,1)-WEEKDAY(DATE(Planungsjahr,7,1),2)+36),"")</f>
        <v/>
      </c>
      <c r="AX39" s="188"/>
      <c r="AY39" s="188"/>
      <c r="AZ39" s="188" t="str">
        <f>IF(MONTH(DATE(Planungsjahr,7,1)-WEEKDAY(DATE(Planungsjahr,7,1),2)+37)=7,DAY(DATE(Planungsjahr,7,1)-WEEKDAY(DATE(Planungsjahr,7,1),2)+37),"")</f>
        <v/>
      </c>
      <c r="BA39" s="188"/>
      <c r="BB39" s="188"/>
      <c r="BC39" s="188" t="str">
        <f>IF(MONTH(DATE(Planungsjahr,7,1)-WEEKDAY(DATE(Planungsjahr,7,1),2)+38)=7,DAY(DATE(Planungsjahr,7,1)-WEEKDAY(DATE(Planungsjahr,7,1),2)+38),"")</f>
        <v/>
      </c>
      <c r="BD39" s="188"/>
      <c r="BE39" s="188"/>
      <c r="BF39" s="188" t="str">
        <f>IF(MONTH(DATE(Planungsjahr,7,1)-WEEKDAY(DATE(Planungsjahr,7,1),2)+39)=7,DAY(DATE(Planungsjahr,7,1)-WEEKDAY(DATE(Planungsjahr,7,1),2)+39),"")</f>
        <v/>
      </c>
      <c r="BG39" s="188"/>
      <c r="BH39" s="188"/>
      <c r="BI39" s="188" t="str">
        <f>IF(MONTH(DATE(Planungsjahr,7,1)-WEEKDAY(DATE(Planungsjahr,7,1),2)+40)=7,DAY(DATE(Planungsjahr,7,1)-WEEKDAY(DATE(Planungsjahr,7,1),2)+40),"")</f>
        <v/>
      </c>
      <c r="BJ39" s="188"/>
      <c r="BK39" s="188"/>
      <c r="BL39" s="188" t="str">
        <f>IF(MONTH(DATE(Planungsjahr,7,1)-WEEKDAY(DATE(Planungsjahr,7,1),2)+41)=7,DAY(DATE(Planungsjahr,7,1)-WEEKDAY(DATE(Planungsjahr,7,1),2)+41),"")</f>
        <v/>
      </c>
      <c r="BM39" s="188"/>
      <c r="BN39" s="188"/>
      <c r="BO39" s="188" t="str">
        <f>IF(MONTH(DATE(Planungsjahr,7,1)-WEEKDAY(DATE(Planungsjahr,7,1),2)+42)=7,DAY(DATE(Planungsjahr,7,1)-WEEKDAY(DATE(Planungsjahr,7,1),2)+42),"")</f>
        <v/>
      </c>
      <c r="BP39" s="188"/>
      <c r="BQ39" s="190"/>
      <c r="BS39" s="177">
        <f>IF(OR(ISNUMBER(BT39),ISNUMBER(CL39)),_xlfn.ISOWEEKNUM(DATE(Planungsjahr,8,1)-WEEKDAY(DATE(Planungsjahr,8,1),2)+36),"")</f>
        <v>35</v>
      </c>
      <c r="BT39" s="188">
        <f>IF(MONTH(DATE(Planungsjahr,8,1)-WEEKDAY(DATE(Planungsjahr,8,1),2)+36)=8,DAY(DATE(Planungsjahr,8,1)-WEEKDAY(DATE(Planungsjahr,8,1),2)+36),"")</f>
        <v>30</v>
      </c>
      <c r="BU39" s="188"/>
      <c r="BV39" s="188"/>
      <c r="BW39" s="188">
        <f>IF(MONTH(DATE(Planungsjahr,8,1)-WEEKDAY(DATE(Planungsjahr,8,1),2)+37)=8,DAY(DATE(Planungsjahr,8,1)-WEEKDAY(DATE(Planungsjahr,8,1),2)+37),"")</f>
        <v>31</v>
      </c>
      <c r="BX39" s="188"/>
      <c r="BY39" s="188"/>
      <c r="BZ39" s="188" t="str">
        <f>IF(MONTH(DATE(Planungsjahr,8,1)-WEEKDAY(DATE(Planungsjahr,8,1),2)+38)=8,DAY(DATE(Planungsjahr,8,1)-WEEKDAY(DATE(Planungsjahr,8,1),2)+38),"")</f>
        <v/>
      </c>
      <c r="CA39" s="188"/>
      <c r="CB39" s="188"/>
      <c r="CC39" s="188" t="str">
        <f>IF(MONTH(DATE(Planungsjahr,8,1)-WEEKDAY(DATE(Planungsjahr,8,1),2)+39)=8,DAY(DATE(Planungsjahr,8,1)-WEEKDAY(DATE(Planungsjahr,8,1),2)+39),"")</f>
        <v/>
      </c>
      <c r="CD39" s="188"/>
      <c r="CE39" s="188"/>
      <c r="CF39" s="188" t="str">
        <f>IF(MONTH(DATE(Planungsjahr,8,1)-WEEKDAY(DATE(Planungsjahr,8,1),2)+40)=8,DAY(DATE(Planungsjahr,8,1)-WEEKDAY(DATE(Planungsjahr,8,1),2)+40),"")</f>
        <v/>
      </c>
      <c r="CG39" s="188"/>
      <c r="CH39" s="188"/>
      <c r="CI39" s="188" t="str">
        <f>IF(MONTH(DATE(Planungsjahr,8,1)-WEEKDAY(DATE(Planungsjahr,8,1),2)+41)=8,DAY(DATE(Planungsjahr,8,1)-WEEKDAY(DATE(Planungsjahr,8,1),2)+41),"")</f>
        <v/>
      </c>
      <c r="CJ39" s="188"/>
      <c r="CK39" s="188"/>
      <c r="CL39" s="188" t="str">
        <f>IF(MONTH(DATE(Planungsjahr,8,1)-WEEKDAY(DATE(Planungsjahr,8,1),2)+42)=8,DAY(DATE(Planungsjahr,8,1)-WEEKDAY(DATE(Planungsjahr,8,1),2)+42),"")</f>
        <v/>
      </c>
      <c r="CM39" s="188"/>
      <c r="CN39" s="190"/>
    </row>
    <row r="40" spans="2:92" ht="10.5" customHeight="1" x14ac:dyDescent="0.25">
      <c r="B40" s="181"/>
      <c r="C40" s="182" t="str">
        <f>IF(ISNUMBER(C39),IF(COUNTIFS(JP_StartSel,DATE(Planungsjahr,5,C39),JP_ShowSel,TRUE)&gt;0,"S",IF(COUNTIF(Feiertage,DATE(Planungsjahr,5,C39))&gt;0,"h","")),"")</f>
        <v/>
      </c>
      <c r="D40" s="182" t="str">
        <f>IF(ISNUMBER(C39),IF(COUNTIFS(JP_StartInhalt,DATE(Planungsjahr,5,C39),JP_ShowInhalt,TRUE)&gt;0,"I",IF(COUNTIF(Feiertage,DATE(Planungsjahr,5,C39))&gt;0,"h","")),"")</f>
        <v/>
      </c>
      <c r="E40" s="182" t="str">
        <f>IF(ISNUMBER(C39),IF(COUNTIFS(JP_PAL,DATE(Planungsjahr,5,C39),JP_ShowPAL,TRUE)&gt;0,"P",IF(COUNTIF(Feiertage,DATE(Planungsjahr,5,C39))&gt;0,"h","")),"")</f>
        <v/>
      </c>
      <c r="F40" s="182" t="str">
        <f>IF(ISNUMBER(F39),IF(COUNTIFS(JP_StartSel,DATE(Planungsjahr,5,F39),JP_ShowSel,TRUE)&gt;0,"S",IF(COUNTIF(Feiertage,DATE(Planungsjahr,5,F39))&gt;0,"h","")),"")</f>
        <v/>
      </c>
      <c r="G40" s="182" t="str">
        <f>IF(ISNUMBER(F39),IF(COUNTIFS(JP_StartInhalt,DATE(Planungsjahr,5,F39),JP_ShowInhalt,TRUE)&gt;0,"I",IF(COUNTIF(Feiertage,DATE(Planungsjahr,5,F39))&gt;0,"h","")),"")</f>
        <v/>
      </c>
      <c r="H40" s="182" t="str">
        <f>IF(ISNUMBER(F39),IF(COUNTIFS(JP_PAL,DATE(Planungsjahr,5,F39),JP_ShowPAL,TRUE)&gt;0,"P",IF(COUNTIF(Feiertage,DATE(Planungsjahr,5,F39))&gt;0,"h","")),"")</f>
        <v/>
      </c>
      <c r="I40" s="182" t="str">
        <f>IF(ISNUMBER(I39),IF(COUNTIFS(JP_StartSel,DATE(Planungsjahr,5,I39),JP_ShowSel,TRUE)&gt;0,"S",IF(COUNTIF(Feiertage,DATE(Planungsjahr,5,I39))&gt;0,"h","")),"")</f>
        <v/>
      </c>
      <c r="J40" s="182" t="str">
        <f>IF(ISNUMBER(I39),IF(COUNTIFS(JP_StartInhalt,DATE(Planungsjahr,5,I39),JP_ShowInhalt,TRUE)&gt;0,"I",IF(COUNTIF(Feiertage,DATE(Planungsjahr,5,I39))&gt;0,"h","")),"")</f>
        <v/>
      </c>
      <c r="K40" s="182" t="str">
        <f>IF(ISNUMBER(I39),IF(COUNTIFS(JP_PAL,DATE(Planungsjahr,5,I39),JP_ShowPAL,TRUE)&gt;0,"P",IF(COUNTIF(Feiertage,DATE(Planungsjahr,5,I39))&gt;0,"h","")),"")</f>
        <v/>
      </c>
      <c r="L40" s="182" t="str">
        <f>IF(ISNUMBER(L39),IF(COUNTIFS(JP_StartSel,DATE(Planungsjahr,5,L39),JP_ShowSel,TRUE)&gt;0,"S",IF(COUNTIF(Feiertage,DATE(Planungsjahr,5,L39))&gt;0,"h","")),"")</f>
        <v/>
      </c>
      <c r="M40" s="182" t="str">
        <f>IF(ISNUMBER(L39),IF(COUNTIFS(JP_StartInhalt,DATE(Planungsjahr,5,L39),JP_ShowInhalt,TRUE)&gt;0,"I",IF(COUNTIF(Feiertage,DATE(Planungsjahr,5,L39))&gt;0,"h","")),"")</f>
        <v/>
      </c>
      <c r="N40" s="182" t="str">
        <f>IF(ISNUMBER(L39),IF(COUNTIFS(JP_PAL,DATE(Planungsjahr,5,L39),JP_ShowPAL,TRUE)&gt;0,"P",IF(COUNTIF(Feiertage,DATE(Planungsjahr,5,L39))&gt;0,"h","")),"")</f>
        <v/>
      </c>
      <c r="O40" s="182" t="str">
        <f>IF(ISNUMBER(O39),IF(COUNTIFS(JP_StartSel,DATE(Planungsjahr,5,O39),JP_ShowSel,TRUE)&gt;0,"S",IF(COUNTIF(Feiertage,DATE(Planungsjahr,5,O39))&gt;0,"h","")),"")</f>
        <v/>
      </c>
      <c r="P40" s="182" t="str">
        <f>IF(ISNUMBER(O39),IF(COUNTIFS(JP_StartInhalt,DATE(Planungsjahr,5,O39),JP_ShowInhalt,TRUE)&gt;0,"I",IF(COUNTIF(Feiertage,DATE(Planungsjahr,5,O39))&gt;0,"h","")),"")</f>
        <v/>
      </c>
      <c r="Q40" s="182" t="str">
        <f>IF(ISNUMBER(O39),IF(COUNTIFS(JP_PAL,DATE(Planungsjahr,5,O39),JP_ShowPAL,TRUE)&gt;0,"P",IF(COUNTIF(Feiertage,DATE(Planungsjahr,5,O39))&gt;0,"h","")),"")</f>
        <v/>
      </c>
      <c r="R40" s="182" t="str">
        <f>IF(ISNUMBER(R39),IF(COUNTIFS(JP_StartSel,DATE(Planungsjahr,5,R39),JP_ShowSel,TRUE)&gt;0,"S",IF(COUNTIF(Feiertage,DATE(Planungsjahr,5,R39))&gt;0,"h","w")),"")</f>
        <v/>
      </c>
      <c r="S40" s="182" t="str">
        <f>IF(ISNUMBER(R39),IF(COUNTIFS(JP_StartInhalt,DATE(Planungsjahr,5,R39),JP_ShowInhalt,TRUE)&gt;0,"I",IF(COUNTIF(Feiertage,DATE(Planungsjahr,5,R39))&gt;0,"h","w")),"")</f>
        <v/>
      </c>
      <c r="T40" s="182" t="str">
        <f>IF(ISNUMBER(R39),IF(COUNTIFS(JP_PAL,DATE(Planungsjahr,5,R39),JP_ShowPAL,TRUE)&gt;0,"P",IF(COUNTIF(Feiertage,DATE(Planungsjahr,5,R39))&gt;0,"h","w")),"")</f>
        <v/>
      </c>
      <c r="U40" s="182" t="str">
        <f>IF(ISNUMBER(U39),IF(COUNTIFS(JP_StartSel,DATE(Planungsjahr,5,U39),JP_ShowSel,TRUE)&gt;0,"S",IF(COUNTIF(Feiertage,DATE(Planungsjahr,5,U39))&gt;0,"h","w")),"")</f>
        <v/>
      </c>
      <c r="V40" s="182" t="str">
        <f>IF(ISNUMBER(U39),IF(COUNTIFS(JP_StartInhalt,DATE(Planungsjahr,5,U39),JP_ShowInhalt,TRUE)&gt;0,"I",IF(COUNTIF(Feiertage,DATE(Planungsjahr,5,U39))&gt;0,"h","w")),"")</f>
        <v/>
      </c>
      <c r="W40" s="183" t="str">
        <f>IF(ISNUMBER(U39),IF(COUNTIFS(JP_PAL,DATE(Planungsjahr,5,U39),JP_ShowPAL,TRUE)&gt;0,"P",IF(COUNTIF(Feiertage,DATE(Planungsjahr,5,U39))&gt;0,"h","w")),"")</f>
        <v/>
      </c>
      <c r="Y40" s="181"/>
      <c r="Z40" s="182" t="str">
        <f>IF(ISNUMBER(Z39),IF(COUNTIFS(JP_StartSel,DATE(Planungsjahr,6,Z39),JP_ShowSel,TRUE)&gt;0,"S",IF(COUNTIF(Feiertage,DATE(Planungsjahr,6,Z39))&gt;0,"h","")),"")</f>
        <v/>
      </c>
      <c r="AA40" s="182" t="str">
        <f>IF(ISNUMBER(Z39),IF(COUNTIFS(JP_StartInhalt,DATE(Planungsjahr,6,Z39),JP_ShowInhalt,TRUE)&gt;0,"I",IF(COUNTIF(Feiertage,DATE(Planungsjahr,6,Z39))&gt;0,"h","")),"")</f>
        <v/>
      </c>
      <c r="AB40" s="182" t="str">
        <f>IF(ISNUMBER(Z39),IF(COUNTIFS(JP_PAL,DATE(Planungsjahr,6,Z39),JP_ShowPAL,TRUE)&gt;0,"P",IF(COUNTIF(Feiertage,DATE(Planungsjahr,6,Z39))&gt;0,"h","")),"")</f>
        <v/>
      </c>
      <c r="AC40" s="182" t="str">
        <f>IF(ISNUMBER(AC39),IF(COUNTIFS(JP_StartSel,DATE(Planungsjahr,6,AC39),JP_ShowSel,TRUE)&gt;0,"S",IF(COUNTIF(Feiertage,DATE(Planungsjahr,6,AC39))&gt;0,"h","")),"")</f>
        <v/>
      </c>
      <c r="AD40" s="182" t="str">
        <f>IF(ISNUMBER(AC39),IF(COUNTIFS(JP_StartInhalt,DATE(Planungsjahr,6,AC39),JP_ShowInhalt,TRUE)&gt;0,"I",IF(COUNTIF(Feiertage,DATE(Planungsjahr,6,AC39))&gt;0,"h","")),"")</f>
        <v/>
      </c>
      <c r="AE40" s="182" t="str">
        <f>IF(ISNUMBER(AC39),IF(COUNTIFS(JP_PAL,DATE(Planungsjahr,6,AC39),JP_ShowPAL,TRUE)&gt;0,"P",IF(COUNTIF(Feiertage,DATE(Planungsjahr,6,AC39))&gt;0,"h","")),"")</f>
        <v/>
      </c>
      <c r="AF40" s="182" t="str">
        <f>IF(ISNUMBER(AF39),IF(COUNTIFS(JP_StartSel,DATE(Planungsjahr,6,AF39),JP_ShowSel,TRUE)&gt;0,"S",IF(COUNTIF(Feiertage,DATE(Planungsjahr,6,AF39))&gt;0,"h","")),"")</f>
        <v/>
      </c>
      <c r="AG40" s="182" t="str">
        <f>IF(ISNUMBER(AF39),IF(COUNTIFS(JP_StartInhalt,DATE(Planungsjahr,6,AF39),JP_ShowInhalt,TRUE)&gt;0,"I",IF(COUNTIF(Feiertage,DATE(Planungsjahr,6,AF39))&gt;0,"h","")),"")</f>
        <v/>
      </c>
      <c r="AH40" s="182" t="str">
        <f>IF(ISNUMBER(AF39),IF(COUNTIFS(JP_PAL,DATE(Planungsjahr,6,AF39),JP_ShowPAL,TRUE)&gt;0,"P",IF(COUNTIF(Feiertage,DATE(Planungsjahr,6,AF39))&gt;0,"h","")),"")</f>
        <v/>
      </c>
      <c r="AI40" s="182" t="str">
        <f>IF(ISNUMBER(AI39),IF(COUNTIFS(JP_StartSel,DATE(Planungsjahr,6,AI39),JP_ShowSel,TRUE)&gt;0,"S",IF(COUNTIF(Feiertage,DATE(Planungsjahr,6,AI39))&gt;0,"h","")),"")</f>
        <v/>
      </c>
      <c r="AJ40" s="182" t="str">
        <f>IF(ISNUMBER(AI39),IF(COUNTIFS(JP_StartInhalt,DATE(Planungsjahr,6,AI39),JP_ShowInhalt,TRUE)&gt;0,"I",IF(COUNTIF(Feiertage,DATE(Planungsjahr,6,AI39))&gt;0,"h","")),"")</f>
        <v/>
      </c>
      <c r="AK40" s="182" t="str">
        <f>IF(ISNUMBER(AI39),IF(COUNTIFS(JP_PAL,DATE(Planungsjahr,6,AI39),JP_ShowPAL,TRUE)&gt;0,"P",IF(COUNTIF(Feiertage,DATE(Planungsjahr,6,AI39))&gt;0,"h","")),"")</f>
        <v/>
      </c>
      <c r="AL40" s="182" t="str">
        <f>IF(ISNUMBER(AL39),IF(COUNTIFS(JP_StartSel,DATE(Planungsjahr,6,AL39),JP_ShowSel,TRUE)&gt;0,"S",IF(COUNTIF(Feiertage,DATE(Planungsjahr,6,AL39))&gt;0,"h","")),"")</f>
        <v/>
      </c>
      <c r="AM40" s="182" t="str">
        <f>IF(ISNUMBER(AL39),IF(COUNTIFS(JP_StartInhalt,DATE(Planungsjahr,6,AL39),JP_ShowInhalt,TRUE)&gt;0,"I",IF(COUNTIF(Feiertage,DATE(Planungsjahr,6,AL39))&gt;0,"h","")),"")</f>
        <v/>
      </c>
      <c r="AN40" s="182" t="str">
        <f>IF(ISNUMBER(AL39),IF(COUNTIFS(JP_PAL,DATE(Planungsjahr,6,AL39),JP_ShowPAL,TRUE)&gt;0,"P",IF(COUNTIF(Feiertage,DATE(Planungsjahr,6,AL39))&gt;0,"h","")),"")</f>
        <v/>
      </c>
      <c r="AO40" s="182" t="str">
        <f>IF(ISNUMBER(AO39),IF(COUNTIFS(JP_StartSel,DATE(Planungsjahr,6,AO39),JP_ShowSel,TRUE)&gt;0,"S",IF(COUNTIF(Feiertage,DATE(Planungsjahr,6,AO39))&gt;0,"h","w")),"")</f>
        <v/>
      </c>
      <c r="AP40" s="182" t="str">
        <f>IF(ISNUMBER(AO39),IF(COUNTIFS(JP_StartInhalt,DATE(Planungsjahr,6,AO39),JP_ShowInhalt,TRUE)&gt;0,"I",IF(COUNTIF(Feiertage,DATE(Planungsjahr,6,AO39))&gt;0,"h","w")),"")</f>
        <v/>
      </c>
      <c r="AQ40" s="182" t="str">
        <f>IF(ISNUMBER(AO39),IF(COUNTIFS(JP_PAL,DATE(Planungsjahr,6,AO39),JP_ShowPAL,TRUE)&gt;0,"P",IF(COUNTIF(Feiertage,DATE(Planungsjahr,6,AO39))&gt;0,"h","w")),"")</f>
        <v/>
      </c>
      <c r="AR40" s="182" t="str">
        <f>IF(ISNUMBER(AR39),IF(COUNTIFS(JP_StartSel,DATE(Planungsjahr,6,AR39),JP_ShowSel,TRUE)&gt;0,"S",IF(COUNTIF(Feiertage,DATE(Planungsjahr,6,AR39))&gt;0,"h","w")),"")</f>
        <v/>
      </c>
      <c r="AS40" s="182" t="str">
        <f>IF(ISNUMBER(AR39),IF(COUNTIFS(JP_StartInhalt,DATE(Planungsjahr,6,AR39),JP_ShowInhalt,TRUE)&gt;0,"I",IF(COUNTIF(Feiertage,DATE(Planungsjahr,6,AR39))&gt;0,"h","w")),"")</f>
        <v/>
      </c>
      <c r="AT40" s="183" t="str">
        <f>IF(ISNUMBER(AR39),IF(COUNTIFS(JP_PAL,DATE(Planungsjahr,6,AR39),JP_ShowPAL,TRUE)&gt;0,"P",IF(COUNTIF(Feiertage,DATE(Planungsjahr,6,AR39))&gt;0,"h","w")),"")</f>
        <v/>
      </c>
      <c r="AV40" s="181"/>
      <c r="AW40" s="182" t="str">
        <f>IF(ISNUMBER(AW39),IF(COUNTIFS(JP_StartSel,DATE(Planungsjahr,7,AW39),JP_ShowSel,TRUE)&gt;0,"S",IF(COUNTIF(Feiertage,DATE(Planungsjahr,7,AW39))&gt;0,"h","")),"")</f>
        <v/>
      </c>
      <c r="AX40" s="182" t="str">
        <f>IF(ISNUMBER(AW39),IF(COUNTIFS(JP_StartInhalt,DATE(Planungsjahr,7,AW39),JP_ShowInhalt,TRUE)&gt;0,"I",IF(COUNTIF(Feiertage,DATE(Planungsjahr,7,AW39))&gt;0,"h","")),"")</f>
        <v/>
      </c>
      <c r="AY40" s="182" t="str">
        <f>IF(ISNUMBER(AW39),IF(COUNTIFS(JP_PAL,DATE(Planungsjahr,7,AW39),JP_ShowPAL,TRUE)&gt;0,"P",IF(COUNTIF(Feiertage,DATE(Planungsjahr,7,AW39))&gt;0,"h","")),"")</f>
        <v/>
      </c>
      <c r="AZ40" s="182" t="str">
        <f>IF(ISNUMBER(AZ39),IF(COUNTIFS(JP_StartSel,DATE(Planungsjahr,7,AZ39),JP_ShowSel,TRUE)&gt;0,"S",IF(COUNTIF(Feiertage,DATE(Planungsjahr,7,AZ39))&gt;0,"h","")),"")</f>
        <v/>
      </c>
      <c r="BA40" s="182" t="str">
        <f>IF(ISNUMBER(AZ39),IF(COUNTIFS(JP_StartInhalt,DATE(Planungsjahr,7,AZ39),JP_ShowInhalt,TRUE)&gt;0,"I",IF(COUNTIF(Feiertage,DATE(Planungsjahr,7,AZ39))&gt;0,"h","")),"")</f>
        <v/>
      </c>
      <c r="BB40" s="182" t="str">
        <f>IF(ISNUMBER(AZ39),IF(COUNTIFS(JP_PAL,DATE(Planungsjahr,7,AZ39),JP_ShowPAL,TRUE)&gt;0,"P",IF(COUNTIF(Feiertage,DATE(Planungsjahr,7,AZ39))&gt;0,"h","")),"")</f>
        <v/>
      </c>
      <c r="BC40" s="182" t="str">
        <f>IF(ISNUMBER(BC39),IF(COUNTIFS(JP_StartSel,DATE(Planungsjahr,7,BC39),JP_ShowSel,TRUE)&gt;0,"S",IF(COUNTIF(Feiertage,DATE(Planungsjahr,7,BC39))&gt;0,"h","")),"")</f>
        <v/>
      </c>
      <c r="BD40" s="182" t="str">
        <f>IF(ISNUMBER(BC39),IF(COUNTIFS(JP_StartInhalt,DATE(Planungsjahr,7,BC39),JP_ShowInhalt,TRUE)&gt;0,"I",IF(COUNTIF(Feiertage,DATE(Planungsjahr,7,BC39))&gt;0,"h","")),"")</f>
        <v/>
      </c>
      <c r="BE40" s="182" t="str">
        <f>IF(ISNUMBER(BC39),IF(COUNTIFS(JP_PAL,DATE(Planungsjahr,7,BC39),JP_ShowPAL,TRUE)&gt;0,"P",IF(COUNTIF(Feiertage,DATE(Planungsjahr,7,BC39))&gt;0,"h","")),"")</f>
        <v/>
      </c>
      <c r="BF40" s="182" t="str">
        <f>IF(ISNUMBER(BF39),IF(COUNTIFS(JP_StartSel,DATE(Planungsjahr,7,BF39),JP_ShowSel,TRUE)&gt;0,"S",IF(COUNTIF(Feiertage,DATE(Planungsjahr,7,BF39))&gt;0,"h","")),"")</f>
        <v/>
      </c>
      <c r="BG40" s="182" t="str">
        <f>IF(ISNUMBER(BF39),IF(COUNTIFS(JP_StartInhalt,DATE(Planungsjahr,7,BF39),JP_ShowInhalt,TRUE)&gt;0,"I",IF(COUNTIF(Feiertage,DATE(Planungsjahr,7,BF39))&gt;0,"h","")),"")</f>
        <v/>
      </c>
      <c r="BH40" s="182" t="str">
        <f>IF(ISNUMBER(BF39),IF(COUNTIFS(JP_PAL,DATE(Planungsjahr,7,BF39),JP_ShowPAL,TRUE)&gt;0,"P",IF(COUNTIF(Feiertage,DATE(Planungsjahr,7,BF39))&gt;0,"h","")),"")</f>
        <v/>
      </c>
      <c r="BI40" s="182" t="str">
        <f>IF(ISNUMBER(BI39),IF(COUNTIFS(JP_StartSel,DATE(Planungsjahr,7,BI39),JP_ShowSel,TRUE)&gt;0,"S",IF(COUNTIF(Feiertage,DATE(Planungsjahr,7,BI39))&gt;0,"h","")),"")</f>
        <v/>
      </c>
      <c r="BJ40" s="182" t="str">
        <f>IF(ISNUMBER(BI39),IF(COUNTIFS(JP_StartInhalt,DATE(Planungsjahr,7,BI39),JP_ShowInhalt,TRUE)&gt;0,"I",IF(COUNTIF(Feiertage,DATE(Planungsjahr,7,BI39))&gt;0,"h","")),"")</f>
        <v/>
      </c>
      <c r="BK40" s="182" t="str">
        <f>IF(ISNUMBER(BI39),IF(COUNTIFS(JP_PAL,DATE(Planungsjahr,7,BI39),JP_ShowPAL,TRUE)&gt;0,"P",IF(COUNTIF(Feiertage,DATE(Planungsjahr,7,BI39))&gt;0,"h","")),"")</f>
        <v/>
      </c>
      <c r="BL40" s="182" t="str">
        <f>IF(ISNUMBER(BL39),IF(COUNTIFS(JP_StartSel,DATE(Planungsjahr,7,BL39),JP_ShowSel,TRUE)&gt;0,"S",IF(COUNTIF(Feiertage,DATE(Planungsjahr,7,BL39))&gt;0,"h","w")),"")</f>
        <v/>
      </c>
      <c r="BM40" s="182" t="str">
        <f>IF(ISNUMBER(BL39),IF(COUNTIFS(JP_StartInhalt,DATE(Planungsjahr,7,BL39),JP_ShowInhalt,TRUE)&gt;0,"I",IF(COUNTIF(Feiertage,DATE(Planungsjahr,7,BL39))&gt;0,"h","w")),"")</f>
        <v/>
      </c>
      <c r="BN40" s="182" t="str">
        <f>IF(ISNUMBER(BL39),IF(COUNTIFS(JP_PAL,DATE(Planungsjahr,7,BL39),JP_ShowPAL,TRUE)&gt;0,"P",IF(COUNTIF(Feiertage,DATE(Planungsjahr,7,BL39))&gt;0,"h","w")),"")</f>
        <v/>
      </c>
      <c r="BO40" s="182" t="str">
        <f>IF(ISNUMBER(BO39),IF(COUNTIFS(JP_StartSel,DATE(Planungsjahr,7,BO39),JP_ShowSel,TRUE)&gt;0,"S",IF(COUNTIF(Feiertage,DATE(Planungsjahr,7,BO39))&gt;0,"h","w")),"")</f>
        <v/>
      </c>
      <c r="BP40" s="182" t="str">
        <f>IF(ISNUMBER(BO39),IF(COUNTIFS(JP_StartInhalt,DATE(Planungsjahr,7,BO39),JP_ShowInhalt,TRUE)&gt;0,"I",IF(COUNTIF(Feiertage,DATE(Planungsjahr,7,BO39))&gt;0,"h","w")),"")</f>
        <v/>
      </c>
      <c r="BQ40" s="183" t="str">
        <f>IF(ISNUMBER(BO39),IF(COUNTIFS(JP_PAL,DATE(Planungsjahr,7,BO39),JP_ShowPAL,TRUE)&gt;0,"P",IF(COUNTIF(Feiertage,DATE(Planungsjahr,7,BO39))&gt;0,"h","w")),"")</f>
        <v/>
      </c>
      <c r="BS40" s="181"/>
      <c r="BT40" s="182" t="str">
        <f>IF(ISNUMBER(BT39),IF(COUNTIFS(JP_StartSel,DATE(Planungsjahr,8,BT39),JP_ShowSel,TRUE)&gt;0,"S",IF(COUNTIF(Feiertage,DATE(Planungsjahr,8,BT39))&gt;0,"h","")),"")</f>
        <v/>
      </c>
      <c r="BU40" s="182" t="str">
        <f>IF(ISNUMBER(BT39),IF(COUNTIFS(JP_StartInhalt,DATE(Planungsjahr,8,BT39),JP_ShowInhalt,TRUE)&gt;0,"I",IF(COUNTIF(Feiertage,DATE(Planungsjahr,8,BT39))&gt;0,"h","")),"")</f>
        <v/>
      </c>
      <c r="BV40" s="182" t="str">
        <f>IF(ISNUMBER(BT39),IF(COUNTIFS(JP_PAL,DATE(Planungsjahr,8,BT39),JP_ShowPAL,TRUE)&gt;0,"P",IF(COUNTIF(Feiertage,DATE(Planungsjahr,8,BT39))&gt;0,"h","")),"")</f>
        <v/>
      </c>
      <c r="BW40" s="182" t="str">
        <f>IF(ISNUMBER(BW39),IF(COUNTIFS(JP_StartSel,DATE(Planungsjahr,8,BW39),JP_ShowSel,TRUE)&gt;0,"S",IF(COUNTIF(Feiertage,DATE(Planungsjahr,8,BW39))&gt;0,"h","")),"")</f>
        <v/>
      </c>
      <c r="BX40" s="182" t="str">
        <f>IF(ISNUMBER(BW39),IF(COUNTIFS(JP_StartInhalt,DATE(Planungsjahr,8,BW39),JP_ShowInhalt,TRUE)&gt;0,"I",IF(COUNTIF(Feiertage,DATE(Planungsjahr,8,BW39))&gt;0,"h","")),"")</f>
        <v/>
      </c>
      <c r="BY40" s="182" t="str">
        <f>IF(ISNUMBER(BW39),IF(COUNTIFS(JP_PAL,DATE(Planungsjahr,8,BW39),JP_ShowPAL,TRUE)&gt;0,"P",IF(COUNTIF(Feiertage,DATE(Planungsjahr,8,BW39))&gt;0,"h","")),"")</f>
        <v/>
      </c>
      <c r="BZ40" s="182" t="str">
        <f>IF(ISNUMBER(BZ39),IF(COUNTIFS(JP_StartSel,DATE(Planungsjahr,8,BZ39),JP_ShowSel,TRUE)&gt;0,"S",IF(COUNTIF(Feiertage,DATE(Planungsjahr,8,BZ39))&gt;0,"h","")),"")</f>
        <v/>
      </c>
      <c r="CA40" s="182" t="str">
        <f>IF(ISNUMBER(BZ39),IF(COUNTIFS(JP_StartInhalt,DATE(Planungsjahr,8,BZ39),JP_ShowInhalt,TRUE)&gt;0,"I",IF(COUNTIF(Feiertage,DATE(Planungsjahr,8,BZ39))&gt;0,"h","")),"")</f>
        <v/>
      </c>
      <c r="CB40" s="182" t="str">
        <f>IF(ISNUMBER(BZ39),IF(COUNTIFS(JP_PAL,DATE(Planungsjahr,8,BZ39),JP_ShowPAL,TRUE)&gt;0,"P",IF(COUNTIF(Feiertage,DATE(Planungsjahr,8,BZ39))&gt;0,"h","")),"")</f>
        <v/>
      </c>
      <c r="CC40" s="182" t="str">
        <f>IF(ISNUMBER(CC39),IF(COUNTIFS(JP_StartSel,DATE(Planungsjahr,8,CC39),JP_ShowSel,TRUE)&gt;0,"S",IF(COUNTIF(Feiertage,DATE(Planungsjahr,8,CC39))&gt;0,"h","")),"")</f>
        <v/>
      </c>
      <c r="CD40" s="182" t="str">
        <f>IF(ISNUMBER(CC39),IF(COUNTIFS(JP_StartInhalt,DATE(Planungsjahr,8,CC39),JP_ShowInhalt,TRUE)&gt;0,"I",IF(COUNTIF(Feiertage,DATE(Planungsjahr,8,CC39))&gt;0,"h","")),"")</f>
        <v/>
      </c>
      <c r="CE40" s="182" t="str">
        <f>IF(ISNUMBER(CC39),IF(COUNTIFS(JP_PAL,DATE(Planungsjahr,8,CC39),JP_ShowPAL,TRUE)&gt;0,"P",IF(COUNTIF(Feiertage,DATE(Planungsjahr,8,CC39))&gt;0,"h","")),"")</f>
        <v/>
      </c>
      <c r="CF40" s="182" t="str">
        <f>IF(ISNUMBER(CF39),IF(COUNTIFS(JP_StartSel,DATE(Planungsjahr,8,CF39),JP_ShowSel,TRUE)&gt;0,"S",IF(COUNTIF(Feiertage,DATE(Planungsjahr,8,CF39))&gt;0,"h","")),"")</f>
        <v/>
      </c>
      <c r="CG40" s="182" t="str">
        <f>IF(ISNUMBER(CF39),IF(COUNTIFS(JP_StartInhalt,DATE(Planungsjahr,8,CF39),JP_ShowInhalt,TRUE)&gt;0,"I",IF(COUNTIF(Feiertage,DATE(Planungsjahr,8,CF39))&gt;0,"h","")),"")</f>
        <v/>
      </c>
      <c r="CH40" s="182" t="str">
        <f>IF(ISNUMBER(CF39),IF(COUNTIFS(JP_PAL,DATE(Planungsjahr,8,CF39),JP_ShowPAL,TRUE)&gt;0,"P",IF(COUNTIF(Feiertage,DATE(Planungsjahr,8,CF39))&gt;0,"h","")),"")</f>
        <v/>
      </c>
      <c r="CI40" s="182" t="str">
        <f>IF(ISNUMBER(CI39),IF(COUNTIFS(JP_StartSel,DATE(Planungsjahr,8,CI39),JP_ShowSel,TRUE)&gt;0,"S",IF(COUNTIF(Feiertage,DATE(Planungsjahr,8,CI39))&gt;0,"h","w")),"")</f>
        <v/>
      </c>
      <c r="CJ40" s="182" t="str">
        <f>IF(ISNUMBER(CI39),IF(COUNTIFS(JP_StartInhalt,DATE(Planungsjahr,8,CI39),JP_ShowInhalt,TRUE)&gt;0,"I",IF(COUNTIF(Feiertage,DATE(Planungsjahr,8,CI39))&gt;0,"h","w")),"")</f>
        <v/>
      </c>
      <c r="CK40" s="182" t="str">
        <f>IF(ISNUMBER(CI39),IF(COUNTIFS(JP_PAL,DATE(Planungsjahr,8,CI39),JP_ShowPAL,TRUE)&gt;0,"P",IF(COUNTIF(Feiertage,DATE(Planungsjahr,8,CI39))&gt;0,"h","w")),"")</f>
        <v/>
      </c>
      <c r="CL40" s="182" t="str">
        <f>IF(ISNUMBER(CL39),IF(COUNTIFS(JP_StartSel,DATE(Planungsjahr,8,CL39),JP_ShowSel,TRUE)&gt;0,"S",IF(COUNTIF(Feiertage,DATE(Planungsjahr,8,CL39))&gt;0,"h","w")),"")</f>
        <v/>
      </c>
      <c r="CM40" s="182" t="str">
        <f>IF(ISNUMBER(CL39),IF(COUNTIFS(JP_StartInhalt,DATE(Planungsjahr,8,CL39),JP_ShowInhalt,TRUE)&gt;0,"I",IF(COUNTIF(Feiertage,DATE(Planungsjahr,8,CL39))&gt;0,"h","w")),"")</f>
        <v/>
      </c>
      <c r="CN40" s="183" t="str">
        <f>IF(ISNUMBER(CL39),IF(COUNTIFS(JP_PAL,DATE(Planungsjahr,8,CL39),JP_ShowPAL,TRUE)&gt;0,"P",IF(COUNTIF(Feiertage,DATE(Planungsjahr,8,CL39))&gt;0,"h","w")),"")</f>
        <v/>
      </c>
    </row>
    <row r="41" spans="2:92" ht="21.95" customHeight="1" x14ac:dyDescent="0.25">
      <c r="B41" s="184" t="str">
        <f t="array" ref="B41">_xlfn.TEXTJOIN("  ·  ",TRUE,IF(MONTH(Feiertage)=5,TEXT(DAY(Feiertage),"00")&amp;"."&amp;TEXT(MONTH(Feiertage),"00")&amp;". "&amp;Feiertage_Name,""))</f>
        <v>01.05. Tag der Arbeit  ·  06.05. Christi Himmelfahrt  ·  17.05. Pfingstmontag  ·  27.05. Fronleichnam</v>
      </c>
      <c r="C41" s="184"/>
      <c r="D41" s="184"/>
      <c r="E41" s="184"/>
      <c r="F41" s="184"/>
      <c r="G41" s="184"/>
      <c r="H41" s="184"/>
      <c r="I41" s="184"/>
      <c r="J41" s="184"/>
      <c r="K41" s="184"/>
      <c r="L41" s="184"/>
      <c r="M41" s="184"/>
      <c r="N41" s="184"/>
      <c r="O41" s="184"/>
      <c r="P41" s="184"/>
      <c r="Q41" s="184"/>
      <c r="R41" s="184"/>
      <c r="S41" s="184"/>
      <c r="T41" s="184"/>
      <c r="U41" s="184"/>
      <c r="V41" s="184"/>
      <c r="W41" s="184"/>
      <c r="Y41" s="184" t="str">
        <f t="array" ref="Y41">_xlfn.TEXTJOIN("  ·  ",TRUE,IF(MONTH(Feiertage)=6,TEXT(DAY(Feiertage),"00")&amp;"."&amp;TEXT(MONTH(Feiertage),"00")&amp;". "&amp;Feiertage_Name,""))</f>
        <v/>
      </c>
      <c r="Z41" s="184"/>
      <c r="AA41" s="184"/>
      <c r="AB41" s="184"/>
      <c r="AC41" s="184"/>
      <c r="AD41" s="184"/>
      <c r="AE41" s="184"/>
      <c r="AF41" s="184"/>
      <c r="AG41" s="184"/>
      <c r="AH41" s="184"/>
      <c r="AI41" s="184"/>
      <c r="AJ41" s="184"/>
      <c r="AK41" s="184"/>
      <c r="AL41" s="184"/>
      <c r="AM41" s="184"/>
      <c r="AN41" s="184"/>
      <c r="AO41" s="184"/>
      <c r="AP41" s="184"/>
      <c r="AQ41" s="184"/>
      <c r="AR41" s="184"/>
      <c r="AS41" s="184"/>
      <c r="AT41" s="184"/>
      <c r="AV41" s="184" t="str">
        <f t="array" ref="AV41">_xlfn.TEXTJOIN("  ·  ",TRUE,IF(MONTH(Feiertage)=7,TEXT(DAY(Feiertage),"00")&amp;"."&amp;TEXT(MONTH(Feiertage),"00")&amp;". "&amp;Feiertage_Name,""))</f>
        <v/>
      </c>
      <c r="AW41" s="184"/>
      <c r="AX41" s="184"/>
      <c r="AY41" s="184"/>
      <c r="AZ41" s="184"/>
      <c r="BA41" s="184"/>
      <c r="BB41" s="184"/>
      <c r="BC41" s="184"/>
      <c r="BD41" s="184"/>
      <c r="BE41" s="184"/>
      <c r="BF41" s="184"/>
      <c r="BG41" s="184"/>
      <c r="BH41" s="184"/>
      <c r="BI41" s="184"/>
      <c r="BJ41" s="184"/>
      <c r="BK41" s="184"/>
      <c r="BL41" s="184"/>
      <c r="BM41" s="184"/>
      <c r="BN41" s="184"/>
      <c r="BO41" s="184"/>
      <c r="BP41" s="184"/>
      <c r="BQ41" s="184"/>
      <c r="BS41" s="184" t="str">
        <f t="array" ref="BS41">_xlfn.TEXTJOIN("  ·  ",TRUE,IF(MONTH(Feiertage)=8,TEXT(DAY(Feiertage),"00")&amp;"."&amp;TEXT(MONTH(Feiertage),"00")&amp;". "&amp;Feiertage_Name,""))</f>
        <v/>
      </c>
      <c r="BT41" s="184"/>
      <c r="BU41" s="184"/>
      <c r="BV41" s="184"/>
      <c r="BW41" s="184"/>
      <c r="BX41" s="184"/>
      <c r="BY41" s="184"/>
      <c r="BZ41" s="184"/>
      <c r="CA41" s="184"/>
      <c r="CB41" s="184"/>
      <c r="CC41" s="184"/>
      <c r="CD41" s="184"/>
      <c r="CE41" s="184"/>
      <c r="CF41" s="184"/>
      <c r="CG41" s="184"/>
      <c r="CH41" s="184"/>
      <c r="CI41" s="184"/>
      <c r="CJ41" s="184"/>
      <c r="CK41" s="184"/>
      <c r="CL41" s="184"/>
      <c r="CM41" s="184"/>
      <c r="CN41" s="184"/>
    </row>
    <row r="42" spans="2:92" ht="8.1" customHeight="1" x14ac:dyDescent="0.25"/>
    <row r="43" spans="2:92" ht="20.100000000000001" customHeight="1" x14ac:dyDescent="0.25">
      <c r="B43" s="172" t="str">
        <f>"September "&amp;Planungsjahr</f>
        <v>September 2027</v>
      </c>
      <c r="C43" s="173"/>
      <c r="D43" s="173"/>
      <c r="E43" s="173"/>
      <c r="F43" s="173"/>
      <c r="G43" s="173"/>
      <c r="H43" s="173"/>
      <c r="I43" s="173"/>
      <c r="J43" s="173"/>
      <c r="K43" s="173"/>
      <c r="L43" s="173"/>
      <c r="M43" s="173"/>
      <c r="N43" s="173"/>
      <c r="O43" s="173"/>
      <c r="P43" s="173"/>
      <c r="Q43" s="173"/>
      <c r="R43" s="173"/>
      <c r="S43" s="173"/>
      <c r="T43" s="173"/>
      <c r="U43" s="173"/>
      <c r="V43" s="173"/>
      <c r="W43" s="174"/>
      <c r="Y43" s="172" t="str">
        <f>"Oktober "&amp;Planungsjahr</f>
        <v>Oktober 2027</v>
      </c>
      <c r="Z43" s="173"/>
      <c r="AA43" s="173"/>
      <c r="AB43" s="173"/>
      <c r="AC43" s="173"/>
      <c r="AD43" s="173"/>
      <c r="AE43" s="173"/>
      <c r="AF43" s="173"/>
      <c r="AG43" s="173"/>
      <c r="AH43" s="173"/>
      <c r="AI43" s="173"/>
      <c r="AJ43" s="173"/>
      <c r="AK43" s="173"/>
      <c r="AL43" s="173"/>
      <c r="AM43" s="173"/>
      <c r="AN43" s="173"/>
      <c r="AO43" s="173"/>
      <c r="AP43" s="173"/>
      <c r="AQ43" s="173"/>
      <c r="AR43" s="173"/>
      <c r="AS43" s="173"/>
      <c r="AT43" s="174"/>
      <c r="AV43" s="172" t="str">
        <f>"November "&amp;Planungsjahr</f>
        <v>November 2027</v>
      </c>
      <c r="AW43" s="173"/>
      <c r="AX43" s="173"/>
      <c r="AY43" s="173"/>
      <c r="AZ43" s="173"/>
      <c r="BA43" s="173"/>
      <c r="BB43" s="173"/>
      <c r="BC43" s="173"/>
      <c r="BD43" s="173"/>
      <c r="BE43" s="173"/>
      <c r="BF43" s="173"/>
      <c r="BG43" s="173"/>
      <c r="BH43" s="173"/>
      <c r="BI43" s="173"/>
      <c r="BJ43" s="173"/>
      <c r="BK43" s="173"/>
      <c r="BL43" s="173"/>
      <c r="BM43" s="173"/>
      <c r="BN43" s="173"/>
      <c r="BO43" s="173"/>
      <c r="BP43" s="173"/>
      <c r="BQ43" s="174"/>
      <c r="BS43" s="172" t="str">
        <f>"Dezember "&amp;Planungsjahr</f>
        <v>Dezember 2027</v>
      </c>
      <c r="BT43" s="173"/>
      <c r="BU43" s="173"/>
      <c r="BV43" s="173"/>
      <c r="BW43" s="173"/>
      <c r="BX43" s="173"/>
      <c r="BY43" s="173"/>
      <c r="BZ43" s="173"/>
      <c r="CA43" s="173"/>
      <c r="CB43" s="173"/>
      <c r="CC43" s="173"/>
      <c r="CD43" s="173"/>
      <c r="CE43" s="173"/>
      <c r="CF43" s="173"/>
      <c r="CG43" s="173"/>
      <c r="CH43" s="173"/>
      <c r="CI43" s="173"/>
      <c r="CJ43" s="173"/>
      <c r="CK43" s="173"/>
      <c r="CL43" s="173"/>
      <c r="CM43" s="173"/>
      <c r="CN43" s="174"/>
    </row>
    <row r="44" spans="2:92" ht="14.1" customHeight="1" x14ac:dyDescent="0.25">
      <c r="B44" s="175" t="s">
        <v>72</v>
      </c>
      <c r="C44" s="191" t="s">
        <v>73</v>
      </c>
      <c r="D44" s="191"/>
      <c r="E44" s="191"/>
      <c r="F44" s="191" t="s">
        <v>74</v>
      </c>
      <c r="G44" s="191"/>
      <c r="H44" s="191"/>
      <c r="I44" s="191" t="s">
        <v>75</v>
      </c>
      <c r="J44" s="191"/>
      <c r="K44" s="191"/>
      <c r="L44" s="191" t="s">
        <v>76</v>
      </c>
      <c r="M44" s="191"/>
      <c r="N44" s="191"/>
      <c r="O44" s="191" t="s">
        <v>77</v>
      </c>
      <c r="P44" s="191"/>
      <c r="Q44" s="191"/>
      <c r="R44" s="191" t="s">
        <v>78</v>
      </c>
      <c r="S44" s="191"/>
      <c r="T44" s="191"/>
      <c r="U44" s="191" t="s">
        <v>79</v>
      </c>
      <c r="V44" s="191"/>
      <c r="W44" s="193"/>
      <c r="Y44" s="175" t="s">
        <v>72</v>
      </c>
      <c r="Z44" s="191" t="s">
        <v>73</v>
      </c>
      <c r="AA44" s="191"/>
      <c r="AB44" s="191"/>
      <c r="AC44" s="191" t="s">
        <v>74</v>
      </c>
      <c r="AD44" s="191"/>
      <c r="AE44" s="191"/>
      <c r="AF44" s="191" t="s">
        <v>75</v>
      </c>
      <c r="AG44" s="191"/>
      <c r="AH44" s="191"/>
      <c r="AI44" s="191" t="s">
        <v>76</v>
      </c>
      <c r="AJ44" s="191"/>
      <c r="AK44" s="191"/>
      <c r="AL44" s="191" t="s">
        <v>77</v>
      </c>
      <c r="AM44" s="191"/>
      <c r="AN44" s="191"/>
      <c r="AO44" s="191" t="s">
        <v>78</v>
      </c>
      <c r="AP44" s="191"/>
      <c r="AQ44" s="191"/>
      <c r="AR44" s="191" t="s">
        <v>79</v>
      </c>
      <c r="AS44" s="191"/>
      <c r="AT44" s="193"/>
      <c r="AV44" s="175" t="s">
        <v>72</v>
      </c>
      <c r="AW44" s="191" t="s">
        <v>73</v>
      </c>
      <c r="AX44" s="191"/>
      <c r="AY44" s="191"/>
      <c r="AZ44" s="191" t="s">
        <v>74</v>
      </c>
      <c r="BA44" s="191"/>
      <c r="BB44" s="191"/>
      <c r="BC44" s="191" t="s">
        <v>75</v>
      </c>
      <c r="BD44" s="191"/>
      <c r="BE44" s="191"/>
      <c r="BF44" s="191" t="s">
        <v>76</v>
      </c>
      <c r="BG44" s="191"/>
      <c r="BH44" s="191"/>
      <c r="BI44" s="191" t="s">
        <v>77</v>
      </c>
      <c r="BJ44" s="191"/>
      <c r="BK44" s="191"/>
      <c r="BL44" s="191" t="s">
        <v>78</v>
      </c>
      <c r="BM44" s="191"/>
      <c r="BN44" s="191"/>
      <c r="BO44" s="191" t="s">
        <v>79</v>
      </c>
      <c r="BP44" s="191"/>
      <c r="BQ44" s="193"/>
      <c r="BS44" s="175" t="s">
        <v>72</v>
      </c>
      <c r="BT44" s="191" t="s">
        <v>73</v>
      </c>
      <c r="BU44" s="191"/>
      <c r="BV44" s="191"/>
      <c r="BW44" s="191" t="s">
        <v>74</v>
      </c>
      <c r="BX44" s="191"/>
      <c r="BY44" s="191"/>
      <c r="BZ44" s="191" t="s">
        <v>75</v>
      </c>
      <c r="CA44" s="191"/>
      <c r="CB44" s="191"/>
      <c r="CC44" s="191" t="s">
        <v>76</v>
      </c>
      <c r="CD44" s="191"/>
      <c r="CE44" s="191"/>
      <c r="CF44" s="191" t="s">
        <v>77</v>
      </c>
      <c r="CG44" s="191"/>
      <c r="CH44" s="191"/>
      <c r="CI44" s="191" t="s">
        <v>78</v>
      </c>
      <c r="CJ44" s="191"/>
      <c r="CK44" s="191"/>
      <c r="CL44" s="191" t="s">
        <v>79</v>
      </c>
      <c r="CM44" s="191"/>
      <c r="CN44" s="193"/>
    </row>
    <row r="45" spans="2:92" ht="15.95" customHeight="1" x14ac:dyDescent="0.25">
      <c r="B45" s="177">
        <f>IF(OR(ISNUMBER(C45),ISNUMBER(U45)),_xlfn.ISOWEEKNUM(DATE(Planungsjahr,9,1)-WEEKDAY(DATE(Planungsjahr,9,1),2)+1),"")</f>
        <v>35</v>
      </c>
      <c r="C45" s="188" t="str">
        <f>IF(MONTH(DATE(Planungsjahr,9,1)-WEEKDAY(DATE(Planungsjahr,9,1),2)+1)=9,DAY(DATE(Planungsjahr,9,1)-WEEKDAY(DATE(Planungsjahr,9,1),2)+1),"")</f>
        <v/>
      </c>
      <c r="D45" s="188"/>
      <c r="E45" s="188"/>
      <c r="F45" s="188" t="str">
        <f>IF(MONTH(DATE(Planungsjahr,9,1)-WEEKDAY(DATE(Planungsjahr,9,1),2)+2)=9,DAY(DATE(Planungsjahr,9,1)-WEEKDAY(DATE(Planungsjahr,9,1),2)+2),"")</f>
        <v/>
      </c>
      <c r="G45" s="188"/>
      <c r="H45" s="188"/>
      <c r="I45" s="188">
        <f>IF(MONTH(DATE(Planungsjahr,9,1)-WEEKDAY(DATE(Planungsjahr,9,1),2)+3)=9,DAY(DATE(Planungsjahr,9,1)-WEEKDAY(DATE(Planungsjahr,9,1),2)+3),"")</f>
        <v>1</v>
      </c>
      <c r="J45" s="188"/>
      <c r="K45" s="188"/>
      <c r="L45" s="188">
        <f>IF(MONTH(DATE(Planungsjahr,9,1)-WEEKDAY(DATE(Planungsjahr,9,1),2)+4)=9,DAY(DATE(Planungsjahr,9,1)-WEEKDAY(DATE(Planungsjahr,9,1),2)+4),"")</f>
        <v>2</v>
      </c>
      <c r="M45" s="188"/>
      <c r="N45" s="188"/>
      <c r="O45" s="188">
        <f>IF(MONTH(DATE(Planungsjahr,9,1)-WEEKDAY(DATE(Planungsjahr,9,1),2)+5)=9,DAY(DATE(Planungsjahr,9,1)-WEEKDAY(DATE(Planungsjahr,9,1),2)+5),"")</f>
        <v>3</v>
      </c>
      <c r="P45" s="188"/>
      <c r="Q45" s="188"/>
      <c r="R45" s="188">
        <f>IF(MONTH(DATE(Planungsjahr,9,1)-WEEKDAY(DATE(Planungsjahr,9,1),2)+6)=9,DAY(DATE(Planungsjahr,9,1)-WEEKDAY(DATE(Planungsjahr,9,1),2)+6),"")</f>
        <v>4</v>
      </c>
      <c r="S45" s="188"/>
      <c r="T45" s="188"/>
      <c r="U45" s="188">
        <f>IF(MONTH(DATE(Planungsjahr,9,1)-WEEKDAY(DATE(Planungsjahr,9,1),2)+7)=9,DAY(DATE(Planungsjahr,9,1)-WEEKDAY(DATE(Planungsjahr,9,1),2)+7),"")</f>
        <v>5</v>
      </c>
      <c r="V45" s="188"/>
      <c r="W45" s="190"/>
      <c r="Y45" s="177">
        <f>IF(OR(ISNUMBER(Z45),ISNUMBER(AR45)),_xlfn.ISOWEEKNUM(DATE(Planungsjahr,10,1)-WEEKDAY(DATE(Planungsjahr,10,1),2)+1),"")</f>
        <v>39</v>
      </c>
      <c r="Z45" s="188" t="str">
        <f>IF(MONTH(DATE(Planungsjahr,10,1)-WEEKDAY(DATE(Planungsjahr,10,1),2)+1)=10,DAY(DATE(Planungsjahr,10,1)-WEEKDAY(DATE(Planungsjahr,10,1),2)+1),"")</f>
        <v/>
      </c>
      <c r="AA45" s="188"/>
      <c r="AB45" s="188"/>
      <c r="AC45" s="188" t="str">
        <f>IF(MONTH(DATE(Planungsjahr,10,1)-WEEKDAY(DATE(Planungsjahr,10,1),2)+2)=10,DAY(DATE(Planungsjahr,10,1)-WEEKDAY(DATE(Planungsjahr,10,1),2)+2),"")</f>
        <v/>
      </c>
      <c r="AD45" s="188"/>
      <c r="AE45" s="188"/>
      <c r="AF45" s="188" t="str">
        <f>IF(MONTH(DATE(Planungsjahr,10,1)-WEEKDAY(DATE(Planungsjahr,10,1),2)+3)=10,DAY(DATE(Planungsjahr,10,1)-WEEKDAY(DATE(Planungsjahr,10,1),2)+3),"")</f>
        <v/>
      </c>
      <c r="AG45" s="188"/>
      <c r="AH45" s="188"/>
      <c r="AI45" s="188" t="str">
        <f>IF(MONTH(DATE(Planungsjahr,10,1)-WEEKDAY(DATE(Planungsjahr,10,1),2)+4)=10,DAY(DATE(Planungsjahr,10,1)-WEEKDAY(DATE(Planungsjahr,10,1),2)+4),"")</f>
        <v/>
      </c>
      <c r="AJ45" s="188"/>
      <c r="AK45" s="188"/>
      <c r="AL45" s="188">
        <f>IF(MONTH(DATE(Planungsjahr,10,1)-WEEKDAY(DATE(Planungsjahr,10,1),2)+5)=10,DAY(DATE(Planungsjahr,10,1)-WEEKDAY(DATE(Planungsjahr,10,1),2)+5),"")</f>
        <v>1</v>
      </c>
      <c r="AM45" s="188"/>
      <c r="AN45" s="188"/>
      <c r="AO45" s="188">
        <f>IF(MONTH(DATE(Planungsjahr,10,1)-WEEKDAY(DATE(Planungsjahr,10,1),2)+6)=10,DAY(DATE(Planungsjahr,10,1)-WEEKDAY(DATE(Planungsjahr,10,1),2)+6),"")</f>
        <v>2</v>
      </c>
      <c r="AP45" s="188"/>
      <c r="AQ45" s="188"/>
      <c r="AR45" s="188">
        <f>IF(MONTH(DATE(Planungsjahr,10,1)-WEEKDAY(DATE(Planungsjahr,10,1),2)+7)=10,DAY(DATE(Planungsjahr,10,1)-WEEKDAY(DATE(Planungsjahr,10,1),2)+7),"")</f>
        <v>3</v>
      </c>
      <c r="AS45" s="188"/>
      <c r="AT45" s="190"/>
      <c r="AV45" s="177">
        <f>IF(OR(ISNUMBER(AW45),ISNUMBER(BO45)),_xlfn.ISOWEEKNUM(DATE(Planungsjahr,11,1)-WEEKDAY(DATE(Planungsjahr,11,1),2)+1),"")</f>
        <v>44</v>
      </c>
      <c r="AW45" s="188">
        <f>IF(MONTH(DATE(Planungsjahr,11,1)-WEEKDAY(DATE(Planungsjahr,11,1),2)+1)=11,DAY(DATE(Planungsjahr,11,1)-WEEKDAY(DATE(Planungsjahr,11,1),2)+1),"")</f>
        <v>1</v>
      </c>
      <c r="AX45" s="188"/>
      <c r="AY45" s="188"/>
      <c r="AZ45" s="188">
        <f>IF(MONTH(DATE(Planungsjahr,11,1)-WEEKDAY(DATE(Planungsjahr,11,1),2)+2)=11,DAY(DATE(Planungsjahr,11,1)-WEEKDAY(DATE(Planungsjahr,11,1),2)+2),"")</f>
        <v>2</v>
      </c>
      <c r="BA45" s="188"/>
      <c r="BB45" s="188"/>
      <c r="BC45" s="188">
        <f>IF(MONTH(DATE(Planungsjahr,11,1)-WEEKDAY(DATE(Planungsjahr,11,1),2)+3)=11,DAY(DATE(Planungsjahr,11,1)-WEEKDAY(DATE(Planungsjahr,11,1),2)+3),"")</f>
        <v>3</v>
      </c>
      <c r="BD45" s="188"/>
      <c r="BE45" s="188"/>
      <c r="BF45" s="188">
        <f>IF(MONTH(DATE(Planungsjahr,11,1)-WEEKDAY(DATE(Planungsjahr,11,1),2)+4)=11,DAY(DATE(Planungsjahr,11,1)-WEEKDAY(DATE(Planungsjahr,11,1),2)+4),"")</f>
        <v>4</v>
      </c>
      <c r="BG45" s="188"/>
      <c r="BH45" s="188"/>
      <c r="BI45" s="188">
        <f>IF(MONTH(DATE(Planungsjahr,11,1)-WEEKDAY(DATE(Planungsjahr,11,1),2)+5)=11,DAY(DATE(Planungsjahr,11,1)-WEEKDAY(DATE(Planungsjahr,11,1),2)+5),"")</f>
        <v>5</v>
      </c>
      <c r="BJ45" s="188"/>
      <c r="BK45" s="188"/>
      <c r="BL45" s="188">
        <f>IF(MONTH(DATE(Planungsjahr,11,1)-WEEKDAY(DATE(Planungsjahr,11,1),2)+6)=11,DAY(DATE(Planungsjahr,11,1)-WEEKDAY(DATE(Planungsjahr,11,1),2)+6),"")</f>
        <v>6</v>
      </c>
      <c r="BM45" s="188"/>
      <c r="BN45" s="188"/>
      <c r="BO45" s="188">
        <f>IF(MONTH(DATE(Planungsjahr,11,1)-WEEKDAY(DATE(Planungsjahr,11,1),2)+7)=11,DAY(DATE(Planungsjahr,11,1)-WEEKDAY(DATE(Planungsjahr,11,1),2)+7),"")</f>
        <v>7</v>
      </c>
      <c r="BP45" s="188"/>
      <c r="BQ45" s="190"/>
      <c r="BS45" s="177">
        <f>IF(OR(ISNUMBER(BT45),ISNUMBER(CL45)),_xlfn.ISOWEEKNUM(DATE(Planungsjahr,12,1)-WEEKDAY(DATE(Planungsjahr,12,1),2)+1),"")</f>
        <v>48</v>
      </c>
      <c r="BT45" s="188" t="str">
        <f>IF(MONTH(DATE(Planungsjahr,12,1)-WEEKDAY(DATE(Planungsjahr,12,1),2)+1)=12,DAY(DATE(Planungsjahr,12,1)-WEEKDAY(DATE(Planungsjahr,12,1),2)+1),"")</f>
        <v/>
      </c>
      <c r="BU45" s="188"/>
      <c r="BV45" s="188"/>
      <c r="BW45" s="188" t="str">
        <f>IF(MONTH(DATE(Planungsjahr,12,1)-WEEKDAY(DATE(Planungsjahr,12,1),2)+2)=12,DAY(DATE(Planungsjahr,12,1)-WEEKDAY(DATE(Planungsjahr,12,1),2)+2),"")</f>
        <v/>
      </c>
      <c r="BX45" s="188"/>
      <c r="BY45" s="188"/>
      <c r="BZ45" s="188">
        <f>IF(MONTH(DATE(Planungsjahr,12,1)-WEEKDAY(DATE(Planungsjahr,12,1),2)+3)=12,DAY(DATE(Planungsjahr,12,1)-WEEKDAY(DATE(Planungsjahr,12,1),2)+3),"")</f>
        <v>1</v>
      </c>
      <c r="CA45" s="188"/>
      <c r="CB45" s="188"/>
      <c r="CC45" s="188">
        <f>IF(MONTH(DATE(Planungsjahr,12,1)-WEEKDAY(DATE(Planungsjahr,12,1),2)+4)=12,DAY(DATE(Planungsjahr,12,1)-WEEKDAY(DATE(Planungsjahr,12,1),2)+4),"")</f>
        <v>2</v>
      </c>
      <c r="CD45" s="188"/>
      <c r="CE45" s="188"/>
      <c r="CF45" s="188">
        <f>IF(MONTH(DATE(Planungsjahr,12,1)-WEEKDAY(DATE(Planungsjahr,12,1),2)+5)=12,DAY(DATE(Planungsjahr,12,1)-WEEKDAY(DATE(Planungsjahr,12,1),2)+5),"")</f>
        <v>3</v>
      </c>
      <c r="CG45" s="188"/>
      <c r="CH45" s="188"/>
      <c r="CI45" s="188">
        <f>IF(MONTH(DATE(Planungsjahr,12,1)-WEEKDAY(DATE(Planungsjahr,12,1),2)+6)=12,DAY(DATE(Planungsjahr,12,1)-WEEKDAY(DATE(Planungsjahr,12,1),2)+6),"")</f>
        <v>4</v>
      </c>
      <c r="CJ45" s="188"/>
      <c r="CK45" s="188"/>
      <c r="CL45" s="188">
        <f>IF(MONTH(DATE(Planungsjahr,12,1)-WEEKDAY(DATE(Planungsjahr,12,1),2)+7)=12,DAY(DATE(Planungsjahr,12,1)-WEEKDAY(DATE(Planungsjahr,12,1),2)+7),"")</f>
        <v>5</v>
      </c>
      <c r="CM45" s="188"/>
      <c r="CN45" s="190"/>
    </row>
    <row r="46" spans="2:92" ht="10.5" customHeight="1" x14ac:dyDescent="0.25">
      <c r="B46" s="179"/>
      <c r="C46" s="159" t="str">
        <f>IF(ISNUMBER(C45),IF(COUNTIFS(JP_StartSel,DATE(Planungsjahr,9,C45),JP_ShowSel,TRUE)&gt;0,"S",IF(COUNTIF(Feiertage,DATE(Planungsjahr,9,C45))&gt;0,"h","")),"")</f>
        <v/>
      </c>
      <c r="D46" s="159" t="str">
        <f>IF(ISNUMBER(C45),IF(COUNTIFS(JP_StartInhalt,DATE(Planungsjahr,9,C45),JP_ShowInhalt,TRUE)&gt;0,"I",IF(COUNTIF(Feiertage,DATE(Planungsjahr,9,C45))&gt;0,"h","")),"")</f>
        <v/>
      </c>
      <c r="E46" s="159" t="str">
        <f>IF(ISNUMBER(C45),IF(COUNTIFS(JP_PAL,DATE(Planungsjahr,9,C45),JP_ShowPAL,TRUE)&gt;0,"P",IF(COUNTIF(Feiertage,DATE(Planungsjahr,9,C45))&gt;0,"h","")),"")</f>
        <v/>
      </c>
      <c r="F46" s="159" t="str">
        <f>IF(ISNUMBER(F45),IF(COUNTIFS(JP_StartSel,DATE(Planungsjahr,9,F45),JP_ShowSel,TRUE)&gt;0,"S",IF(COUNTIF(Feiertage,DATE(Planungsjahr,9,F45))&gt;0,"h","")),"")</f>
        <v/>
      </c>
      <c r="G46" s="159" t="str">
        <f>IF(ISNUMBER(F45),IF(COUNTIFS(JP_StartInhalt,DATE(Planungsjahr,9,F45),JP_ShowInhalt,TRUE)&gt;0,"I",IF(COUNTIF(Feiertage,DATE(Planungsjahr,9,F45))&gt;0,"h","")),"")</f>
        <v/>
      </c>
      <c r="H46" s="159" t="str">
        <f>IF(ISNUMBER(F45),IF(COUNTIFS(JP_PAL,DATE(Planungsjahr,9,F45),JP_ShowPAL,TRUE)&gt;0,"P",IF(COUNTIF(Feiertage,DATE(Planungsjahr,9,F45))&gt;0,"h","")),"")</f>
        <v/>
      </c>
      <c r="I46" s="159" t="str">
        <f>IF(ISNUMBER(I45),IF(COUNTIFS(JP_StartSel,DATE(Planungsjahr,9,I45),JP_ShowSel,TRUE)&gt;0,"S",IF(COUNTIF(Feiertage,DATE(Planungsjahr,9,I45))&gt;0,"h","")),"")</f>
        <v/>
      </c>
      <c r="J46" s="159" t="str">
        <f>IF(ISNUMBER(I45),IF(COUNTIFS(JP_StartInhalt,DATE(Planungsjahr,9,I45),JP_ShowInhalt,TRUE)&gt;0,"I",IF(COUNTIF(Feiertage,DATE(Planungsjahr,9,I45))&gt;0,"h","")),"")</f>
        <v/>
      </c>
      <c r="K46" s="159" t="str">
        <f>IF(ISNUMBER(I45),IF(COUNTIFS(JP_PAL,DATE(Planungsjahr,9,I45),JP_ShowPAL,TRUE)&gt;0,"P",IF(COUNTIF(Feiertage,DATE(Planungsjahr,9,I45))&gt;0,"h","")),"")</f>
        <v/>
      </c>
      <c r="L46" s="159" t="str">
        <f>IF(ISNUMBER(L45),IF(COUNTIFS(JP_StartSel,DATE(Planungsjahr,9,L45),JP_ShowSel,TRUE)&gt;0,"S",IF(COUNTIF(Feiertage,DATE(Planungsjahr,9,L45))&gt;0,"h","")),"")</f>
        <v/>
      </c>
      <c r="M46" s="159" t="str">
        <f>IF(ISNUMBER(L45),IF(COUNTIFS(JP_StartInhalt,DATE(Planungsjahr,9,L45),JP_ShowInhalt,TRUE)&gt;0,"I",IF(COUNTIF(Feiertage,DATE(Planungsjahr,9,L45))&gt;0,"h","")),"")</f>
        <v/>
      </c>
      <c r="N46" s="159" t="str">
        <f>IF(ISNUMBER(L45),IF(COUNTIFS(JP_PAL,DATE(Planungsjahr,9,L45),JP_ShowPAL,TRUE)&gt;0,"P",IF(COUNTIF(Feiertage,DATE(Planungsjahr,9,L45))&gt;0,"h","")),"")</f>
        <v/>
      </c>
      <c r="O46" s="159" t="str">
        <f>IF(ISNUMBER(O45),IF(COUNTIFS(JP_StartSel,DATE(Planungsjahr,9,O45),JP_ShowSel,TRUE)&gt;0,"S",IF(COUNTIF(Feiertage,DATE(Planungsjahr,9,O45))&gt;0,"h","")),"")</f>
        <v/>
      </c>
      <c r="P46" s="159" t="str">
        <f>IF(ISNUMBER(O45),IF(COUNTIFS(JP_StartInhalt,DATE(Planungsjahr,9,O45),JP_ShowInhalt,TRUE)&gt;0,"I",IF(COUNTIF(Feiertage,DATE(Planungsjahr,9,O45))&gt;0,"h","")),"")</f>
        <v/>
      </c>
      <c r="Q46" s="159" t="str">
        <f>IF(ISNUMBER(O45),IF(COUNTIFS(JP_PAL,DATE(Planungsjahr,9,O45),JP_ShowPAL,TRUE)&gt;0,"P",IF(COUNTIF(Feiertage,DATE(Planungsjahr,9,O45))&gt;0,"h","")),"")</f>
        <v/>
      </c>
      <c r="R46" s="159" t="str">
        <f>IF(ISNUMBER(R45),IF(COUNTIFS(JP_StartSel,DATE(Planungsjahr,9,R45),JP_ShowSel,TRUE)&gt;0,"S",IF(COUNTIF(Feiertage,DATE(Planungsjahr,9,R45))&gt;0,"h","w")),"")</f>
        <v>w</v>
      </c>
      <c r="S46" s="159" t="str">
        <f>IF(ISNUMBER(R45),IF(COUNTIFS(JP_StartInhalt,DATE(Planungsjahr,9,R45),JP_ShowInhalt,TRUE)&gt;0,"I",IF(COUNTIF(Feiertage,DATE(Planungsjahr,9,R45))&gt;0,"h","w")),"")</f>
        <v>w</v>
      </c>
      <c r="T46" s="159" t="str">
        <f>IF(ISNUMBER(R45),IF(COUNTIFS(JP_PAL,DATE(Planungsjahr,9,R45),JP_ShowPAL,TRUE)&gt;0,"P",IF(COUNTIF(Feiertage,DATE(Planungsjahr,9,R45))&gt;0,"h","w")),"")</f>
        <v>w</v>
      </c>
      <c r="U46" s="159" t="str">
        <f>IF(ISNUMBER(U45),IF(COUNTIFS(JP_StartSel,DATE(Planungsjahr,9,U45),JP_ShowSel,TRUE)&gt;0,"S",IF(COUNTIF(Feiertage,DATE(Planungsjahr,9,U45))&gt;0,"h","w")),"")</f>
        <v>w</v>
      </c>
      <c r="V46" s="159" t="str">
        <f>IF(ISNUMBER(U45),IF(COUNTIFS(JP_StartInhalt,DATE(Planungsjahr,9,U45),JP_ShowInhalt,TRUE)&gt;0,"I",IF(COUNTIF(Feiertage,DATE(Planungsjahr,9,U45))&gt;0,"h","w")),"")</f>
        <v>w</v>
      </c>
      <c r="W46" s="180" t="str">
        <f>IF(ISNUMBER(U45),IF(COUNTIFS(JP_PAL,DATE(Planungsjahr,9,U45),JP_ShowPAL,TRUE)&gt;0,"P",IF(COUNTIF(Feiertage,DATE(Planungsjahr,9,U45))&gt;0,"h","w")),"")</f>
        <v>w</v>
      </c>
      <c r="Y46" s="179"/>
      <c r="Z46" s="159" t="str">
        <f>IF(ISNUMBER(Z45),IF(COUNTIFS(JP_StartSel,DATE(Planungsjahr,10,Z45),JP_ShowSel,TRUE)&gt;0,"S",IF(COUNTIF(Feiertage,DATE(Planungsjahr,10,Z45))&gt;0,"h","")),"")</f>
        <v/>
      </c>
      <c r="AA46" s="159" t="str">
        <f>IF(ISNUMBER(Z45),IF(COUNTIFS(JP_StartInhalt,DATE(Planungsjahr,10,Z45),JP_ShowInhalt,TRUE)&gt;0,"I",IF(COUNTIF(Feiertage,DATE(Planungsjahr,10,Z45))&gt;0,"h","")),"")</f>
        <v/>
      </c>
      <c r="AB46" s="159" t="str">
        <f>IF(ISNUMBER(Z45),IF(COUNTIFS(JP_PAL,DATE(Planungsjahr,10,Z45),JP_ShowPAL,TRUE)&gt;0,"P",IF(COUNTIF(Feiertage,DATE(Planungsjahr,10,Z45))&gt;0,"h","")),"")</f>
        <v/>
      </c>
      <c r="AC46" s="159" t="str">
        <f>IF(ISNUMBER(AC45),IF(COUNTIFS(JP_StartSel,DATE(Planungsjahr,10,AC45),JP_ShowSel,TRUE)&gt;0,"S",IF(COUNTIF(Feiertage,DATE(Planungsjahr,10,AC45))&gt;0,"h","")),"")</f>
        <v/>
      </c>
      <c r="AD46" s="159" t="str">
        <f>IF(ISNUMBER(AC45),IF(COUNTIFS(JP_StartInhalt,DATE(Planungsjahr,10,AC45),JP_ShowInhalt,TRUE)&gt;0,"I",IF(COUNTIF(Feiertage,DATE(Planungsjahr,10,AC45))&gt;0,"h","")),"")</f>
        <v/>
      </c>
      <c r="AE46" s="159" t="str">
        <f>IF(ISNUMBER(AC45),IF(COUNTIFS(JP_PAL,DATE(Planungsjahr,10,AC45),JP_ShowPAL,TRUE)&gt;0,"P",IF(COUNTIF(Feiertage,DATE(Planungsjahr,10,AC45))&gt;0,"h","")),"")</f>
        <v/>
      </c>
      <c r="AF46" s="159" t="str">
        <f>IF(ISNUMBER(AF45),IF(COUNTIFS(JP_StartSel,DATE(Planungsjahr,10,AF45),JP_ShowSel,TRUE)&gt;0,"S",IF(COUNTIF(Feiertage,DATE(Planungsjahr,10,AF45))&gt;0,"h","")),"")</f>
        <v/>
      </c>
      <c r="AG46" s="159" t="str">
        <f>IF(ISNUMBER(AF45),IF(COUNTIFS(JP_StartInhalt,DATE(Planungsjahr,10,AF45),JP_ShowInhalt,TRUE)&gt;0,"I",IF(COUNTIF(Feiertage,DATE(Planungsjahr,10,AF45))&gt;0,"h","")),"")</f>
        <v/>
      </c>
      <c r="AH46" s="159" t="str">
        <f>IF(ISNUMBER(AF45),IF(COUNTIFS(JP_PAL,DATE(Planungsjahr,10,AF45),JP_ShowPAL,TRUE)&gt;0,"P",IF(COUNTIF(Feiertage,DATE(Planungsjahr,10,AF45))&gt;0,"h","")),"")</f>
        <v/>
      </c>
      <c r="AI46" s="159" t="str">
        <f>IF(ISNUMBER(AI45),IF(COUNTIFS(JP_StartSel,DATE(Planungsjahr,10,AI45),JP_ShowSel,TRUE)&gt;0,"S",IF(COUNTIF(Feiertage,DATE(Planungsjahr,10,AI45))&gt;0,"h","")),"")</f>
        <v/>
      </c>
      <c r="AJ46" s="159" t="str">
        <f>IF(ISNUMBER(AI45),IF(COUNTIFS(JP_StartInhalt,DATE(Planungsjahr,10,AI45),JP_ShowInhalt,TRUE)&gt;0,"I",IF(COUNTIF(Feiertage,DATE(Planungsjahr,10,AI45))&gt;0,"h","")),"")</f>
        <v/>
      </c>
      <c r="AK46" s="159" t="str">
        <f>IF(ISNUMBER(AI45),IF(COUNTIFS(JP_PAL,DATE(Planungsjahr,10,AI45),JP_ShowPAL,TRUE)&gt;0,"P",IF(COUNTIF(Feiertage,DATE(Planungsjahr,10,AI45))&gt;0,"h","")),"")</f>
        <v/>
      </c>
      <c r="AL46" s="159" t="str">
        <f>IF(ISNUMBER(AL45),IF(COUNTIFS(JP_StartSel,DATE(Planungsjahr,10,AL45),JP_ShowSel,TRUE)&gt;0,"S",IF(COUNTIF(Feiertage,DATE(Planungsjahr,10,AL45))&gt;0,"h","")),"")</f>
        <v/>
      </c>
      <c r="AM46" s="159" t="str">
        <f>IF(ISNUMBER(AL45),IF(COUNTIFS(JP_StartInhalt,DATE(Planungsjahr,10,AL45),JP_ShowInhalt,TRUE)&gt;0,"I",IF(COUNTIF(Feiertage,DATE(Planungsjahr,10,AL45))&gt;0,"h","")),"")</f>
        <v/>
      </c>
      <c r="AN46" s="159" t="str">
        <f>IF(ISNUMBER(AL45),IF(COUNTIFS(JP_PAL,DATE(Planungsjahr,10,AL45),JP_ShowPAL,TRUE)&gt;0,"P",IF(COUNTIF(Feiertage,DATE(Planungsjahr,10,AL45))&gt;0,"h","")),"")</f>
        <v/>
      </c>
      <c r="AO46" s="159" t="str">
        <f>IF(ISNUMBER(AO45),IF(COUNTIFS(JP_StartSel,DATE(Planungsjahr,10,AO45),JP_ShowSel,TRUE)&gt;0,"S",IF(COUNTIF(Feiertage,DATE(Planungsjahr,10,AO45))&gt;0,"h","w")),"")</f>
        <v>w</v>
      </c>
      <c r="AP46" s="159" t="str">
        <f>IF(ISNUMBER(AO45),IF(COUNTIFS(JP_StartInhalt,DATE(Planungsjahr,10,AO45),JP_ShowInhalt,TRUE)&gt;0,"I",IF(COUNTIF(Feiertage,DATE(Planungsjahr,10,AO45))&gt;0,"h","w")),"")</f>
        <v>w</v>
      </c>
      <c r="AQ46" s="159" t="str">
        <f>IF(ISNUMBER(AO45),IF(COUNTIFS(JP_PAL,DATE(Planungsjahr,10,AO45),JP_ShowPAL,TRUE)&gt;0,"P",IF(COUNTIF(Feiertage,DATE(Planungsjahr,10,AO45))&gt;0,"h","w")),"")</f>
        <v>w</v>
      </c>
      <c r="AR46" s="159" t="str">
        <f>IF(ISNUMBER(AR45),IF(COUNTIFS(JP_StartSel,DATE(Planungsjahr,10,AR45),JP_ShowSel,TRUE)&gt;0,"S",IF(COUNTIF(Feiertage,DATE(Planungsjahr,10,AR45))&gt;0,"h","w")),"")</f>
        <v>h</v>
      </c>
      <c r="AS46" s="159" t="str">
        <f>IF(ISNUMBER(AR45),IF(COUNTIFS(JP_StartInhalt,DATE(Planungsjahr,10,AR45),JP_ShowInhalt,TRUE)&gt;0,"I",IF(COUNTIF(Feiertage,DATE(Planungsjahr,10,AR45))&gt;0,"h","w")),"")</f>
        <v>h</v>
      </c>
      <c r="AT46" s="180" t="str">
        <f>IF(ISNUMBER(AR45),IF(COUNTIFS(JP_PAL,DATE(Planungsjahr,10,AR45),JP_ShowPAL,TRUE)&gt;0,"P",IF(COUNTIF(Feiertage,DATE(Planungsjahr,10,AR45))&gt;0,"h","w")),"")</f>
        <v>h</v>
      </c>
      <c r="AV46" s="179"/>
      <c r="AW46" s="159" t="str">
        <f>IF(ISNUMBER(AW45),IF(COUNTIFS(JP_StartSel,DATE(Planungsjahr,11,AW45),JP_ShowSel,TRUE)&gt;0,"S",IF(COUNTIF(Feiertage,DATE(Planungsjahr,11,AW45))&gt;0,"h","")),"")</f>
        <v>h</v>
      </c>
      <c r="AX46" s="159" t="str">
        <f>IF(ISNUMBER(AW45),IF(COUNTIFS(JP_StartInhalt,DATE(Planungsjahr,11,AW45),JP_ShowInhalt,TRUE)&gt;0,"I",IF(COUNTIF(Feiertage,DATE(Planungsjahr,11,AW45))&gt;0,"h","")),"")</f>
        <v>h</v>
      </c>
      <c r="AY46" s="159" t="str">
        <f>IF(ISNUMBER(AW45),IF(COUNTIFS(JP_PAL,DATE(Planungsjahr,11,AW45),JP_ShowPAL,TRUE)&gt;0,"P",IF(COUNTIF(Feiertage,DATE(Planungsjahr,11,AW45))&gt;0,"h","")),"")</f>
        <v>h</v>
      </c>
      <c r="AZ46" s="159" t="str">
        <f>IF(ISNUMBER(AZ45),IF(COUNTIFS(JP_StartSel,DATE(Planungsjahr,11,AZ45),JP_ShowSel,TRUE)&gt;0,"S",IF(COUNTIF(Feiertage,DATE(Planungsjahr,11,AZ45))&gt;0,"h","")),"")</f>
        <v/>
      </c>
      <c r="BA46" s="159" t="str">
        <f>IF(ISNUMBER(AZ45),IF(COUNTIFS(JP_StartInhalt,DATE(Planungsjahr,11,AZ45),JP_ShowInhalt,TRUE)&gt;0,"I",IF(COUNTIF(Feiertage,DATE(Planungsjahr,11,AZ45))&gt;0,"h","")),"")</f>
        <v/>
      </c>
      <c r="BB46" s="159" t="str">
        <f>IF(ISNUMBER(AZ45),IF(COUNTIFS(JP_PAL,DATE(Planungsjahr,11,AZ45),JP_ShowPAL,TRUE)&gt;0,"P",IF(COUNTIF(Feiertage,DATE(Planungsjahr,11,AZ45))&gt;0,"h","")),"")</f>
        <v/>
      </c>
      <c r="BC46" s="159" t="str">
        <f>IF(ISNUMBER(BC45),IF(COUNTIFS(JP_StartSel,DATE(Planungsjahr,11,BC45),JP_ShowSel,TRUE)&gt;0,"S",IF(COUNTIF(Feiertage,DATE(Planungsjahr,11,BC45))&gt;0,"h","")),"")</f>
        <v/>
      </c>
      <c r="BD46" s="159" t="str">
        <f>IF(ISNUMBER(BC45),IF(COUNTIFS(JP_StartInhalt,DATE(Planungsjahr,11,BC45),JP_ShowInhalt,TRUE)&gt;0,"I",IF(COUNTIF(Feiertage,DATE(Planungsjahr,11,BC45))&gt;0,"h","")),"")</f>
        <v/>
      </c>
      <c r="BE46" s="159" t="str">
        <f>IF(ISNUMBER(BC45),IF(COUNTIFS(JP_PAL,DATE(Planungsjahr,11,BC45),JP_ShowPAL,TRUE)&gt;0,"P",IF(COUNTIF(Feiertage,DATE(Planungsjahr,11,BC45))&gt;0,"h","")),"")</f>
        <v/>
      </c>
      <c r="BF46" s="159" t="str">
        <f>IF(ISNUMBER(BF45),IF(COUNTIFS(JP_StartSel,DATE(Planungsjahr,11,BF45),JP_ShowSel,TRUE)&gt;0,"S",IF(COUNTIF(Feiertage,DATE(Planungsjahr,11,BF45))&gt;0,"h","")),"")</f>
        <v/>
      </c>
      <c r="BG46" s="159" t="str">
        <f>IF(ISNUMBER(BF45),IF(COUNTIFS(JP_StartInhalt,DATE(Planungsjahr,11,BF45),JP_ShowInhalt,TRUE)&gt;0,"I",IF(COUNTIF(Feiertage,DATE(Planungsjahr,11,BF45))&gt;0,"h","")),"")</f>
        <v/>
      </c>
      <c r="BH46" s="159" t="str">
        <f>IF(ISNUMBER(BF45),IF(COUNTIFS(JP_PAL,DATE(Planungsjahr,11,BF45),JP_ShowPAL,TRUE)&gt;0,"P",IF(COUNTIF(Feiertage,DATE(Planungsjahr,11,BF45))&gt;0,"h","")),"")</f>
        <v/>
      </c>
      <c r="BI46" s="159" t="str">
        <f>IF(ISNUMBER(BI45),IF(COUNTIFS(JP_StartSel,DATE(Planungsjahr,11,BI45),JP_ShowSel,TRUE)&gt;0,"S",IF(COUNTIF(Feiertage,DATE(Planungsjahr,11,BI45))&gt;0,"h","")),"")</f>
        <v/>
      </c>
      <c r="BJ46" s="159" t="str">
        <f>IF(ISNUMBER(BI45),IF(COUNTIFS(JP_StartInhalt,DATE(Planungsjahr,11,BI45),JP_ShowInhalt,TRUE)&gt;0,"I",IF(COUNTIF(Feiertage,DATE(Planungsjahr,11,BI45))&gt;0,"h","")),"")</f>
        <v/>
      </c>
      <c r="BK46" s="159" t="str">
        <f>IF(ISNUMBER(BI45),IF(COUNTIFS(JP_PAL,DATE(Planungsjahr,11,BI45),JP_ShowPAL,TRUE)&gt;0,"P",IF(COUNTIF(Feiertage,DATE(Planungsjahr,11,BI45))&gt;0,"h","")),"")</f>
        <v/>
      </c>
      <c r="BL46" s="159" t="str">
        <f>IF(ISNUMBER(BL45),IF(COUNTIFS(JP_StartSel,DATE(Planungsjahr,11,BL45),JP_ShowSel,TRUE)&gt;0,"S",IF(COUNTIF(Feiertage,DATE(Planungsjahr,11,BL45))&gt;0,"h","w")),"")</f>
        <v>w</v>
      </c>
      <c r="BM46" s="159" t="str">
        <f>IF(ISNUMBER(BL45),IF(COUNTIFS(JP_StartInhalt,DATE(Planungsjahr,11,BL45),JP_ShowInhalt,TRUE)&gt;0,"I",IF(COUNTIF(Feiertage,DATE(Planungsjahr,11,BL45))&gt;0,"h","w")),"")</f>
        <v>w</v>
      </c>
      <c r="BN46" s="159" t="str">
        <f>IF(ISNUMBER(BL45),IF(COUNTIFS(JP_PAL,DATE(Planungsjahr,11,BL45),JP_ShowPAL,TRUE)&gt;0,"P",IF(COUNTIF(Feiertage,DATE(Planungsjahr,11,BL45))&gt;0,"h","w")),"")</f>
        <v>w</v>
      </c>
      <c r="BO46" s="159" t="str">
        <f>IF(ISNUMBER(BO45),IF(COUNTIFS(JP_StartSel,DATE(Planungsjahr,11,BO45),JP_ShowSel,TRUE)&gt;0,"S",IF(COUNTIF(Feiertage,DATE(Planungsjahr,11,BO45))&gt;0,"h","w")),"")</f>
        <v>w</v>
      </c>
      <c r="BP46" s="159" t="str">
        <f>IF(ISNUMBER(BO45),IF(COUNTIFS(JP_StartInhalt,DATE(Planungsjahr,11,BO45),JP_ShowInhalt,TRUE)&gt;0,"I",IF(COUNTIF(Feiertage,DATE(Planungsjahr,11,BO45))&gt;0,"h","w")),"")</f>
        <v>w</v>
      </c>
      <c r="BQ46" s="180" t="str">
        <f>IF(ISNUMBER(BO45),IF(COUNTIFS(JP_PAL,DATE(Planungsjahr,11,BO45),JP_ShowPAL,TRUE)&gt;0,"P",IF(COUNTIF(Feiertage,DATE(Planungsjahr,11,BO45))&gt;0,"h","w")),"")</f>
        <v>w</v>
      </c>
      <c r="BS46" s="179"/>
      <c r="BT46" s="159" t="str">
        <f>IF(ISNUMBER(BT45),IF(COUNTIFS(JP_StartSel,DATE(Planungsjahr,12,BT45),JP_ShowSel,TRUE)&gt;0,"S",IF(COUNTIF(Feiertage,DATE(Planungsjahr,12,BT45))&gt;0,"h","")),"")</f>
        <v/>
      </c>
      <c r="BU46" s="159" t="str">
        <f>IF(ISNUMBER(BT45),IF(COUNTIFS(JP_StartInhalt,DATE(Planungsjahr,12,BT45),JP_ShowInhalt,TRUE)&gt;0,"I",IF(COUNTIF(Feiertage,DATE(Planungsjahr,12,BT45))&gt;0,"h","")),"")</f>
        <v/>
      </c>
      <c r="BV46" s="159" t="str">
        <f>IF(ISNUMBER(BT45),IF(COUNTIFS(JP_PAL,DATE(Planungsjahr,12,BT45),JP_ShowPAL,TRUE)&gt;0,"P",IF(COUNTIF(Feiertage,DATE(Planungsjahr,12,BT45))&gt;0,"h","")),"")</f>
        <v/>
      </c>
      <c r="BW46" s="159" t="str">
        <f>IF(ISNUMBER(BW45),IF(COUNTIFS(JP_StartSel,DATE(Planungsjahr,12,BW45),JP_ShowSel,TRUE)&gt;0,"S",IF(COUNTIF(Feiertage,DATE(Planungsjahr,12,BW45))&gt;0,"h","")),"")</f>
        <v/>
      </c>
      <c r="BX46" s="159" t="str">
        <f>IF(ISNUMBER(BW45),IF(COUNTIFS(JP_StartInhalt,DATE(Planungsjahr,12,BW45),JP_ShowInhalt,TRUE)&gt;0,"I",IF(COUNTIF(Feiertage,DATE(Planungsjahr,12,BW45))&gt;0,"h","")),"")</f>
        <v/>
      </c>
      <c r="BY46" s="159" t="str">
        <f>IF(ISNUMBER(BW45),IF(COUNTIFS(JP_PAL,DATE(Planungsjahr,12,BW45),JP_ShowPAL,TRUE)&gt;0,"P",IF(COUNTIF(Feiertage,DATE(Planungsjahr,12,BW45))&gt;0,"h","")),"")</f>
        <v/>
      </c>
      <c r="BZ46" s="159" t="str">
        <f>IF(ISNUMBER(BZ45),IF(COUNTIFS(JP_StartSel,DATE(Planungsjahr,12,BZ45),JP_ShowSel,TRUE)&gt;0,"S",IF(COUNTIF(Feiertage,DATE(Planungsjahr,12,BZ45))&gt;0,"h","")),"")</f>
        <v/>
      </c>
      <c r="CA46" s="159" t="str">
        <f>IF(ISNUMBER(BZ45),IF(COUNTIFS(JP_StartInhalt,DATE(Planungsjahr,12,BZ45),JP_ShowInhalt,TRUE)&gt;0,"I",IF(COUNTIF(Feiertage,DATE(Planungsjahr,12,BZ45))&gt;0,"h","")),"")</f>
        <v/>
      </c>
      <c r="CB46" s="159" t="str">
        <f>IF(ISNUMBER(BZ45),IF(COUNTIFS(JP_PAL,DATE(Planungsjahr,12,BZ45),JP_ShowPAL,TRUE)&gt;0,"P",IF(COUNTIF(Feiertage,DATE(Planungsjahr,12,BZ45))&gt;0,"h","")),"")</f>
        <v/>
      </c>
      <c r="CC46" s="159" t="str">
        <f>IF(ISNUMBER(CC45),IF(COUNTIFS(JP_StartSel,DATE(Planungsjahr,12,CC45),JP_ShowSel,TRUE)&gt;0,"S",IF(COUNTIF(Feiertage,DATE(Planungsjahr,12,CC45))&gt;0,"h","")),"")</f>
        <v/>
      </c>
      <c r="CD46" s="159" t="str">
        <f>IF(ISNUMBER(CC45),IF(COUNTIFS(JP_StartInhalt,DATE(Planungsjahr,12,CC45),JP_ShowInhalt,TRUE)&gt;0,"I",IF(COUNTIF(Feiertage,DATE(Planungsjahr,12,CC45))&gt;0,"h","")),"")</f>
        <v/>
      </c>
      <c r="CE46" s="159" t="str">
        <f>IF(ISNUMBER(CC45),IF(COUNTIFS(JP_PAL,DATE(Planungsjahr,12,CC45),JP_ShowPAL,TRUE)&gt;0,"P",IF(COUNTIF(Feiertage,DATE(Planungsjahr,12,CC45))&gt;0,"h","")),"")</f>
        <v/>
      </c>
      <c r="CF46" s="159" t="str">
        <f>IF(ISNUMBER(CF45),IF(COUNTIFS(JP_StartSel,DATE(Planungsjahr,12,CF45),JP_ShowSel,TRUE)&gt;0,"S",IF(COUNTIF(Feiertage,DATE(Planungsjahr,12,CF45))&gt;0,"h","")),"")</f>
        <v/>
      </c>
      <c r="CG46" s="159" t="str">
        <f>IF(ISNUMBER(CF45),IF(COUNTIFS(JP_StartInhalt,DATE(Planungsjahr,12,CF45),JP_ShowInhalt,TRUE)&gt;0,"I",IF(COUNTIF(Feiertage,DATE(Planungsjahr,12,CF45))&gt;0,"h","")),"")</f>
        <v/>
      </c>
      <c r="CH46" s="159" t="str">
        <f>IF(ISNUMBER(CF45),IF(COUNTIFS(JP_PAL,DATE(Planungsjahr,12,CF45),JP_ShowPAL,TRUE)&gt;0,"P",IF(COUNTIF(Feiertage,DATE(Planungsjahr,12,CF45))&gt;0,"h","")),"")</f>
        <v/>
      </c>
      <c r="CI46" s="159" t="str">
        <f>IF(ISNUMBER(CI45),IF(COUNTIFS(JP_StartSel,DATE(Planungsjahr,12,CI45),JP_ShowSel,TRUE)&gt;0,"S",IF(COUNTIF(Feiertage,DATE(Planungsjahr,12,CI45))&gt;0,"h","w")),"")</f>
        <v>w</v>
      </c>
      <c r="CJ46" s="159" t="str">
        <f>IF(ISNUMBER(CI45),IF(COUNTIFS(JP_StartInhalt,DATE(Planungsjahr,12,CI45),JP_ShowInhalt,TRUE)&gt;0,"I",IF(COUNTIF(Feiertage,DATE(Planungsjahr,12,CI45))&gt;0,"h","w")),"")</f>
        <v>w</v>
      </c>
      <c r="CK46" s="159" t="str">
        <f>IF(ISNUMBER(CI45),IF(COUNTIFS(JP_PAL,DATE(Planungsjahr,12,CI45),JP_ShowPAL,TRUE)&gt;0,"P",IF(COUNTIF(Feiertage,DATE(Planungsjahr,12,CI45))&gt;0,"h","w")),"")</f>
        <v>w</v>
      </c>
      <c r="CL46" s="159" t="str">
        <f>IF(ISNUMBER(CL45),IF(COUNTIFS(JP_StartSel,DATE(Planungsjahr,12,CL45),JP_ShowSel,TRUE)&gt;0,"S",IF(COUNTIF(Feiertage,DATE(Planungsjahr,12,CL45))&gt;0,"h","w")),"")</f>
        <v>w</v>
      </c>
      <c r="CM46" s="159" t="str">
        <f>IF(ISNUMBER(CL45),IF(COUNTIFS(JP_StartInhalt,DATE(Planungsjahr,12,CL45),JP_ShowInhalt,TRUE)&gt;0,"I",IF(COUNTIF(Feiertage,DATE(Planungsjahr,12,CL45))&gt;0,"h","w")),"")</f>
        <v>w</v>
      </c>
      <c r="CN46" s="180" t="str">
        <f>IF(ISNUMBER(CL45),IF(COUNTIFS(JP_PAL,DATE(Planungsjahr,12,CL45),JP_ShowPAL,TRUE)&gt;0,"P",IF(COUNTIF(Feiertage,DATE(Planungsjahr,12,CL45))&gt;0,"h","w")),"")</f>
        <v>w</v>
      </c>
    </row>
    <row r="47" spans="2:92" ht="15.95" customHeight="1" x14ac:dyDescent="0.25">
      <c r="B47" s="177">
        <f>IF(OR(ISNUMBER(C47),ISNUMBER(U47)),_xlfn.ISOWEEKNUM(DATE(Planungsjahr,9,1)-WEEKDAY(DATE(Planungsjahr,9,1),2)+8),"")</f>
        <v>36</v>
      </c>
      <c r="C47" s="188">
        <f>IF(MONTH(DATE(Planungsjahr,9,1)-WEEKDAY(DATE(Planungsjahr,9,1),2)+8)=9,DAY(DATE(Planungsjahr,9,1)-WEEKDAY(DATE(Planungsjahr,9,1),2)+8),"")</f>
        <v>6</v>
      </c>
      <c r="D47" s="188"/>
      <c r="E47" s="188"/>
      <c r="F47" s="188">
        <f>IF(MONTH(DATE(Planungsjahr,9,1)-WEEKDAY(DATE(Planungsjahr,9,1),2)+9)=9,DAY(DATE(Planungsjahr,9,1)-WEEKDAY(DATE(Planungsjahr,9,1),2)+9),"")</f>
        <v>7</v>
      </c>
      <c r="G47" s="188"/>
      <c r="H47" s="188"/>
      <c r="I47" s="188">
        <f>IF(MONTH(DATE(Planungsjahr,9,1)-WEEKDAY(DATE(Planungsjahr,9,1),2)+10)=9,DAY(DATE(Planungsjahr,9,1)-WEEKDAY(DATE(Planungsjahr,9,1),2)+10),"")</f>
        <v>8</v>
      </c>
      <c r="J47" s="188"/>
      <c r="K47" s="188"/>
      <c r="L47" s="188">
        <f>IF(MONTH(DATE(Planungsjahr,9,1)-WEEKDAY(DATE(Planungsjahr,9,1),2)+11)=9,DAY(DATE(Planungsjahr,9,1)-WEEKDAY(DATE(Planungsjahr,9,1),2)+11),"")</f>
        <v>9</v>
      </c>
      <c r="M47" s="188"/>
      <c r="N47" s="188"/>
      <c r="O47" s="188">
        <f>IF(MONTH(DATE(Planungsjahr,9,1)-WEEKDAY(DATE(Planungsjahr,9,1),2)+12)=9,DAY(DATE(Planungsjahr,9,1)-WEEKDAY(DATE(Planungsjahr,9,1),2)+12),"")</f>
        <v>10</v>
      </c>
      <c r="P47" s="188"/>
      <c r="Q47" s="188"/>
      <c r="R47" s="188">
        <f>IF(MONTH(DATE(Planungsjahr,9,1)-WEEKDAY(DATE(Planungsjahr,9,1),2)+13)=9,DAY(DATE(Planungsjahr,9,1)-WEEKDAY(DATE(Planungsjahr,9,1),2)+13),"")</f>
        <v>11</v>
      </c>
      <c r="S47" s="188"/>
      <c r="T47" s="188"/>
      <c r="U47" s="188">
        <f>IF(MONTH(DATE(Planungsjahr,9,1)-WEEKDAY(DATE(Planungsjahr,9,1),2)+14)=9,DAY(DATE(Planungsjahr,9,1)-WEEKDAY(DATE(Planungsjahr,9,1),2)+14),"")</f>
        <v>12</v>
      </c>
      <c r="V47" s="188"/>
      <c r="W47" s="190"/>
      <c r="Y47" s="177">
        <f>IF(OR(ISNUMBER(Z47),ISNUMBER(AR47)),_xlfn.ISOWEEKNUM(DATE(Planungsjahr,10,1)-WEEKDAY(DATE(Planungsjahr,10,1),2)+8),"")</f>
        <v>40</v>
      </c>
      <c r="Z47" s="188">
        <f>IF(MONTH(DATE(Planungsjahr,10,1)-WEEKDAY(DATE(Planungsjahr,10,1),2)+8)=10,DAY(DATE(Planungsjahr,10,1)-WEEKDAY(DATE(Planungsjahr,10,1),2)+8),"")</f>
        <v>4</v>
      </c>
      <c r="AA47" s="188"/>
      <c r="AB47" s="188"/>
      <c r="AC47" s="188">
        <f>IF(MONTH(DATE(Planungsjahr,10,1)-WEEKDAY(DATE(Planungsjahr,10,1),2)+9)=10,DAY(DATE(Planungsjahr,10,1)-WEEKDAY(DATE(Planungsjahr,10,1),2)+9),"")</f>
        <v>5</v>
      </c>
      <c r="AD47" s="188"/>
      <c r="AE47" s="188"/>
      <c r="AF47" s="188">
        <f>IF(MONTH(DATE(Planungsjahr,10,1)-WEEKDAY(DATE(Planungsjahr,10,1),2)+10)=10,DAY(DATE(Planungsjahr,10,1)-WEEKDAY(DATE(Planungsjahr,10,1),2)+10),"")</f>
        <v>6</v>
      </c>
      <c r="AG47" s="188"/>
      <c r="AH47" s="188"/>
      <c r="AI47" s="188">
        <f>IF(MONTH(DATE(Planungsjahr,10,1)-WEEKDAY(DATE(Planungsjahr,10,1),2)+11)=10,DAY(DATE(Planungsjahr,10,1)-WEEKDAY(DATE(Planungsjahr,10,1),2)+11),"")</f>
        <v>7</v>
      </c>
      <c r="AJ47" s="188"/>
      <c r="AK47" s="188"/>
      <c r="AL47" s="188">
        <f>IF(MONTH(DATE(Planungsjahr,10,1)-WEEKDAY(DATE(Planungsjahr,10,1),2)+12)=10,DAY(DATE(Planungsjahr,10,1)-WEEKDAY(DATE(Planungsjahr,10,1),2)+12),"")</f>
        <v>8</v>
      </c>
      <c r="AM47" s="188"/>
      <c r="AN47" s="188"/>
      <c r="AO47" s="188">
        <f>IF(MONTH(DATE(Planungsjahr,10,1)-WEEKDAY(DATE(Planungsjahr,10,1),2)+13)=10,DAY(DATE(Planungsjahr,10,1)-WEEKDAY(DATE(Planungsjahr,10,1),2)+13),"")</f>
        <v>9</v>
      </c>
      <c r="AP47" s="188"/>
      <c r="AQ47" s="188"/>
      <c r="AR47" s="188">
        <f>IF(MONTH(DATE(Planungsjahr,10,1)-WEEKDAY(DATE(Planungsjahr,10,1),2)+14)=10,DAY(DATE(Planungsjahr,10,1)-WEEKDAY(DATE(Planungsjahr,10,1),2)+14),"")</f>
        <v>10</v>
      </c>
      <c r="AS47" s="188"/>
      <c r="AT47" s="190"/>
      <c r="AV47" s="177">
        <f>IF(OR(ISNUMBER(AW47),ISNUMBER(BO47)),_xlfn.ISOWEEKNUM(DATE(Planungsjahr,11,1)-WEEKDAY(DATE(Planungsjahr,11,1),2)+8),"")</f>
        <v>45</v>
      </c>
      <c r="AW47" s="188">
        <f>IF(MONTH(DATE(Planungsjahr,11,1)-WEEKDAY(DATE(Planungsjahr,11,1),2)+8)=11,DAY(DATE(Planungsjahr,11,1)-WEEKDAY(DATE(Planungsjahr,11,1),2)+8),"")</f>
        <v>8</v>
      </c>
      <c r="AX47" s="188"/>
      <c r="AY47" s="188"/>
      <c r="AZ47" s="188">
        <f>IF(MONTH(DATE(Planungsjahr,11,1)-WEEKDAY(DATE(Planungsjahr,11,1),2)+9)=11,DAY(DATE(Planungsjahr,11,1)-WEEKDAY(DATE(Planungsjahr,11,1),2)+9),"")</f>
        <v>9</v>
      </c>
      <c r="BA47" s="188"/>
      <c r="BB47" s="188"/>
      <c r="BC47" s="188">
        <f>IF(MONTH(DATE(Planungsjahr,11,1)-WEEKDAY(DATE(Planungsjahr,11,1),2)+10)=11,DAY(DATE(Planungsjahr,11,1)-WEEKDAY(DATE(Planungsjahr,11,1),2)+10),"")</f>
        <v>10</v>
      </c>
      <c r="BD47" s="188"/>
      <c r="BE47" s="188"/>
      <c r="BF47" s="188">
        <f>IF(MONTH(DATE(Planungsjahr,11,1)-WEEKDAY(DATE(Planungsjahr,11,1),2)+11)=11,DAY(DATE(Planungsjahr,11,1)-WEEKDAY(DATE(Planungsjahr,11,1),2)+11),"")</f>
        <v>11</v>
      </c>
      <c r="BG47" s="188"/>
      <c r="BH47" s="188"/>
      <c r="BI47" s="188">
        <f>IF(MONTH(DATE(Planungsjahr,11,1)-WEEKDAY(DATE(Planungsjahr,11,1),2)+12)=11,DAY(DATE(Planungsjahr,11,1)-WEEKDAY(DATE(Planungsjahr,11,1),2)+12),"")</f>
        <v>12</v>
      </c>
      <c r="BJ47" s="188"/>
      <c r="BK47" s="188"/>
      <c r="BL47" s="188">
        <f>IF(MONTH(DATE(Planungsjahr,11,1)-WEEKDAY(DATE(Planungsjahr,11,1),2)+13)=11,DAY(DATE(Planungsjahr,11,1)-WEEKDAY(DATE(Planungsjahr,11,1),2)+13),"")</f>
        <v>13</v>
      </c>
      <c r="BM47" s="188"/>
      <c r="BN47" s="188"/>
      <c r="BO47" s="188">
        <f>IF(MONTH(DATE(Planungsjahr,11,1)-WEEKDAY(DATE(Planungsjahr,11,1),2)+14)=11,DAY(DATE(Planungsjahr,11,1)-WEEKDAY(DATE(Planungsjahr,11,1),2)+14),"")</f>
        <v>14</v>
      </c>
      <c r="BP47" s="188"/>
      <c r="BQ47" s="190"/>
      <c r="BS47" s="177">
        <f>IF(OR(ISNUMBER(BT47),ISNUMBER(CL47)),_xlfn.ISOWEEKNUM(DATE(Planungsjahr,12,1)-WEEKDAY(DATE(Planungsjahr,12,1),2)+8),"")</f>
        <v>49</v>
      </c>
      <c r="BT47" s="188">
        <f>IF(MONTH(DATE(Planungsjahr,12,1)-WEEKDAY(DATE(Planungsjahr,12,1),2)+8)=12,DAY(DATE(Planungsjahr,12,1)-WEEKDAY(DATE(Planungsjahr,12,1),2)+8),"")</f>
        <v>6</v>
      </c>
      <c r="BU47" s="188"/>
      <c r="BV47" s="188"/>
      <c r="BW47" s="188">
        <f>IF(MONTH(DATE(Planungsjahr,12,1)-WEEKDAY(DATE(Planungsjahr,12,1),2)+9)=12,DAY(DATE(Planungsjahr,12,1)-WEEKDAY(DATE(Planungsjahr,12,1),2)+9),"")</f>
        <v>7</v>
      </c>
      <c r="BX47" s="188"/>
      <c r="BY47" s="188"/>
      <c r="BZ47" s="188">
        <f>IF(MONTH(DATE(Planungsjahr,12,1)-WEEKDAY(DATE(Planungsjahr,12,1),2)+10)=12,DAY(DATE(Planungsjahr,12,1)-WEEKDAY(DATE(Planungsjahr,12,1),2)+10),"")</f>
        <v>8</v>
      </c>
      <c r="CA47" s="188"/>
      <c r="CB47" s="188"/>
      <c r="CC47" s="188">
        <f>IF(MONTH(DATE(Planungsjahr,12,1)-WEEKDAY(DATE(Planungsjahr,12,1),2)+11)=12,DAY(DATE(Planungsjahr,12,1)-WEEKDAY(DATE(Planungsjahr,12,1),2)+11),"")</f>
        <v>9</v>
      </c>
      <c r="CD47" s="188"/>
      <c r="CE47" s="188"/>
      <c r="CF47" s="188">
        <f>IF(MONTH(DATE(Planungsjahr,12,1)-WEEKDAY(DATE(Planungsjahr,12,1),2)+12)=12,DAY(DATE(Planungsjahr,12,1)-WEEKDAY(DATE(Planungsjahr,12,1),2)+12),"")</f>
        <v>10</v>
      </c>
      <c r="CG47" s="188"/>
      <c r="CH47" s="188"/>
      <c r="CI47" s="188">
        <f>IF(MONTH(DATE(Planungsjahr,12,1)-WEEKDAY(DATE(Planungsjahr,12,1),2)+13)=12,DAY(DATE(Planungsjahr,12,1)-WEEKDAY(DATE(Planungsjahr,12,1),2)+13),"")</f>
        <v>11</v>
      </c>
      <c r="CJ47" s="188"/>
      <c r="CK47" s="188"/>
      <c r="CL47" s="188">
        <f>IF(MONTH(DATE(Planungsjahr,12,1)-WEEKDAY(DATE(Planungsjahr,12,1),2)+14)=12,DAY(DATE(Planungsjahr,12,1)-WEEKDAY(DATE(Planungsjahr,12,1),2)+14),"")</f>
        <v>12</v>
      </c>
      <c r="CM47" s="188"/>
      <c r="CN47" s="190"/>
    </row>
    <row r="48" spans="2:92" ht="10.5" customHeight="1" x14ac:dyDescent="0.25">
      <c r="B48" s="179"/>
      <c r="C48" s="159" t="str">
        <f>IF(ISNUMBER(C47),IF(COUNTIFS(JP_StartSel,DATE(Planungsjahr,9,C47),JP_ShowSel,TRUE)&gt;0,"S",IF(COUNTIF(Feiertage,DATE(Planungsjahr,9,C47))&gt;0,"h","")),"")</f>
        <v/>
      </c>
      <c r="D48" s="159" t="str">
        <f>IF(ISNUMBER(C47),IF(COUNTIFS(JP_StartInhalt,DATE(Planungsjahr,9,C47),JP_ShowInhalt,TRUE)&gt;0,"I",IF(COUNTIF(Feiertage,DATE(Planungsjahr,9,C47))&gt;0,"h","")),"")</f>
        <v/>
      </c>
      <c r="E48" s="159" t="str">
        <f>IF(ISNUMBER(C47),IF(COUNTIFS(JP_PAL,DATE(Planungsjahr,9,C47),JP_ShowPAL,TRUE)&gt;0,"P",IF(COUNTIF(Feiertage,DATE(Planungsjahr,9,C47))&gt;0,"h","")),"")</f>
        <v/>
      </c>
      <c r="F48" s="159" t="str">
        <f>IF(ISNUMBER(F47),IF(COUNTIFS(JP_StartSel,DATE(Planungsjahr,9,F47),JP_ShowSel,TRUE)&gt;0,"S",IF(COUNTIF(Feiertage,DATE(Planungsjahr,9,F47))&gt;0,"h","")),"")</f>
        <v/>
      </c>
      <c r="G48" s="159" t="str">
        <f>IF(ISNUMBER(F47),IF(COUNTIFS(JP_StartInhalt,DATE(Planungsjahr,9,F47),JP_ShowInhalt,TRUE)&gt;0,"I",IF(COUNTIF(Feiertage,DATE(Planungsjahr,9,F47))&gt;0,"h","")),"")</f>
        <v/>
      </c>
      <c r="H48" s="159" t="str">
        <f>IF(ISNUMBER(F47),IF(COUNTIFS(JP_PAL,DATE(Planungsjahr,9,F47),JP_ShowPAL,TRUE)&gt;0,"P",IF(COUNTIF(Feiertage,DATE(Planungsjahr,9,F47))&gt;0,"h","")),"")</f>
        <v/>
      </c>
      <c r="I48" s="159" t="str">
        <f>IF(ISNUMBER(I47),IF(COUNTIFS(JP_StartSel,DATE(Planungsjahr,9,I47),JP_ShowSel,TRUE)&gt;0,"S",IF(COUNTIF(Feiertage,DATE(Planungsjahr,9,I47))&gt;0,"h","")),"")</f>
        <v/>
      </c>
      <c r="J48" s="159" t="str">
        <f>IF(ISNUMBER(I47),IF(COUNTIFS(JP_StartInhalt,DATE(Planungsjahr,9,I47),JP_ShowInhalt,TRUE)&gt;0,"I",IF(COUNTIF(Feiertage,DATE(Planungsjahr,9,I47))&gt;0,"h","")),"")</f>
        <v/>
      </c>
      <c r="K48" s="159" t="str">
        <f>IF(ISNUMBER(I47),IF(COUNTIFS(JP_PAL,DATE(Planungsjahr,9,I47),JP_ShowPAL,TRUE)&gt;0,"P",IF(COUNTIF(Feiertage,DATE(Planungsjahr,9,I47))&gt;0,"h","")),"")</f>
        <v/>
      </c>
      <c r="L48" s="159" t="str">
        <f>IF(ISNUMBER(L47),IF(COUNTIFS(JP_StartSel,DATE(Planungsjahr,9,L47),JP_ShowSel,TRUE)&gt;0,"S",IF(COUNTIF(Feiertage,DATE(Planungsjahr,9,L47))&gt;0,"h","")),"")</f>
        <v/>
      </c>
      <c r="M48" s="159" t="str">
        <f>IF(ISNUMBER(L47),IF(COUNTIFS(JP_StartInhalt,DATE(Planungsjahr,9,L47),JP_ShowInhalt,TRUE)&gt;0,"I",IF(COUNTIF(Feiertage,DATE(Planungsjahr,9,L47))&gt;0,"h","")),"")</f>
        <v/>
      </c>
      <c r="N48" s="159" t="str">
        <f>IF(ISNUMBER(L47),IF(COUNTIFS(JP_PAL,DATE(Planungsjahr,9,L47),JP_ShowPAL,TRUE)&gt;0,"P",IF(COUNTIF(Feiertage,DATE(Planungsjahr,9,L47))&gt;0,"h","")),"")</f>
        <v/>
      </c>
      <c r="O48" s="159" t="str">
        <f>IF(ISNUMBER(O47),IF(COUNTIFS(JP_StartSel,DATE(Planungsjahr,9,O47),JP_ShowSel,TRUE)&gt;0,"S",IF(COUNTIF(Feiertage,DATE(Planungsjahr,9,O47))&gt;0,"h","")),"")</f>
        <v/>
      </c>
      <c r="P48" s="159" t="str">
        <f>IF(ISNUMBER(O47),IF(COUNTIFS(JP_StartInhalt,DATE(Planungsjahr,9,O47),JP_ShowInhalt,TRUE)&gt;0,"I",IF(COUNTIF(Feiertage,DATE(Planungsjahr,9,O47))&gt;0,"h","")),"")</f>
        <v/>
      </c>
      <c r="Q48" s="159" t="str">
        <f>IF(ISNUMBER(O47),IF(COUNTIFS(JP_PAL,DATE(Planungsjahr,9,O47),JP_ShowPAL,TRUE)&gt;0,"P",IF(COUNTIF(Feiertage,DATE(Planungsjahr,9,O47))&gt;0,"h","")),"")</f>
        <v/>
      </c>
      <c r="R48" s="159" t="str">
        <f>IF(ISNUMBER(R47),IF(COUNTIFS(JP_StartSel,DATE(Planungsjahr,9,R47),JP_ShowSel,TRUE)&gt;0,"S",IF(COUNTIF(Feiertage,DATE(Planungsjahr,9,R47))&gt;0,"h","w")),"")</f>
        <v>S</v>
      </c>
      <c r="S48" s="159" t="str">
        <f>IF(ISNUMBER(R47),IF(COUNTIFS(JP_StartInhalt,DATE(Planungsjahr,9,R47),JP_ShowInhalt,TRUE)&gt;0,"I",IF(COUNTIF(Feiertage,DATE(Planungsjahr,9,R47))&gt;0,"h","w")),"")</f>
        <v>w</v>
      </c>
      <c r="T48" s="159" t="str">
        <f>IF(ISNUMBER(R47),IF(COUNTIFS(JP_PAL,DATE(Planungsjahr,9,R47),JP_ShowPAL,TRUE)&gt;0,"P",IF(COUNTIF(Feiertage,DATE(Planungsjahr,9,R47))&gt;0,"h","w")),"")</f>
        <v>w</v>
      </c>
      <c r="U48" s="159" t="str">
        <f>IF(ISNUMBER(U47),IF(COUNTIFS(JP_StartSel,DATE(Planungsjahr,9,U47),JP_ShowSel,TRUE)&gt;0,"S",IF(COUNTIF(Feiertage,DATE(Planungsjahr,9,U47))&gt;0,"h","w")),"")</f>
        <v>w</v>
      </c>
      <c r="V48" s="159" t="str">
        <f>IF(ISNUMBER(U47),IF(COUNTIFS(JP_StartInhalt,DATE(Planungsjahr,9,U47),JP_ShowInhalt,TRUE)&gt;0,"I",IF(COUNTIF(Feiertage,DATE(Planungsjahr,9,U47))&gt;0,"h","w")),"")</f>
        <v>w</v>
      </c>
      <c r="W48" s="180" t="str">
        <f>IF(ISNUMBER(U47),IF(COUNTIFS(JP_PAL,DATE(Planungsjahr,9,U47),JP_ShowPAL,TRUE)&gt;0,"P",IF(COUNTIF(Feiertage,DATE(Planungsjahr,9,U47))&gt;0,"h","w")),"")</f>
        <v>w</v>
      </c>
      <c r="Y48" s="179"/>
      <c r="Z48" s="159" t="str">
        <f>IF(ISNUMBER(Z47),IF(COUNTIFS(JP_StartSel,DATE(Planungsjahr,10,Z47),JP_ShowSel,TRUE)&gt;0,"S",IF(COUNTIF(Feiertage,DATE(Planungsjahr,10,Z47))&gt;0,"h","")),"")</f>
        <v/>
      </c>
      <c r="AA48" s="159" t="str">
        <f>IF(ISNUMBER(Z47),IF(COUNTIFS(JP_StartInhalt,DATE(Planungsjahr,10,Z47),JP_ShowInhalt,TRUE)&gt;0,"I",IF(COUNTIF(Feiertage,DATE(Planungsjahr,10,Z47))&gt;0,"h","")),"")</f>
        <v/>
      </c>
      <c r="AB48" s="159" t="str">
        <f>IF(ISNUMBER(Z47),IF(COUNTIFS(JP_PAL,DATE(Planungsjahr,10,Z47),JP_ShowPAL,TRUE)&gt;0,"P",IF(COUNTIF(Feiertage,DATE(Planungsjahr,10,Z47))&gt;0,"h","")),"")</f>
        <v/>
      </c>
      <c r="AC48" s="159" t="str">
        <f>IF(ISNUMBER(AC47),IF(COUNTIFS(JP_StartSel,DATE(Planungsjahr,10,AC47),JP_ShowSel,TRUE)&gt;0,"S",IF(COUNTIF(Feiertage,DATE(Planungsjahr,10,AC47))&gt;0,"h","")),"")</f>
        <v/>
      </c>
      <c r="AD48" s="159" t="str">
        <f>IF(ISNUMBER(AC47),IF(COUNTIFS(JP_StartInhalt,DATE(Planungsjahr,10,AC47),JP_ShowInhalt,TRUE)&gt;0,"I",IF(COUNTIF(Feiertage,DATE(Planungsjahr,10,AC47))&gt;0,"h","")),"")</f>
        <v/>
      </c>
      <c r="AE48" s="159" t="str">
        <f>IF(ISNUMBER(AC47),IF(COUNTIFS(JP_PAL,DATE(Planungsjahr,10,AC47),JP_ShowPAL,TRUE)&gt;0,"P",IF(COUNTIF(Feiertage,DATE(Planungsjahr,10,AC47))&gt;0,"h","")),"")</f>
        <v/>
      </c>
      <c r="AF48" s="159" t="str">
        <f>IF(ISNUMBER(AF47),IF(COUNTIFS(JP_StartSel,DATE(Planungsjahr,10,AF47),JP_ShowSel,TRUE)&gt;0,"S",IF(COUNTIF(Feiertage,DATE(Planungsjahr,10,AF47))&gt;0,"h","")),"")</f>
        <v/>
      </c>
      <c r="AG48" s="159" t="str">
        <f>IF(ISNUMBER(AF47),IF(COUNTIFS(JP_StartInhalt,DATE(Planungsjahr,10,AF47),JP_ShowInhalt,TRUE)&gt;0,"I",IF(COUNTIF(Feiertage,DATE(Planungsjahr,10,AF47))&gt;0,"h","")),"")</f>
        <v/>
      </c>
      <c r="AH48" s="159" t="str">
        <f>IF(ISNUMBER(AF47),IF(COUNTIFS(JP_PAL,DATE(Planungsjahr,10,AF47),JP_ShowPAL,TRUE)&gt;0,"P",IF(COUNTIF(Feiertage,DATE(Planungsjahr,10,AF47))&gt;0,"h","")),"")</f>
        <v/>
      </c>
      <c r="AI48" s="159" t="str">
        <f>IF(ISNUMBER(AI47),IF(COUNTIFS(JP_StartSel,DATE(Planungsjahr,10,AI47),JP_ShowSel,TRUE)&gt;0,"S",IF(COUNTIF(Feiertage,DATE(Planungsjahr,10,AI47))&gt;0,"h","")),"")</f>
        <v/>
      </c>
      <c r="AJ48" s="159" t="str">
        <f>IF(ISNUMBER(AI47),IF(COUNTIFS(JP_StartInhalt,DATE(Planungsjahr,10,AI47),JP_ShowInhalt,TRUE)&gt;0,"I",IF(COUNTIF(Feiertage,DATE(Planungsjahr,10,AI47))&gt;0,"h","")),"")</f>
        <v/>
      </c>
      <c r="AK48" s="159" t="str">
        <f>IF(ISNUMBER(AI47),IF(COUNTIFS(JP_PAL,DATE(Planungsjahr,10,AI47),JP_ShowPAL,TRUE)&gt;0,"P",IF(COUNTIF(Feiertage,DATE(Planungsjahr,10,AI47))&gt;0,"h","")),"")</f>
        <v/>
      </c>
      <c r="AL48" s="159" t="str">
        <f>IF(ISNUMBER(AL47),IF(COUNTIFS(JP_StartSel,DATE(Planungsjahr,10,AL47),JP_ShowSel,TRUE)&gt;0,"S",IF(COUNTIF(Feiertage,DATE(Planungsjahr,10,AL47))&gt;0,"h","")),"")</f>
        <v/>
      </c>
      <c r="AM48" s="159" t="str">
        <f>IF(ISNUMBER(AL47),IF(COUNTIFS(JP_StartInhalt,DATE(Planungsjahr,10,AL47),JP_ShowInhalt,TRUE)&gt;0,"I",IF(COUNTIF(Feiertage,DATE(Planungsjahr,10,AL47))&gt;0,"h","")),"")</f>
        <v/>
      </c>
      <c r="AN48" s="159" t="str">
        <f>IF(ISNUMBER(AL47),IF(COUNTIFS(JP_PAL,DATE(Planungsjahr,10,AL47),JP_ShowPAL,TRUE)&gt;0,"P",IF(COUNTIF(Feiertage,DATE(Planungsjahr,10,AL47))&gt;0,"h","")),"")</f>
        <v>P</v>
      </c>
      <c r="AO48" s="159" t="str">
        <f>IF(ISNUMBER(AO47),IF(COUNTIFS(JP_StartSel,DATE(Planungsjahr,10,AO47),JP_ShowSel,TRUE)&gt;0,"S",IF(COUNTIF(Feiertage,DATE(Planungsjahr,10,AO47))&gt;0,"h","w")),"")</f>
        <v>w</v>
      </c>
      <c r="AP48" s="159" t="str">
        <f>IF(ISNUMBER(AO47),IF(COUNTIFS(JP_StartInhalt,DATE(Planungsjahr,10,AO47),JP_ShowInhalt,TRUE)&gt;0,"I",IF(COUNTIF(Feiertage,DATE(Planungsjahr,10,AO47))&gt;0,"h","w")),"")</f>
        <v>w</v>
      </c>
      <c r="AQ48" s="159" t="str">
        <f>IF(ISNUMBER(AO47),IF(COUNTIFS(JP_PAL,DATE(Planungsjahr,10,AO47),JP_ShowPAL,TRUE)&gt;0,"P",IF(COUNTIF(Feiertage,DATE(Planungsjahr,10,AO47))&gt;0,"h","w")),"")</f>
        <v>w</v>
      </c>
      <c r="AR48" s="159" t="str">
        <f>IF(ISNUMBER(AR47),IF(COUNTIFS(JP_StartSel,DATE(Planungsjahr,10,AR47),JP_ShowSel,TRUE)&gt;0,"S",IF(COUNTIF(Feiertage,DATE(Planungsjahr,10,AR47))&gt;0,"h","w")),"")</f>
        <v>w</v>
      </c>
      <c r="AS48" s="159" t="str">
        <f>IF(ISNUMBER(AR47),IF(COUNTIFS(JP_StartInhalt,DATE(Planungsjahr,10,AR47),JP_ShowInhalt,TRUE)&gt;0,"I",IF(COUNTIF(Feiertage,DATE(Planungsjahr,10,AR47))&gt;0,"h","w")),"")</f>
        <v>w</v>
      </c>
      <c r="AT48" s="180" t="str">
        <f>IF(ISNUMBER(AR47),IF(COUNTIFS(JP_PAL,DATE(Planungsjahr,10,AR47),JP_ShowPAL,TRUE)&gt;0,"P",IF(COUNTIF(Feiertage,DATE(Planungsjahr,10,AR47))&gt;0,"h","w")),"")</f>
        <v>w</v>
      </c>
      <c r="AV48" s="179"/>
      <c r="AW48" s="159" t="str">
        <f>IF(ISNUMBER(AW47),IF(COUNTIFS(JP_StartSel,DATE(Planungsjahr,11,AW47),JP_ShowSel,TRUE)&gt;0,"S",IF(COUNTIF(Feiertage,DATE(Planungsjahr,11,AW47))&gt;0,"h","")),"")</f>
        <v/>
      </c>
      <c r="AX48" s="159" t="str">
        <f>IF(ISNUMBER(AW47),IF(COUNTIFS(JP_StartInhalt,DATE(Planungsjahr,11,AW47),JP_ShowInhalt,TRUE)&gt;0,"I",IF(COUNTIF(Feiertage,DATE(Planungsjahr,11,AW47))&gt;0,"h","")),"")</f>
        <v/>
      </c>
      <c r="AY48" s="159" t="str">
        <f>IF(ISNUMBER(AW47),IF(COUNTIFS(JP_PAL,DATE(Planungsjahr,11,AW47),JP_ShowPAL,TRUE)&gt;0,"P",IF(COUNTIF(Feiertage,DATE(Planungsjahr,11,AW47))&gt;0,"h","")),"")</f>
        <v/>
      </c>
      <c r="AZ48" s="159" t="str">
        <f>IF(ISNUMBER(AZ47),IF(COUNTIFS(JP_StartSel,DATE(Planungsjahr,11,AZ47),JP_ShowSel,TRUE)&gt;0,"S",IF(COUNTIF(Feiertage,DATE(Planungsjahr,11,AZ47))&gt;0,"h","")),"")</f>
        <v/>
      </c>
      <c r="BA48" s="159" t="str">
        <f>IF(ISNUMBER(AZ47),IF(COUNTIFS(JP_StartInhalt,DATE(Planungsjahr,11,AZ47),JP_ShowInhalt,TRUE)&gt;0,"I",IF(COUNTIF(Feiertage,DATE(Planungsjahr,11,AZ47))&gt;0,"h","")),"")</f>
        <v/>
      </c>
      <c r="BB48" s="159" t="str">
        <f>IF(ISNUMBER(AZ47),IF(COUNTIFS(JP_PAL,DATE(Planungsjahr,11,AZ47),JP_ShowPAL,TRUE)&gt;0,"P",IF(COUNTIF(Feiertage,DATE(Planungsjahr,11,AZ47))&gt;0,"h","")),"")</f>
        <v/>
      </c>
      <c r="BC48" s="159" t="str">
        <f>IF(ISNUMBER(BC47),IF(COUNTIFS(JP_StartSel,DATE(Planungsjahr,11,BC47),JP_ShowSel,TRUE)&gt;0,"S",IF(COUNTIF(Feiertage,DATE(Planungsjahr,11,BC47))&gt;0,"h","")),"")</f>
        <v/>
      </c>
      <c r="BD48" s="159" t="str">
        <f>IF(ISNUMBER(BC47),IF(COUNTIFS(JP_StartInhalt,DATE(Planungsjahr,11,BC47),JP_ShowInhalt,TRUE)&gt;0,"I",IF(COUNTIF(Feiertage,DATE(Planungsjahr,11,BC47))&gt;0,"h","")),"")</f>
        <v/>
      </c>
      <c r="BE48" s="159" t="str">
        <f>IF(ISNUMBER(BC47),IF(COUNTIFS(JP_PAL,DATE(Planungsjahr,11,BC47),JP_ShowPAL,TRUE)&gt;0,"P",IF(COUNTIF(Feiertage,DATE(Planungsjahr,11,BC47))&gt;0,"h","")),"")</f>
        <v/>
      </c>
      <c r="BF48" s="159" t="str">
        <f>IF(ISNUMBER(BF47),IF(COUNTIFS(JP_StartSel,DATE(Planungsjahr,11,BF47),JP_ShowSel,TRUE)&gt;0,"S",IF(COUNTIF(Feiertage,DATE(Planungsjahr,11,BF47))&gt;0,"h","")),"")</f>
        <v/>
      </c>
      <c r="BG48" s="159" t="str">
        <f>IF(ISNUMBER(BF47),IF(COUNTIFS(JP_StartInhalt,DATE(Planungsjahr,11,BF47),JP_ShowInhalt,TRUE)&gt;0,"I",IF(COUNTIF(Feiertage,DATE(Planungsjahr,11,BF47))&gt;0,"h","")),"")</f>
        <v/>
      </c>
      <c r="BH48" s="159" t="str">
        <f>IF(ISNUMBER(BF47),IF(COUNTIFS(JP_PAL,DATE(Planungsjahr,11,BF47),JP_ShowPAL,TRUE)&gt;0,"P",IF(COUNTIF(Feiertage,DATE(Planungsjahr,11,BF47))&gt;0,"h","")),"")</f>
        <v/>
      </c>
      <c r="BI48" s="159" t="str">
        <f>IF(ISNUMBER(BI47),IF(COUNTIFS(JP_StartSel,DATE(Planungsjahr,11,BI47),JP_ShowSel,TRUE)&gt;0,"S",IF(COUNTIF(Feiertage,DATE(Planungsjahr,11,BI47))&gt;0,"h","")),"")</f>
        <v/>
      </c>
      <c r="BJ48" s="159" t="str">
        <f>IF(ISNUMBER(BI47),IF(COUNTIFS(JP_StartInhalt,DATE(Planungsjahr,11,BI47),JP_ShowInhalt,TRUE)&gt;0,"I",IF(COUNTIF(Feiertage,DATE(Planungsjahr,11,BI47))&gt;0,"h","")),"")</f>
        <v/>
      </c>
      <c r="BK48" s="159" t="str">
        <f>IF(ISNUMBER(BI47),IF(COUNTIFS(JP_PAL,DATE(Planungsjahr,11,BI47),JP_ShowPAL,TRUE)&gt;0,"P",IF(COUNTIF(Feiertage,DATE(Planungsjahr,11,BI47))&gt;0,"h","")),"")</f>
        <v/>
      </c>
      <c r="BL48" s="159" t="str">
        <f>IF(ISNUMBER(BL47),IF(COUNTIFS(JP_StartSel,DATE(Planungsjahr,11,BL47),JP_ShowSel,TRUE)&gt;0,"S",IF(COUNTIF(Feiertage,DATE(Planungsjahr,11,BL47))&gt;0,"h","w")),"")</f>
        <v>w</v>
      </c>
      <c r="BM48" s="159" t="str">
        <f>IF(ISNUMBER(BL47),IF(COUNTIFS(JP_StartInhalt,DATE(Planungsjahr,11,BL47),JP_ShowInhalt,TRUE)&gt;0,"I",IF(COUNTIF(Feiertage,DATE(Planungsjahr,11,BL47))&gt;0,"h","w")),"")</f>
        <v>w</v>
      </c>
      <c r="BN48" s="159" t="str">
        <f>IF(ISNUMBER(BL47),IF(COUNTIFS(JP_PAL,DATE(Planungsjahr,11,BL47),JP_ShowPAL,TRUE)&gt;0,"P",IF(COUNTIF(Feiertage,DATE(Planungsjahr,11,BL47))&gt;0,"h","w")),"")</f>
        <v>w</v>
      </c>
      <c r="BO48" s="159" t="str">
        <f>IF(ISNUMBER(BO47),IF(COUNTIFS(JP_StartSel,DATE(Planungsjahr,11,BO47),JP_ShowSel,TRUE)&gt;0,"S",IF(COUNTIF(Feiertage,DATE(Planungsjahr,11,BO47))&gt;0,"h","w")),"")</f>
        <v>w</v>
      </c>
      <c r="BP48" s="159" t="str">
        <f>IF(ISNUMBER(BO47),IF(COUNTIFS(JP_StartInhalt,DATE(Planungsjahr,11,BO47),JP_ShowInhalt,TRUE)&gt;0,"I",IF(COUNTIF(Feiertage,DATE(Planungsjahr,11,BO47))&gt;0,"h","w")),"")</f>
        <v>w</v>
      </c>
      <c r="BQ48" s="180" t="str">
        <f>IF(ISNUMBER(BO47),IF(COUNTIFS(JP_PAL,DATE(Planungsjahr,11,BO47),JP_ShowPAL,TRUE)&gt;0,"P",IF(COUNTIF(Feiertage,DATE(Planungsjahr,11,BO47))&gt;0,"h","w")),"")</f>
        <v>w</v>
      </c>
      <c r="BS48" s="179"/>
      <c r="BT48" s="159" t="str">
        <f>IF(ISNUMBER(BT47),IF(COUNTIFS(JP_StartSel,DATE(Planungsjahr,12,BT47),JP_ShowSel,TRUE)&gt;0,"S",IF(COUNTIF(Feiertage,DATE(Planungsjahr,12,BT47))&gt;0,"h","")),"")</f>
        <v/>
      </c>
      <c r="BU48" s="159" t="str">
        <f>IF(ISNUMBER(BT47),IF(COUNTIFS(JP_StartInhalt,DATE(Planungsjahr,12,BT47),JP_ShowInhalt,TRUE)&gt;0,"I",IF(COUNTIF(Feiertage,DATE(Planungsjahr,12,BT47))&gt;0,"h","")),"")</f>
        <v/>
      </c>
      <c r="BV48" s="159" t="str">
        <f>IF(ISNUMBER(BT47),IF(COUNTIFS(JP_PAL,DATE(Planungsjahr,12,BT47),JP_ShowPAL,TRUE)&gt;0,"P",IF(COUNTIF(Feiertage,DATE(Planungsjahr,12,BT47))&gt;0,"h","")),"")</f>
        <v/>
      </c>
      <c r="BW48" s="159" t="str">
        <f>IF(ISNUMBER(BW47),IF(COUNTIFS(JP_StartSel,DATE(Planungsjahr,12,BW47),JP_ShowSel,TRUE)&gt;0,"S",IF(COUNTIF(Feiertage,DATE(Planungsjahr,12,BW47))&gt;0,"h","")),"")</f>
        <v/>
      </c>
      <c r="BX48" s="159" t="str">
        <f>IF(ISNUMBER(BW47),IF(COUNTIFS(JP_StartInhalt,DATE(Planungsjahr,12,BW47),JP_ShowInhalt,TRUE)&gt;0,"I",IF(COUNTIF(Feiertage,DATE(Planungsjahr,12,BW47))&gt;0,"h","")),"")</f>
        <v/>
      </c>
      <c r="BY48" s="159" t="str">
        <f>IF(ISNUMBER(BW47),IF(COUNTIFS(JP_PAL,DATE(Planungsjahr,12,BW47),JP_ShowPAL,TRUE)&gt;0,"P",IF(COUNTIF(Feiertage,DATE(Planungsjahr,12,BW47))&gt;0,"h","")),"")</f>
        <v/>
      </c>
      <c r="BZ48" s="159" t="str">
        <f>IF(ISNUMBER(BZ47),IF(COUNTIFS(JP_StartSel,DATE(Planungsjahr,12,BZ47),JP_ShowSel,TRUE)&gt;0,"S",IF(COUNTIF(Feiertage,DATE(Planungsjahr,12,BZ47))&gt;0,"h","")),"")</f>
        <v/>
      </c>
      <c r="CA48" s="159" t="str">
        <f>IF(ISNUMBER(BZ47),IF(COUNTIFS(JP_StartInhalt,DATE(Planungsjahr,12,BZ47),JP_ShowInhalt,TRUE)&gt;0,"I",IF(COUNTIF(Feiertage,DATE(Planungsjahr,12,BZ47))&gt;0,"h","")),"")</f>
        <v/>
      </c>
      <c r="CB48" s="159" t="str">
        <f>IF(ISNUMBER(BZ47),IF(COUNTIFS(JP_PAL,DATE(Planungsjahr,12,BZ47),JP_ShowPAL,TRUE)&gt;0,"P",IF(COUNTIF(Feiertage,DATE(Planungsjahr,12,BZ47))&gt;0,"h","")),"")</f>
        <v/>
      </c>
      <c r="CC48" s="159" t="str">
        <f>IF(ISNUMBER(CC47),IF(COUNTIFS(JP_StartSel,DATE(Planungsjahr,12,CC47),JP_ShowSel,TRUE)&gt;0,"S",IF(COUNTIF(Feiertage,DATE(Planungsjahr,12,CC47))&gt;0,"h","")),"")</f>
        <v/>
      </c>
      <c r="CD48" s="159" t="str">
        <f>IF(ISNUMBER(CC47),IF(COUNTIFS(JP_StartInhalt,DATE(Planungsjahr,12,CC47),JP_ShowInhalt,TRUE)&gt;0,"I",IF(COUNTIF(Feiertage,DATE(Planungsjahr,12,CC47))&gt;0,"h","")),"")</f>
        <v/>
      </c>
      <c r="CE48" s="159" t="str">
        <f>IF(ISNUMBER(CC47),IF(COUNTIFS(JP_PAL,DATE(Planungsjahr,12,CC47),JP_ShowPAL,TRUE)&gt;0,"P",IF(COUNTIF(Feiertage,DATE(Planungsjahr,12,CC47))&gt;0,"h","")),"")</f>
        <v/>
      </c>
      <c r="CF48" s="159" t="str">
        <f>IF(ISNUMBER(CF47),IF(COUNTIFS(JP_StartSel,DATE(Planungsjahr,12,CF47),JP_ShowSel,TRUE)&gt;0,"S",IF(COUNTIF(Feiertage,DATE(Planungsjahr,12,CF47))&gt;0,"h","")),"")</f>
        <v/>
      </c>
      <c r="CG48" s="159" t="str">
        <f>IF(ISNUMBER(CF47),IF(COUNTIFS(JP_StartInhalt,DATE(Planungsjahr,12,CF47),JP_ShowInhalt,TRUE)&gt;0,"I",IF(COUNTIF(Feiertage,DATE(Planungsjahr,12,CF47))&gt;0,"h","")),"")</f>
        <v/>
      </c>
      <c r="CH48" s="159" t="str">
        <f>IF(ISNUMBER(CF47),IF(COUNTIFS(JP_PAL,DATE(Planungsjahr,12,CF47),JP_ShowPAL,TRUE)&gt;0,"P",IF(COUNTIF(Feiertage,DATE(Planungsjahr,12,CF47))&gt;0,"h","")),"")</f>
        <v>P</v>
      </c>
      <c r="CI48" s="159" t="str">
        <f>IF(ISNUMBER(CI47),IF(COUNTIFS(JP_StartSel,DATE(Planungsjahr,12,CI47),JP_ShowSel,TRUE)&gt;0,"S",IF(COUNTIF(Feiertage,DATE(Planungsjahr,12,CI47))&gt;0,"h","w")),"")</f>
        <v>w</v>
      </c>
      <c r="CJ48" s="159" t="str">
        <f>IF(ISNUMBER(CI47),IF(COUNTIFS(JP_StartInhalt,DATE(Planungsjahr,12,CI47),JP_ShowInhalt,TRUE)&gt;0,"I",IF(COUNTIF(Feiertage,DATE(Planungsjahr,12,CI47))&gt;0,"h","w")),"")</f>
        <v>w</v>
      </c>
      <c r="CK48" s="159" t="str">
        <f>IF(ISNUMBER(CI47),IF(COUNTIFS(JP_PAL,DATE(Planungsjahr,12,CI47),JP_ShowPAL,TRUE)&gt;0,"P",IF(COUNTIF(Feiertage,DATE(Planungsjahr,12,CI47))&gt;0,"h","w")),"")</f>
        <v>w</v>
      </c>
      <c r="CL48" s="159" t="str">
        <f>IF(ISNUMBER(CL47),IF(COUNTIFS(JP_StartSel,DATE(Planungsjahr,12,CL47),JP_ShowSel,TRUE)&gt;0,"S",IF(COUNTIF(Feiertage,DATE(Planungsjahr,12,CL47))&gt;0,"h","w")),"")</f>
        <v>w</v>
      </c>
      <c r="CM48" s="159" t="str">
        <f>IF(ISNUMBER(CL47),IF(COUNTIFS(JP_StartInhalt,DATE(Planungsjahr,12,CL47),JP_ShowInhalt,TRUE)&gt;0,"I",IF(COUNTIF(Feiertage,DATE(Planungsjahr,12,CL47))&gt;0,"h","w")),"")</f>
        <v>w</v>
      </c>
      <c r="CN48" s="180" t="str">
        <f>IF(ISNUMBER(CL47),IF(COUNTIFS(JP_PAL,DATE(Planungsjahr,12,CL47),JP_ShowPAL,TRUE)&gt;0,"P",IF(COUNTIF(Feiertage,DATE(Planungsjahr,12,CL47))&gt;0,"h","w")),"")</f>
        <v>w</v>
      </c>
    </row>
    <row r="49" spans="2:92" ht="15.95" customHeight="1" x14ac:dyDescent="0.25">
      <c r="B49" s="177">
        <f>IF(OR(ISNUMBER(C49),ISNUMBER(U49)),_xlfn.ISOWEEKNUM(DATE(Planungsjahr,9,1)-WEEKDAY(DATE(Planungsjahr,9,1),2)+15),"")</f>
        <v>37</v>
      </c>
      <c r="C49" s="188">
        <f>IF(MONTH(DATE(Planungsjahr,9,1)-WEEKDAY(DATE(Planungsjahr,9,1),2)+15)=9,DAY(DATE(Planungsjahr,9,1)-WEEKDAY(DATE(Planungsjahr,9,1),2)+15),"")</f>
        <v>13</v>
      </c>
      <c r="D49" s="188"/>
      <c r="E49" s="188"/>
      <c r="F49" s="188">
        <f>IF(MONTH(DATE(Planungsjahr,9,1)-WEEKDAY(DATE(Planungsjahr,9,1),2)+16)=9,DAY(DATE(Planungsjahr,9,1)-WEEKDAY(DATE(Planungsjahr,9,1),2)+16),"")</f>
        <v>14</v>
      </c>
      <c r="G49" s="188"/>
      <c r="H49" s="188"/>
      <c r="I49" s="188">
        <f>IF(MONTH(DATE(Planungsjahr,9,1)-WEEKDAY(DATE(Planungsjahr,9,1),2)+17)=9,DAY(DATE(Planungsjahr,9,1)-WEEKDAY(DATE(Planungsjahr,9,1),2)+17),"")</f>
        <v>15</v>
      </c>
      <c r="J49" s="188"/>
      <c r="K49" s="188"/>
      <c r="L49" s="188">
        <f>IF(MONTH(DATE(Planungsjahr,9,1)-WEEKDAY(DATE(Planungsjahr,9,1),2)+18)=9,DAY(DATE(Planungsjahr,9,1)-WEEKDAY(DATE(Planungsjahr,9,1),2)+18),"")</f>
        <v>16</v>
      </c>
      <c r="M49" s="188"/>
      <c r="N49" s="188"/>
      <c r="O49" s="188">
        <f>IF(MONTH(DATE(Planungsjahr,9,1)-WEEKDAY(DATE(Planungsjahr,9,1),2)+19)=9,DAY(DATE(Planungsjahr,9,1)-WEEKDAY(DATE(Planungsjahr,9,1),2)+19),"")</f>
        <v>17</v>
      </c>
      <c r="P49" s="188"/>
      <c r="Q49" s="188"/>
      <c r="R49" s="188">
        <f>IF(MONTH(DATE(Planungsjahr,9,1)-WEEKDAY(DATE(Planungsjahr,9,1),2)+20)=9,DAY(DATE(Planungsjahr,9,1)-WEEKDAY(DATE(Planungsjahr,9,1),2)+20),"")</f>
        <v>18</v>
      </c>
      <c r="S49" s="188"/>
      <c r="T49" s="188"/>
      <c r="U49" s="188">
        <f>IF(MONTH(DATE(Planungsjahr,9,1)-WEEKDAY(DATE(Planungsjahr,9,1),2)+21)=9,DAY(DATE(Planungsjahr,9,1)-WEEKDAY(DATE(Planungsjahr,9,1),2)+21),"")</f>
        <v>19</v>
      </c>
      <c r="V49" s="188"/>
      <c r="W49" s="190"/>
      <c r="Y49" s="177">
        <f>IF(OR(ISNUMBER(Z49),ISNUMBER(AR49)),_xlfn.ISOWEEKNUM(DATE(Planungsjahr,10,1)-WEEKDAY(DATE(Planungsjahr,10,1),2)+15),"")</f>
        <v>41</v>
      </c>
      <c r="Z49" s="188">
        <f>IF(MONTH(DATE(Planungsjahr,10,1)-WEEKDAY(DATE(Planungsjahr,10,1),2)+15)=10,DAY(DATE(Planungsjahr,10,1)-WEEKDAY(DATE(Planungsjahr,10,1),2)+15),"")</f>
        <v>11</v>
      </c>
      <c r="AA49" s="188"/>
      <c r="AB49" s="188"/>
      <c r="AC49" s="188">
        <f>IF(MONTH(DATE(Planungsjahr,10,1)-WEEKDAY(DATE(Planungsjahr,10,1),2)+16)=10,DAY(DATE(Planungsjahr,10,1)-WEEKDAY(DATE(Planungsjahr,10,1),2)+16),"")</f>
        <v>12</v>
      </c>
      <c r="AD49" s="188"/>
      <c r="AE49" s="188"/>
      <c r="AF49" s="188">
        <f>IF(MONTH(DATE(Planungsjahr,10,1)-WEEKDAY(DATE(Planungsjahr,10,1),2)+17)=10,DAY(DATE(Planungsjahr,10,1)-WEEKDAY(DATE(Planungsjahr,10,1),2)+17),"")</f>
        <v>13</v>
      </c>
      <c r="AG49" s="188"/>
      <c r="AH49" s="188"/>
      <c r="AI49" s="188">
        <f>IF(MONTH(DATE(Planungsjahr,10,1)-WEEKDAY(DATE(Planungsjahr,10,1),2)+18)=10,DAY(DATE(Planungsjahr,10,1)-WEEKDAY(DATE(Planungsjahr,10,1),2)+18),"")</f>
        <v>14</v>
      </c>
      <c r="AJ49" s="188"/>
      <c r="AK49" s="188"/>
      <c r="AL49" s="188">
        <f>IF(MONTH(DATE(Planungsjahr,10,1)-WEEKDAY(DATE(Planungsjahr,10,1),2)+19)=10,DAY(DATE(Planungsjahr,10,1)-WEEKDAY(DATE(Planungsjahr,10,1),2)+19),"")</f>
        <v>15</v>
      </c>
      <c r="AM49" s="188"/>
      <c r="AN49" s="188"/>
      <c r="AO49" s="188">
        <f>IF(MONTH(DATE(Planungsjahr,10,1)-WEEKDAY(DATE(Planungsjahr,10,1),2)+20)=10,DAY(DATE(Planungsjahr,10,1)-WEEKDAY(DATE(Planungsjahr,10,1),2)+20),"")</f>
        <v>16</v>
      </c>
      <c r="AP49" s="188"/>
      <c r="AQ49" s="188"/>
      <c r="AR49" s="188">
        <f>IF(MONTH(DATE(Planungsjahr,10,1)-WEEKDAY(DATE(Planungsjahr,10,1),2)+21)=10,DAY(DATE(Planungsjahr,10,1)-WEEKDAY(DATE(Planungsjahr,10,1),2)+21),"")</f>
        <v>17</v>
      </c>
      <c r="AS49" s="188"/>
      <c r="AT49" s="190"/>
      <c r="AV49" s="177">
        <f>IF(OR(ISNUMBER(AW49),ISNUMBER(BO49)),_xlfn.ISOWEEKNUM(DATE(Planungsjahr,11,1)-WEEKDAY(DATE(Planungsjahr,11,1),2)+15),"")</f>
        <v>46</v>
      </c>
      <c r="AW49" s="188">
        <f>IF(MONTH(DATE(Planungsjahr,11,1)-WEEKDAY(DATE(Planungsjahr,11,1),2)+15)=11,DAY(DATE(Planungsjahr,11,1)-WEEKDAY(DATE(Planungsjahr,11,1),2)+15),"")</f>
        <v>15</v>
      </c>
      <c r="AX49" s="188"/>
      <c r="AY49" s="188"/>
      <c r="AZ49" s="188">
        <f>IF(MONTH(DATE(Planungsjahr,11,1)-WEEKDAY(DATE(Planungsjahr,11,1),2)+16)=11,DAY(DATE(Planungsjahr,11,1)-WEEKDAY(DATE(Planungsjahr,11,1),2)+16),"")</f>
        <v>16</v>
      </c>
      <c r="BA49" s="188"/>
      <c r="BB49" s="188"/>
      <c r="BC49" s="188">
        <f>IF(MONTH(DATE(Planungsjahr,11,1)-WEEKDAY(DATE(Planungsjahr,11,1),2)+17)=11,DAY(DATE(Planungsjahr,11,1)-WEEKDAY(DATE(Planungsjahr,11,1),2)+17),"")</f>
        <v>17</v>
      </c>
      <c r="BD49" s="188"/>
      <c r="BE49" s="188"/>
      <c r="BF49" s="188">
        <f>IF(MONTH(DATE(Planungsjahr,11,1)-WEEKDAY(DATE(Planungsjahr,11,1),2)+18)=11,DAY(DATE(Planungsjahr,11,1)-WEEKDAY(DATE(Planungsjahr,11,1),2)+18),"")</f>
        <v>18</v>
      </c>
      <c r="BG49" s="188"/>
      <c r="BH49" s="188"/>
      <c r="BI49" s="188">
        <f>IF(MONTH(DATE(Planungsjahr,11,1)-WEEKDAY(DATE(Planungsjahr,11,1),2)+19)=11,DAY(DATE(Planungsjahr,11,1)-WEEKDAY(DATE(Planungsjahr,11,1),2)+19),"")</f>
        <v>19</v>
      </c>
      <c r="BJ49" s="188"/>
      <c r="BK49" s="188"/>
      <c r="BL49" s="188">
        <f>IF(MONTH(DATE(Planungsjahr,11,1)-WEEKDAY(DATE(Planungsjahr,11,1),2)+20)=11,DAY(DATE(Planungsjahr,11,1)-WEEKDAY(DATE(Planungsjahr,11,1),2)+20),"")</f>
        <v>20</v>
      </c>
      <c r="BM49" s="188"/>
      <c r="BN49" s="188"/>
      <c r="BO49" s="188">
        <f>IF(MONTH(DATE(Planungsjahr,11,1)-WEEKDAY(DATE(Planungsjahr,11,1),2)+21)=11,DAY(DATE(Planungsjahr,11,1)-WEEKDAY(DATE(Planungsjahr,11,1),2)+21),"")</f>
        <v>21</v>
      </c>
      <c r="BP49" s="188"/>
      <c r="BQ49" s="190"/>
      <c r="BS49" s="177">
        <f>IF(OR(ISNUMBER(BT49),ISNUMBER(CL49)),_xlfn.ISOWEEKNUM(DATE(Planungsjahr,12,1)-WEEKDAY(DATE(Planungsjahr,12,1),2)+15),"")</f>
        <v>50</v>
      </c>
      <c r="BT49" s="188">
        <f>IF(MONTH(DATE(Planungsjahr,12,1)-WEEKDAY(DATE(Planungsjahr,12,1),2)+15)=12,DAY(DATE(Planungsjahr,12,1)-WEEKDAY(DATE(Planungsjahr,12,1),2)+15),"")</f>
        <v>13</v>
      </c>
      <c r="BU49" s="188"/>
      <c r="BV49" s="188"/>
      <c r="BW49" s="188">
        <f>IF(MONTH(DATE(Planungsjahr,12,1)-WEEKDAY(DATE(Planungsjahr,12,1),2)+16)=12,DAY(DATE(Planungsjahr,12,1)-WEEKDAY(DATE(Planungsjahr,12,1),2)+16),"")</f>
        <v>14</v>
      </c>
      <c r="BX49" s="188"/>
      <c r="BY49" s="188"/>
      <c r="BZ49" s="188">
        <f>IF(MONTH(DATE(Planungsjahr,12,1)-WEEKDAY(DATE(Planungsjahr,12,1),2)+17)=12,DAY(DATE(Planungsjahr,12,1)-WEEKDAY(DATE(Planungsjahr,12,1),2)+17),"")</f>
        <v>15</v>
      </c>
      <c r="CA49" s="188"/>
      <c r="CB49" s="188"/>
      <c r="CC49" s="188">
        <f>IF(MONTH(DATE(Planungsjahr,12,1)-WEEKDAY(DATE(Planungsjahr,12,1),2)+18)=12,DAY(DATE(Planungsjahr,12,1)-WEEKDAY(DATE(Planungsjahr,12,1),2)+18),"")</f>
        <v>16</v>
      </c>
      <c r="CD49" s="188"/>
      <c r="CE49" s="188"/>
      <c r="CF49" s="188">
        <f>IF(MONTH(DATE(Planungsjahr,12,1)-WEEKDAY(DATE(Planungsjahr,12,1),2)+19)=12,DAY(DATE(Planungsjahr,12,1)-WEEKDAY(DATE(Planungsjahr,12,1),2)+19),"")</f>
        <v>17</v>
      </c>
      <c r="CG49" s="188"/>
      <c r="CH49" s="188"/>
      <c r="CI49" s="188">
        <f>IF(MONTH(DATE(Planungsjahr,12,1)-WEEKDAY(DATE(Planungsjahr,12,1),2)+20)=12,DAY(DATE(Planungsjahr,12,1)-WEEKDAY(DATE(Planungsjahr,12,1),2)+20),"")</f>
        <v>18</v>
      </c>
      <c r="CJ49" s="188"/>
      <c r="CK49" s="188"/>
      <c r="CL49" s="188">
        <f>IF(MONTH(DATE(Planungsjahr,12,1)-WEEKDAY(DATE(Planungsjahr,12,1),2)+21)=12,DAY(DATE(Planungsjahr,12,1)-WEEKDAY(DATE(Planungsjahr,12,1),2)+21),"")</f>
        <v>19</v>
      </c>
      <c r="CM49" s="188"/>
      <c r="CN49" s="190"/>
    </row>
    <row r="50" spans="2:92" ht="10.5" customHeight="1" x14ac:dyDescent="0.25">
      <c r="B50" s="179"/>
      <c r="C50" s="159" t="str">
        <f>IF(ISNUMBER(C49),IF(COUNTIFS(JP_StartSel,DATE(Planungsjahr,9,C49),JP_ShowSel,TRUE)&gt;0,"S",IF(COUNTIF(Feiertage,DATE(Planungsjahr,9,C49))&gt;0,"h","")),"")</f>
        <v/>
      </c>
      <c r="D50" s="159" t="str">
        <f>IF(ISNUMBER(C49),IF(COUNTIFS(JP_StartInhalt,DATE(Planungsjahr,9,C49),JP_ShowInhalt,TRUE)&gt;0,"I",IF(COUNTIF(Feiertage,DATE(Planungsjahr,9,C49))&gt;0,"h","")),"")</f>
        <v/>
      </c>
      <c r="E50" s="159" t="str">
        <f>IF(ISNUMBER(C49),IF(COUNTIFS(JP_PAL,DATE(Planungsjahr,9,C49),JP_ShowPAL,TRUE)&gt;0,"P",IF(COUNTIF(Feiertage,DATE(Planungsjahr,9,C49))&gt;0,"h","")),"")</f>
        <v/>
      </c>
      <c r="F50" s="159" t="str">
        <f>IF(ISNUMBER(F49),IF(COUNTIFS(JP_StartSel,DATE(Planungsjahr,9,F49),JP_ShowSel,TRUE)&gt;0,"S",IF(COUNTIF(Feiertage,DATE(Planungsjahr,9,F49))&gt;0,"h","")),"")</f>
        <v/>
      </c>
      <c r="G50" s="159" t="str">
        <f>IF(ISNUMBER(F49),IF(COUNTIFS(JP_StartInhalt,DATE(Planungsjahr,9,F49),JP_ShowInhalt,TRUE)&gt;0,"I",IF(COUNTIF(Feiertage,DATE(Planungsjahr,9,F49))&gt;0,"h","")),"")</f>
        <v/>
      </c>
      <c r="H50" s="159" t="str">
        <f>IF(ISNUMBER(F49),IF(COUNTIFS(JP_PAL,DATE(Planungsjahr,9,F49),JP_ShowPAL,TRUE)&gt;0,"P",IF(COUNTIF(Feiertage,DATE(Planungsjahr,9,F49))&gt;0,"h","")),"")</f>
        <v/>
      </c>
      <c r="I50" s="159" t="str">
        <f>IF(ISNUMBER(I49),IF(COUNTIFS(JP_StartSel,DATE(Planungsjahr,9,I49),JP_ShowSel,TRUE)&gt;0,"S",IF(COUNTIF(Feiertage,DATE(Planungsjahr,9,I49))&gt;0,"h","")),"")</f>
        <v/>
      </c>
      <c r="J50" s="159" t="str">
        <f>IF(ISNUMBER(I49),IF(COUNTIFS(JP_StartInhalt,DATE(Planungsjahr,9,I49),JP_ShowInhalt,TRUE)&gt;0,"I",IF(COUNTIF(Feiertage,DATE(Planungsjahr,9,I49))&gt;0,"h","")),"")</f>
        <v/>
      </c>
      <c r="K50" s="159" t="str">
        <f>IF(ISNUMBER(I49),IF(COUNTIFS(JP_PAL,DATE(Planungsjahr,9,I49),JP_ShowPAL,TRUE)&gt;0,"P",IF(COUNTIF(Feiertage,DATE(Planungsjahr,9,I49))&gt;0,"h","")),"")</f>
        <v/>
      </c>
      <c r="L50" s="159" t="str">
        <f>IF(ISNUMBER(L49),IF(COUNTIFS(JP_StartSel,DATE(Planungsjahr,9,L49),JP_ShowSel,TRUE)&gt;0,"S",IF(COUNTIF(Feiertage,DATE(Planungsjahr,9,L49))&gt;0,"h","")),"")</f>
        <v/>
      </c>
      <c r="M50" s="159" t="str">
        <f>IF(ISNUMBER(L49),IF(COUNTIFS(JP_StartInhalt,DATE(Planungsjahr,9,L49),JP_ShowInhalt,TRUE)&gt;0,"I",IF(COUNTIF(Feiertage,DATE(Planungsjahr,9,L49))&gt;0,"h","")),"")</f>
        <v/>
      </c>
      <c r="N50" s="159" t="str">
        <f>IF(ISNUMBER(L49),IF(COUNTIFS(JP_PAL,DATE(Planungsjahr,9,L49),JP_ShowPAL,TRUE)&gt;0,"P",IF(COUNTIF(Feiertage,DATE(Planungsjahr,9,L49))&gt;0,"h","")),"")</f>
        <v/>
      </c>
      <c r="O50" s="159" t="str">
        <f>IF(ISNUMBER(O49),IF(COUNTIFS(JP_StartSel,DATE(Planungsjahr,9,O49),JP_ShowSel,TRUE)&gt;0,"S",IF(COUNTIF(Feiertage,DATE(Planungsjahr,9,O49))&gt;0,"h","")),"")</f>
        <v/>
      </c>
      <c r="P50" s="159" t="str">
        <f>IF(ISNUMBER(O49),IF(COUNTIFS(JP_StartInhalt,DATE(Planungsjahr,9,O49),JP_ShowInhalt,TRUE)&gt;0,"I",IF(COUNTIF(Feiertage,DATE(Planungsjahr,9,O49))&gt;0,"h","")),"")</f>
        <v/>
      </c>
      <c r="Q50" s="159" t="str">
        <f>IF(ISNUMBER(O49),IF(COUNTIFS(JP_PAL,DATE(Planungsjahr,9,O49),JP_ShowPAL,TRUE)&gt;0,"P",IF(COUNTIF(Feiertage,DATE(Planungsjahr,9,O49))&gt;0,"h","")),"")</f>
        <v/>
      </c>
      <c r="R50" s="159" t="str">
        <f>IF(ISNUMBER(R49),IF(COUNTIFS(JP_StartSel,DATE(Planungsjahr,9,R49),JP_ShowSel,TRUE)&gt;0,"S",IF(COUNTIF(Feiertage,DATE(Planungsjahr,9,R49))&gt;0,"h","w")),"")</f>
        <v>w</v>
      </c>
      <c r="S50" s="159" t="str">
        <f>IF(ISNUMBER(R49),IF(COUNTIFS(JP_StartInhalt,DATE(Planungsjahr,9,R49),JP_ShowInhalt,TRUE)&gt;0,"I",IF(COUNTIF(Feiertage,DATE(Planungsjahr,9,R49))&gt;0,"h","w")),"")</f>
        <v>w</v>
      </c>
      <c r="T50" s="159" t="str">
        <f>IF(ISNUMBER(R49),IF(COUNTIFS(JP_PAL,DATE(Planungsjahr,9,R49),JP_ShowPAL,TRUE)&gt;0,"P",IF(COUNTIF(Feiertage,DATE(Planungsjahr,9,R49))&gt;0,"h","w")),"")</f>
        <v>w</v>
      </c>
      <c r="U50" s="159" t="str">
        <f>IF(ISNUMBER(U49),IF(COUNTIFS(JP_StartSel,DATE(Planungsjahr,9,U49),JP_ShowSel,TRUE)&gt;0,"S",IF(COUNTIF(Feiertage,DATE(Planungsjahr,9,U49))&gt;0,"h","w")),"")</f>
        <v>w</v>
      </c>
      <c r="V50" s="159" t="str">
        <f>IF(ISNUMBER(U49),IF(COUNTIFS(JP_StartInhalt,DATE(Planungsjahr,9,U49),JP_ShowInhalt,TRUE)&gt;0,"I",IF(COUNTIF(Feiertage,DATE(Planungsjahr,9,U49))&gt;0,"h","w")),"")</f>
        <v>w</v>
      </c>
      <c r="W50" s="180" t="str">
        <f>IF(ISNUMBER(U49),IF(COUNTIFS(JP_PAL,DATE(Planungsjahr,9,U49),JP_ShowPAL,TRUE)&gt;0,"P",IF(COUNTIF(Feiertage,DATE(Planungsjahr,9,U49))&gt;0,"h","w")),"")</f>
        <v>w</v>
      </c>
      <c r="Y50" s="179"/>
      <c r="Z50" s="159" t="str">
        <f>IF(ISNUMBER(Z49),IF(COUNTIFS(JP_StartSel,DATE(Planungsjahr,10,Z49),JP_ShowSel,TRUE)&gt;0,"S",IF(COUNTIF(Feiertage,DATE(Planungsjahr,10,Z49))&gt;0,"h","")),"")</f>
        <v/>
      </c>
      <c r="AA50" s="159" t="str">
        <f>IF(ISNUMBER(Z49),IF(COUNTIFS(JP_StartInhalt,DATE(Planungsjahr,10,Z49),JP_ShowInhalt,TRUE)&gt;0,"I",IF(COUNTIF(Feiertage,DATE(Planungsjahr,10,Z49))&gt;0,"h","")),"")</f>
        <v/>
      </c>
      <c r="AB50" s="159" t="str">
        <f>IF(ISNUMBER(Z49),IF(COUNTIFS(JP_PAL,DATE(Planungsjahr,10,Z49),JP_ShowPAL,TRUE)&gt;0,"P",IF(COUNTIF(Feiertage,DATE(Planungsjahr,10,Z49))&gt;0,"h","")),"")</f>
        <v/>
      </c>
      <c r="AC50" s="159" t="str">
        <f>IF(ISNUMBER(AC49),IF(COUNTIFS(JP_StartSel,DATE(Planungsjahr,10,AC49),JP_ShowSel,TRUE)&gt;0,"S",IF(COUNTIF(Feiertage,DATE(Planungsjahr,10,AC49))&gt;0,"h","")),"")</f>
        <v/>
      </c>
      <c r="AD50" s="159" t="str">
        <f>IF(ISNUMBER(AC49),IF(COUNTIFS(JP_StartInhalt,DATE(Planungsjahr,10,AC49),JP_ShowInhalt,TRUE)&gt;0,"I",IF(COUNTIF(Feiertage,DATE(Planungsjahr,10,AC49))&gt;0,"h","")),"")</f>
        <v/>
      </c>
      <c r="AE50" s="159" t="str">
        <f>IF(ISNUMBER(AC49),IF(COUNTIFS(JP_PAL,DATE(Planungsjahr,10,AC49),JP_ShowPAL,TRUE)&gt;0,"P",IF(COUNTIF(Feiertage,DATE(Planungsjahr,10,AC49))&gt;0,"h","")),"")</f>
        <v/>
      </c>
      <c r="AF50" s="159" t="str">
        <f>IF(ISNUMBER(AF49),IF(COUNTIFS(JP_StartSel,DATE(Planungsjahr,10,AF49),JP_ShowSel,TRUE)&gt;0,"S",IF(COUNTIF(Feiertage,DATE(Planungsjahr,10,AF49))&gt;0,"h","")),"")</f>
        <v/>
      </c>
      <c r="AG50" s="159" t="str">
        <f>IF(ISNUMBER(AF49),IF(COUNTIFS(JP_StartInhalt,DATE(Planungsjahr,10,AF49),JP_ShowInhalt,TRUE)&gt;0,"I",IF(COUNTIF(Feiertage,DATE(Planungsjahr,10,AF49))&gt;0,"h","")),"")</f>
        <v>I</v>
      </c>
      <c r="AH50" s="159" t="str">
        <f>IF(ISNUMBER(AF49),IF(COUNTIFS(JP_PAL,DATE(Planungsjahr,10,AF49),JP_ShowPAL,TRUE)&gt;0,"P",IF(COUNTIF(Feiertage,DATE(Planungsjahr,10,AF49))&gt;0,"h","")),"")</f>
        <v/>
      </c>
      <c r="AI50" s="159" t="str">
        <f>IF(ISNUMBER(AI49),IF(COUNTIFS(JP_StartSel,DATE(Planungsjahr,10,AI49),JP_ShowSel,TRUE)&gt;0,"S",IF(COUNTIF(Feiertage,DATE(Planungsjahr,10,AI49))&gt;0,"h","")),"")</f>
        <v/>
      </c>
      <c r="AJ50" s="159" t="str">
        <f>IF(ISNUMBER(AI49),IF(COUNTIFS(JP_StartInhalt,DATE(Planungsjahr,10,AI49),JP_ShowInhalt,TRUE)&gt;0,"I",IF(COUNTIF(Feiertage,DATE(Planungsjahr,10,AI49))&gt;0,"h","")),"")</f>
        <v/>
      </c>
      <c r="AK50" s="159" t="str">
        <f>IF(ISNUMBER(AI49),IF(COUNTIFS(JP_PAL,DATE(Planungsjahr,10,AI49),JP_ShowPAL,TRUE)&gt;0,"P",IF(COUNTIF(Feiertage,DATE(Planungsjahr,10,AI49))&gt;0,"h","")),"")</f>
        <v/>
      </c>
      <c r="AL50" s="159" t="str">
        <f>IF(ISNUMBER(AL49),IF(COUNTIFS(JP_StartSel,DATE(Planungsjahr,10,AL49),JP_ShowSel,TRUE)&gt;0,"S",IF(COUNTIF(Feiertage,DATE(Planungsjahr,10,AL49))&gt;0,"h","")),"")</f>
        <v/>
      </c>
      <c r="AM50" s="159" t="str">
        <f>IF(ISNUMBER(AL49),IF(COUNTIFS(JP_StartInhalt,DATE(Planungsjahr,10,AL49),JP_ShowInhalt,TRUE)&gt;0,"I",IF(COUNTIF(Feiertage,DATE(Planungsjahr,10,AL49))&gt;0,"h","")),"")</f>
        <v/>
      </c>
      <c r="AN50" s="159" t="str">
        <f>IF(ISNUMBER(AL49),IF(COUNTIFS(JP_PAL,DATE(Planungsjahr,10,AL49),JP_ShowPAL,TRUE)&gt;0,"P",IF(COUNTIF(Feiertage,DATE(Planungsjahr,10,AL49))&gt;0,"h","")),"")</f>
        <v/>
      </c>
      <c r="AO50" s="159" t="str">
        <f>IF(ISNUMBER(AO49),IF(COUNTIFS(JP_StartSel,DATE(Planungsjahr,10,AO49),JP_ShowSel,TRUE)&gt;0,"S",IF(COUNTIF(Feiertage,DATE(Planungsjahr,10,AO49))&gt;0,"h","w")),"")</f>
        <v>w</v>
      </c>
      <c r="AP50" s="159" t="str">
        <f>IF(ISNUMBER(AO49),IF(COUNTIFS(JP_StartInhalt,DATE(Planungsjahr,10,AO49),JP_ShowInhalt,TRUE)&gt;0,"I",IF(COUNTIF(Feiertage,DATE(Planungsjahr,10,AO49))&gt;0,"h","w")),"")</f>
        <v>w</v>
      </c>
      <c r="AQ50" s="159" t="str">
        <f>IF(ISNUMBER(AO49),IF(COUNTIFS(JP_PAL,DATE(Planungsjahr,10,AO49),JP_ShowPAL,TRUE)&gt;0,"P",IF(COUNTIF(Feiertage,DATE(Planungsjahr,10,AO49))&gt;0,"h","w")),"")</f>
        <v>w</v>
      </c>
      <c r="AR50" s="159" t="str">
        <f>IF(ISNUMBER(AR49),IF(COUNTIFS(JP_StartSel,DATE(Planungsjahr,10,AR49),JP_ShowSel,TRUE)&gt;0,"S",IF(COUNTIF(Feiertage,DATE(Planungsjahr,10,AR49))&gt;0,"h","w")),"")</f>
        <v>w</v>
      </c>
      <c r="AS50" s="159" t="str">
        <f>IF(ISNUMBER(AR49),IF(COUNTIFS(JP_StartInhalt,DATE(Planungsjahr,10,AR49),JP_ShowInhalt,TRUE)&gt;0,"I",IF(COUNTIF(Feiertage,DATE(Planungsjahr,10,AR49))&gt;0,"h","w")),"")</f>
        <v>w</v>
      </c>
      <c r="AT50" s="180" t="str">
        <f>IF(ISNUMBER(AR49),IF(COUNTIFS(JP_PAL,DATE(Planungsjahr,10,AR49),JP_ShowPAL,TRUE)&gt;0,"P",IF(COUNTIF(Feiertage,DATE(Planungsjahr,10,AR49))&gt;0,"h","w")),"")</f>
        <v>w</v>
      </c>
      <c r="AV50" s="179"/>
      <c r="AW50" s="159" t="str">
        <f>IF(ISNUMBER(AW49),IF(COUNTIFS(JP_StartSel,DATE(Planungsjahr,11,AW49),JP_ShowSel,TRUE)&gt;0,"S",IF(COUNTIF(Feiertage,DATE(Planungsjahr,11,AW49))&gt;0,"h","")),"")</f>
        <v/>
      </c>
      <c r="AX50" s="159" t="str">
        <f>IF(ISNUMBER(AW49),IF(COUNTIFS(JP_StartInhalt,DATE(Planungsjahr,11,AW49),JP_ShowInhalt,TRUE)&gt;0,"I",IF(COUNTIF(Feiertage,DATE(Planungsjahr,11,AW49))&gt;0,"h","")),"")</f>
        <v/>
      </c>
      <c r="AY50" s="159" t="str">
        <f>IF(ISNUMBER(AW49),IF(COUNTIFS(JP_PAL,DATE(Planungsjahr,11,AW49),JP_ShowPAL,TRUE)&gt;0,"P",IF(COUNTIF(Feiertage,DATE(Planungsjahr,11,AW49))&gt;0,"h","")),"")</f>
        <v/>
      </c>
      <c r="AZ50" s="159" t="str">
        <f>IF(ISNUMBER(AZ49),IF(COUNTIFS(JP_StartSel,DATE(Planungsjahr,11,AZ49),JP_ShowSel,TRUE)&gt;0,"S",IF(COUNTIF(Feiertage,DATE(Planungsjahr,11,AZ49))&gt;0,"h","")),"")</f>
        <v/>
      </c>
      <c r="BA50" s="159" t="str">
        <f>IF(ISNUMBER(AZ49),IF(COUNTIFS(JP_StartInhalt,DATE(Planungsjahr,11,AZ49),JP_ShowInhalt,TRUE)&gt;0,"I",IF(COUNTIF(Feiertage,DATE(Planungsjahr,11,AZ49))&gt;0,"h","")),"")</f>
        <v/>
      </c>
      <c r="BB50" s="159" t="str">
        <f>IF(ISNUMBER(AZ49),IF(COUNTIFS(JP_PAL,DATE(Planungsjahr,11,AZ49),JP_ShowPAL,TRUE)&gt;0,"P",IF(COUNTIF(Feiertage,DATE(Planungsjahr,11,AZ49))&gt;0,"h","")),"")</f>
        <v/>
      </c>
      <c r="BC50" s="159" t="str">
        <f>IF(ISNUMBER(BC49),IF(COUNTIFS(JP_StartSel,DATE(Planungsjahr,11,BC49),JP_ShowSel,TRUE)&gt;0,"S",IF(COUNTIF(Feiertage,DATE(Planungsjahr,11,BC49))&gt;0,"h","")),"")</f>
        <v/>
      </c>
      <c r="BD50" s="159" t="str">
        <f>IF(ISNUMBER(BC49),IF(COUNTIFS(JP_StartInhalt,DATE(Planungsjahr,11,BC49),JP_ShowInhalt,TRUE)&gt;0,"I",IF(COUNTIF(Feiertage,DATE(Planungsjahr,11,BC49))&gt;0,"h","")),"")</f>
        <v/>
      </c>
      <c r="BE50" s="159" t="str">
        <f>IF(ISNUMBER(BC49),IF(COUNTIFS(JP_PAL,DATE(Planungsjahr,11,BC49),JP_ShowPAL,TRUE)&gt;0,"P",IF(COUNTIF(Feiertage,DATE(Planungsjahr,11,BC49))&gt;0,"h","")),"")</f>
        <v/>
      </c>
      <c r="BF50" s="159" t="str">
        <f>IF(ISNUMBER(BF49),IF(COUNTIFS(JP_StartSel,DATE(Planungsjahr,11,BF49),JP_ShowSel,TRUE)&gt;0,"S",IF(COUNTIF(Feiertage,DATE(Planungsjahr,11,BF49))&gt;0,"h","")),"")</f>
        <v/>
      </c>
      <c r="BG50" s="159" t="str">
        <f>IF(ISNUMBER(BF49),IF(COUNTIFS(JP_StartInhalt,DATE(Planungsjahr,11,BF49),JP_ShowInhalt,TRUE)&gt;0,"I",IF(COUNTIF(Feiertage,DATE(Planungsjahr,11,BF49))&gt;0,"h","")),"")</f>
        <v/>
      </c>
      <c r="BH50" s="159" t="str">
        <f>IF(ISNUMBER(BF49),IF(COUNTIFS(JP_PAL,DATE(Planungsjahr,11,BF49),JP_ShowPAL,TRUE)&gt;0,"P",IF(COUNTIF(Feiertage,DATE(Planungsjahr,11,BF49))&gt;0,"h","")),"")</f>
        <v/>
      </c>
      <c r="BI50" s="159" t="str">
        <f>IF(ISNUMBER(BI49),IF(COUNTIFS(JP_StartSel,DATE(Planungsjahr,11,BI49),JP_ShowSel,TRUE)&gt;0,"S",IF(COUNTIF(Feiertage,DATE(Planungsjahr,11,BI49))&gt;0,"h","")),"")</f>
        <v/>
      </c>
      <c r="BJ50" s="159" t="str">
        <f>IF(ISNUMBER(BI49),IF(COUNTIFS(JP_StartInhalt,DATE(Planungsjahr,11,BI49),JP_ShowInhalt,TRUE)&gt;0,"I",IF(COUNTIF(Feiertage,DATE(Planungsjahr,11,BI49))&gt;0,"h","")),"")</f>
        <v/>
      </c>
      <c r="BK50" s="159" t="str">
        <f>IF(ISNUMBER(BI49),IF(COUNTIFS(JP_PAL,DATE(Planungsjahr,11,BI49),JP_ShowPAL,TRUE)&gt;0,"P",IF(COUNTIF(Feiertage,DATE(Planungsjahr,11,BI49))&gt;0,"h","")),"")</f>
        <v/>
      </c>
      <c r="BL50" s="159" t="str">
        <f>IF(ISNUMBER(BL49),IF(COUNTIFS(JP_StartSel,DATE(Planungsjahr,11,BL49),JP_ShowSel,TRUE)&gt;0,"S",IF(COUNTIF(Feiertage,DATE(Planungsjahr,11,BL49))&gt;0,"h","w")),"")</f>
        <v>w</v>
      </c>
      <c r="BM50" s="159" t="str">
        <f>IF(ISNUMBER(BL49),IF(COUNTIFS(JP_StartInhalt,DATE(Planungsjahr,11,BL49),JP_ShowInhalt,TRUE)&gt;0,"I",IF(COUNTIF(Feiertage,DATE(Planungsjahr,11,BL49))&gt;0,"h","w")),"")</f>
        <v>w</v>
      </c>
      <c r="BN50" s="159" t="str">
        <f>IF(ISNUMBER(BL49),IF(COUNTIFS(JP_PAL,DATE(Planungsjahr,11,BL49),JP_ShowPAL,TRUE)&gt;0,"P",IF(COUNTIF(Feiertage,DATE(Planungsjahr,11,BL49))&gt;0,"h","w")),"")</f>
        <v>w</v>
      </c>
      <c r="BO50" s="159" t="str">
        <f>IF(ISNUMBER(BO49),IF(COUNTIFS(JP_StartSel,DATE(Planungsjahr,11,BO49),JP_ShowSel,TRUE)&gt;0,"S",IF(COUNTIF(Feiertage,DATE(Planungsjahr,11,BO49))&gt;0,"h","w")),"")</f>
        <v>w</v>
      </c>
      <c r="BP50" s="159" t="str">
        <f>IF(ISNUMBER(BO49),IF(COUNTIFS(JP_StartInhalt,DATE(Planungsjahr,11,BO49),JP_ShowInhalt,TRUE)&gt;0,"I",IF(COUNTIF(Feiertage,DATE(Planungsjahr,11,BO49))&gt;0,"h","w")),"")</f>
        <v>w</v>
      </c>
      <c r="BQ50" s="180" t="str">
        <f>IF(ISNUMBER(BO49),IF(COUNTIFS(JP_PAL,DATE(Planungsjahr,11,BO49),JP_ShowPAL,TRUE)&gt;0,"P",IF(COUNTIF(Feiertage,DATE(Planungsjahr,11,BO49))&gt;0,"h","w")),"")</f>
        <v>w</v>
      </c>
      <c r="BS50" s="179"/>
      <c r="BT50" s="159" t="str">
        <f>IF(ISNUMBER(BT49),IF(COUNTIFS(JP_StartSel,DATE(Planungsjahr,12,BT49),JP_ShowSel,TRUE)&gt;0,"S",IF(COUNTIF(Feiertage,DATE(Planungsjahr,12,BT49))&gt;0,"h","")),"")</f>
        <v/>
      </c>
      <c r="BU50" s="159" t="str">
        <f>IF(ISNUMBER(BT49),IF(COUNTIFS(JP_StartInhalt,DATE(Planungsjahr,12,BT49),JP_ShowInhalt,TRUE)&gt;0,"I",IF(COUNTIF(Feiertage,DATE(Planungsjahr,12,BT49))&gt;0,"h","")),"")</f>
        <v/>
      </c>
      <c r="BV50" s="159" t="str">
        <f>IF(ISNUMBER(BT49),IF(COUNTIFS(JP_PAL,DATE(Planungsjahr,12,BT49),JP_ShowPAL,TRUE)&gt;0,"P",IF(COUNTIF(Feiertage,DATE(Planungsjahr,12,BT49))&gt;0,"h","")),"")</f>
        <v/>
      </c>
      <c r="BW50" s="159" t="str">
        <f>IF(ISNUMBER(BW49),IF(COUNTIFS(JP_StartSel,DATE(Planungsjahr,12,BW49),JP_ShowSel,TRUE)&gt;0,"S",IF(COUNTIF(Feiertage,DATE(Planungsjahr,12,BW49))&gt;0,"h","")),"")</f>
        <v/>
      </c>
      <c r="BX50" s="159" t="str">
        <f>IF(ISNUMBER(BW49),IF(COUNTIFS(JP_StartInhalt,DATE(Planungsjahr,12,BW49),JP_ShowInhalt,TRUE)&gt;0,"I",IF(COUNTIF(Feiertage,DATE(Planungsjahr,12,BW49))&gt;0,"h","")),"")</f>
        <v/>
      </c>
      <c r="BY50" s="159" t="str">
        <f>IF(ISNUMBER(BW49),IF(COUNTIFS(JP_PAL,DATE(Planungsjahr,12,BW49),JP_ShowPAL,TRUE)&gt;0,"P",IF(COUNTIF(Feiertage,DATE(Planungsjahr,12,BW49))&gt;0,"h","")),"")</f>
        <v/>
      </c>
      <c r="BZ50" s="159" t="str">
        <f>IF(ISNUMBER(BZ49),IF(COUNTIFS(JP_StartSel,DATE(Planungsjahr,12,BZ49),JP_ShowSel,TRUE)&gt;0,"S",IF(COUNTIF(Feiertage,DATE(Planungsjahr,12,BZ49))&gt;0,"h","")),"")</f>
        <v/>
      </c>
      <c r="CA50" s="159" t="str">
        <f>IF(ISNUMBER(BZ49),IF(COUNTIFS(JP_StartInhalt,DATE(Planungsjahr,12,BZ49),JP_ShowInhalt,TRUE)&gt;0,"I",IF(COUNTIF(Feiertage,DATE(Planungsjahr,12,BZ49))&gt;0,"h","")),"")</f>
        <v/>
      </c>
      <c r="CB50" s="159" t="str">
        <f>IF(ISNUMBER(BZ49),IF(COUNTIFS(JP_PAL,DATE(Planungsjahr,12,BZ49),JP_ShowPAL,TRUE)&gt;0,"P",IF(COUNTIF(Feiertage,DATE(Planungsjahr,12,BZ49))&gt;0,"h","")),"")</f>
        <v/>
      </c>
      <c r="CC50" s="159" t="str">
        <f>IF(ISNUMBER(CC49),IF(COUNTIFS(JP_StartSel,DATE(Planungsjahr,12,CC49),JP_ShowSel,TRUE)&gt;0,"S",IF(COUNTIF(Feiertage,DATE(Planungsjahr,12,CC49))&gt;0,"h","")),"")</f>
        <v/>
      </c>
      <c r="CD50" s="159" t="str">
        <f>IF(ISNUMBER(CC49),IF(COUNTIFS(JP_StartInhalt,DATE(Planungsjahr,12,CC49),JP_ShowInhalt,TRUE)&gt;0,"I",IF(COUNTIF(Feiertage,DATE(Planungsjahr,12,CC49))&gt;0,"h","")),"")</f>
        <v/>
      </c>
      <c r="CE50" s="159" t="str">
        <f>IF(ISNUMBER(CC49),IF(COUNTIFS(JP_PAL,DATE(Planungsjahr,12,CC49),JP_ShowPAL,TRUE)&gt;0,"P",IF(COUNTIF(Feiertage,DATE(Planungsjahr,12,CC49))&gt;0,"h","")),"")</f>
        <v/>
      </c>
      <c r="CF50" s="159" t="str">
        <f>IF(ISNUMBER(CF49),IF(COUNTIFS(JP_StartSel,DATE(Planungsjahr,12,CF49),JP_ShowSel,TRUE)&gt;0,"S",IF(COUNTIF(Feiertage,DATE(Planungsjahr,12,CF49))&gt;0,"h","")),"")</f>
        <v/>
      </c>
      <c r="CG50" s="159" t="str">
        <f>IF(ISNUMBER(CF49),IF(COUNTIFS(JP_StartInhalt,DATE(Planungsjahr,12,CF49),JP_ShowInhalt,TRUE)&gt;0,"I",IF(COUNTIF(Feiertage,DATE(Planungsjahr,12,CF49))&gt;0,"h","")),"")</f>
        <v/>
      </c>
      <c r="CH50" s="159" t="str">
        <f>IF(ISNUMBER(CF49),IF(COUNTIFS(JP_PAL,DATE(Planungsjahr,12,CF49),JP_ShowPAL,TRUE)&gt;0,"P",IF(COUNTIF(Feiertage,DATE(Planungsjahr,12,CF49))&gt;0,"h","")),"")</f>
        <v/>
      </c>
      <c r="CI50" s="159" t="str">
        <f>IF(ISNUMBER(CI49),IF(COUNTIFS(JP_StartSel,DATE(Planungsjahr,12,CI49),JP_ShowSel,TRUE)&gt;0,"S",IF(COUNTIF(Feiertage,DATE(Planungsjahr,12,CI49))&gt;0,"h","w")),"")</f>
        <v>w</v>
      </c>
      <c r="CJ50" s="159" t="str">
        <f>IF(ISNUMBER(CI49),IF(COUNTIFS(JP_StartInhalt,DATE(Planungsjahr,12,CI49),JP_ShowInhalt,TRUE)&gt;0,"I",IF(COUNTIF(Feiertage,DATE(Planungsjahr,12,CI49))&gt;0,"h","w")),"")</f>
        <v>w</v>
      </c>
      <c r="CK50" s="159" t="str">
        <f>IF(ISNUMBER(CI49),IF(COUNTIFS(JP_PAL,DATE(Planungsjahr,12,CI49),JP_ShowPAL,TRUE)&gt;0,"P",IF(COUNTIF(Feiertage,DATE(Planungsjahr,12,CI49))&gt;0,"h","w")),"")</f>
        <v>w</v>
      </c>
      <c r="CL50" s="159" t="str">
        <f>IF(ISNUMBER(CL49),IF(COUNTIFS(JP_StartSel,DATE(Planungsjahr,12,CL49),JP_ShowSel,TRUE)&gt;0,"S",IF(COUNTIF(Feiertage,DATE(Planungsjahr,12,CL49))&gt;0,"h","w")),"")</f>
        <v>w</v>
      </c>
      <c r="CM50" s="159" t="str">
        <f>IF(ISNUMBER(CL49),IF(COUNTIFS(JP_StartInhalt,DATE(Planungsjahr,12,CL49),JP_ShowInhalt,TRUE)&gt;0,"I",IF(COUNTIF(Feiertage,DATE(Planungsjahr,12,CL49))&gt;0,"h","w")),"")</f>
        <v>w</v>
      </c>
      <c r="CN50" s="180" t="str">
        <f>IF(ISNUMBER(CL49),IF(COUNTIFS(JP_PAL,DATE(Planungsjahr,12,CL49),JP_ShowPAL,TRUE)&gt;0,"P",IF(COUNTIF(Feiertage,DATE(Planungsjahr,12,CL49))&gt;0,"h","w")),"")</f>
        <v>w</v>
      </c>
    </row>
    <row r="51" spans="2:92" ht="15.95" customHeight="1" x14ac:dyDescent="0.25">
      <c r="B51" s="177">
        <f>IF(OR(ISNUMBER(C51),ISNUMBER(U51)),_xlfn.ISOWEEKNUM(DATE(Planungsjahr,9,1)-WEEKDAY(DATE(Planungsjahr,9,1),2)+22),"")</f>
        <v>38</v>
      </c>
      <c r="C51" s="188">
        <f>IF(MONTH(DATE(Planungsjahr,9,1)-WEEKDAY(DATE(Planungsjahr,9,1),2)+22)=9,DAY(DATE(Planungsjahr,9,1)-WEEKDAY(DATE(Planungsjahr,9,1),2)+22),"")</f>
        <v>20</v>
      </c>
      <c r="D51" s="188"/>
      <c r="E51" s="188"/>
      <c r="F51" s="188">
        <f>IF(MONTH(DATE(Planungsjahr,9,1)-WEEKDAY(DATE(Planungsjahr,9,1),2)+23)=9,DAY(DATE(Planungsjahr,9,1)-WEEKDAY(DATE(Planungsjahr,9,1),2)+23),"")</f>
        <v>21</v>
      </c>
      <c r="G51" s="188"/>
      <c r="H51" s="188"/>
      <c r="I51" s="188">
        <f>IF(MONTH(DATE(Planungsjahr,9,1)-WEEKDAY(DATE(Planungsjahr,9,1),2)+24)=9,DAY(DATE(Planungsjahr,9,1)-WEEKDAY(DATE(Planungsjahr,9,1),2)+24),"")</f>
        <v>22</v>
      </c>
      <c r="J51" s="188"/>
      <c r="K51" s="188"/>
      <c r="L51" s="188">
        <f>IF(MONTH(DATE(Planungsjahr,9,1)-WEEKDAY(DATE(Planungsjahr,9,1),2)+25)=9,DAY(DATE(Planungsjahr,9,1)-WEEKDAY(DATE(Planungsjahr,9,1),2)+25),"")</f>
        <v>23</v>
      </c>
      <c r="M51" s="188"/>
      <c r="N51" s="188"/>
      <c r="O51" s="188">
        <f>IF(MONTH(DATE(Planungsjahr,9,1)-WEEKDAY(DATE(Planungsjahr,9,1),2)+26)=9,DAY(DATE(Planungsjahr,9,1)-WEEKDAY(DATE(Planungsjahr,9,1),2)+26),"")</f>
        <v>24</v>
      </c>
      <c r="P51" s="188"/>
      <c r="Q51" s="188"/>
      <c r="R51" s="188">
        <f>IF(MONTH(DATE(Planungsjahr,9,1)-WEEKDAY(DATE(Planungsjahr,9,1),2)+27)=9,DAY(DATE(Planungsjahr,9,1)-WEEKDAY(DATE(Planungsjahr,9,1),2)+27),"")</f>
        <v>25</v>
      </c>
      <c r="S51" s="188"/>
      <c r="T51" s="188"/>
      <c r="U51" s="188">
        <f>IF(MONTH(DATE(Planungsjahr,9,1)-WEEKDAY(DATE(Planungsjahr,9,1),2)+28)=9,DAY(DATE(Planungsjahr,9,1)-WEEKDAY(DATE(Planungsjahr,9,1),2)+28),"")</f>
        <v>26</v>
      </c>
      <c r="V51" s="188"/>
      <c r="W51" s="190"/>
      <c r="Y51" s="177">
        <f>IF(OR(ISNUMBER(Z51),ISNUMBER(AR51)),_xlfn.ISOWEEKNUM(DATE(Planungsjahr,10,1)-WEEKDAY(DATE(Planungsjahr,10,1),2)+22),"")</f>
        <v>42</v>
      </c>
      <c r="Z51" s="188">
        <f>IF(MONTH(DATE(Planungsjahr,10,1)-WEEKDAY(DATE(Planungsjahr,10,1),2)+22)=10,DAY(DATE(Planungsjahr,10,1)-WEEKDAY(DATE(Planungsjahr,10,1),2)+22),"")</f>
        <v>18</v>
      </c>
      <c r="AA51" s="188"/>
      <c r="AB51" s="188"/>
      <c r="AC51" s="188">
        <f>IF(MONTH(DATE(Planungsjahr,10,1)-WEEKDAY(DATE(Planungsjahr,10,1),2)+23)=10,DAY(DATE(Planungsjahr,10,1)-WEEKDAY(DATE(Planungsjahr,10,1),2)+23),"")</f>
        <v>19</v>
      </c>
      <c r="AD51" s="188"/>
      <c r="AE51" s="188"/>
      <c r="AF51" s="188">
        <f>IF(MONTH(DATE(Planungsjahr,10,1)-WEEKDAY(DATE(Planungsjahr,10,1),2)+24)=10,DAY(DATE(Planungsjahr,10,1)-WEEKDAY(DATE(Planungsjahr,10,1),2)+24),"")</f>
        <v>20</v>
      </c>
      <c r="AG51" s="188"/>
      <c r="AH51" s="188"/>
      <c r="AI51" s="188">
        <f>IF(MONTH(DATE(Planungsjahr,10,1)-WEEKDAY(DATE(Planungsjahr,10,1),2)+25)=10,DAY(DATE(Planungsjahr,10,1)-WEEKDAY(DATE(Planungsjahr,10,1),2)+25),"")</f>
        <v>21</v>
      </c>
      <c r="AJ51" s="188"/>
      <c r="AK51" s="188"/>
      <c r="AL51" s="188">
        <f>IF(MONTH(DATE(Planungsjahr,10,1)-WEEKDAY(DATE(Planungsjahr,10,1),2)+26)=10,DAY(DATE(Planungsjahr,10,1)-WEEKDAY(DATE(Planungsjahr,10,1),2)+26),"")</f>
        <v>22</v>
      </c>
      <c r="AM51" s="188"/>
      <c r="AN51" s="188"/>
      <c r="AO51" s="188">
        <f>IF(MONTH(DATE(Planungsjahr,10,1)-WEEKDAY(DATE(Planungsjahr,10,1),2)+27)=10,DAY(DATE(Planungsjahr,10,1)-WEEKDAY(DATE(Planungsjahr,10,1),2)+27),"")</f>
        <v>23</v>
      </c>
      <c r="AP51" s="188"/>
      <c r="AQ51" s="188"/>
      <c r="AR51" s="188">
        <f>IF(MONTH(DATE(Planungsjahr,10,1)-WEEKDAY(DATE(Planungsjahr,10,1),2)+28)=10,DAY(DATE(Planungsjahr,10,1)-WEEKDAY(DATE(Planungsjahr,10,1),2)+28),"")</f>
        <v>24</v>
      </c>
      <c r="AS51" s="188"/>
      <c r="AT51" s="190"/>
      <c r="AV51" s="177">
        <f>IF(OR(ISNUMBER(AW51),ISNUMBER(BO51)),_xlfn.ISOWEEKNUM(DATE(Planungsjahr,11,1)-WEEKDAY(DATE(Planungsjahr,11,1),2)+22),"")</f>
        <v>47</v>
      </c>
      <c r="AW51" s="188">
        <f>IF(MONTH(DATE(Planungsjahr,11,1)-WEEKDAY(DATE(Planungsjahr,11,1),2)+22)=11,DAY(DATE(Planungsjahr,11,1)-WEEKDAY(DATE(Planungsjahr,11,1),2)+22),"")</f>
        <v>22</v>
      </c>
      <c r="AX51" s="188"/>
      <c r="AY51" s="188"/>
      <c r="AZ51" s="188">
        <f>IF(MONTH(DATE(Planungsjahr,11,1)-WEEKDAY(DATE(Planungsjahr,11,1),2)+23)=11,DAY(DATE(Planungsjahr,11,1)-WEEKDAY(DATE(Planungsjahr,11,1),2)+23),"")</f>
        <v>23</v>
      </c>
      <c r="BA51" s="188"/>
      <c r="BB51" s="188"/>
      <c r="BC51" s="188">
        <f>IF(MONTH(DATE(Planungsjahr,11,1)-WEEKDAY(DATE(Planungsjahr,11,1),2)+24)=11,DAY(DATE(Planungsjahr,11,1)-WEEKDAY(DATE(Planungsjahr,11,1),2)+24),"")</f>
        <v>24</v>
      </c>
      <c r="BD51" s="188"/>
      <c r="BE51" s="188"/>
      <c r="BF51" s="188">
        <f>IF(MONTH(DATE(Planungsjahr,11,1)-WEEKDAY(DATE(Planungsjahr,11,1),2)+25)=11,DAY(DATE(Planungsjahr,11,1)-WEEKDAY(DATE(Planungsjahr,11,1),2)+25),"")</f>
        <v>25</v>
      </c>
      <c r="BG51" s="188"/>
      <c r="BH51" s="188"/>
      <c r="BI51" s="188">
        <f>IF(MONTH(DATE(Planungsjahr,11,1)-WEEKDAY(DATE(Planungsjahr,11,1),2)+26)=11,DAY(DATE(Planungsjahr,11,1)-WEEKDAY(DATE(Planungsjahr,11,1),2)+26),"")</f>
        <v>26</v>
      </c>
      <c r="BJ51" s="188"/>
      <c r="BK51" s="188"/>
      <c r="BL51" s="188">
        <f>IF(MONTH(DATE(Planungsjahr,11,1)-WEEKDAY(DATE(Planungsjahr,11,1),2)+27)=11,DAY(DATE(Planungsjahr,11,1)-WEEKDAY(DATE(Planungsjahr,11,1),2)+27),"")</f>
        <v>27</v>
      </c>
      <c r="BM51" s="188"/>
      <c r="BN51" s="188"/>
      <c r="BO51" s="188">
        <f>IF(MONTH(DATE(Planungsjahr,11,1)-WEEKDAY(DATE(Planungsjahr,11,1),2)+28)=11,DAY(DATE(Planungsjahr,11,1)-WEEKDAY(DATE(Planungsjahr,11,1),2)+28),"")</f>
        <v>28</v>
      </c>
      <c r="BP51" s="188"/>
      <c r="BQ51" s="190"/>
      <c r="BS51" s="177">
        <f>IF(OR(ISNUMBER(BT51),ISNUMBER(CL51)),_xlfn.ISOWEEKNUM(DATE(Planungsjahr,12,1)-WEEKDAY(DATE(Planungsjahr,12,1),2)+22),"")</f>
        <v>51</v>
      </c>
      <c r="BT51" s="188">
        <f>IF(MONTH(DATE(Planungsjahr,12,1)-WEEKDAY(DATE(Planungsjahr,12,1),2)+22)=12,DAY(DATE(Planungsjahr,12,1)-WEEKDAY(DATE(Planungsjahr,12,1),2)+22),"")</f>
        <v>20</v>
      </c>
      <c r="BU51" s="188"/>
      <c r="BV51" s="188"/>
      <c r="BW51" s="188">
        <f>IF(MONTH(DATE(Planungsjahr,12,1)-WEEKDAY(DATE(Planungsjahr,12,1),2)+23)=12,DAY(DATE(Planungsjahr,12,1)-WEEKDAY(DATE(Planungsjahr,12,1),2)+23),"")</f>
        <v>21</v>
      </c>
      <c r="BX51" s="188"/>
      <c r="BY51" s="188"/>
      <c r="BZ51" s="188">
        <f>IF(MONTH(DATE(Planungsjahr,12,1)-WEEKDAY(DATE(Planungsjahr,12,1),2)+24)=12,DAY(DATE(Planungsjahr,12,1)-WEEKDAY(DATE(Planungsjahr,12,1),2)+24),"")</f>
        <v>22</v>
      </c>
      <c r="CA51" s="188"/>
      <c r="CB51" s="188"/>
      <c r="CC51" s="188">
        <f>IF(MONTH(DATE(Planungsjahr,12,1)-WEEKDAY(DATE(Planungsjahr,12,1),2)+25)=12,DAY(DATE(Planungsjahr,12,1)-WEEKDAY(DATE(Planungsjahr,12,1),2)+25),"")</f>
        <v>23</v>
      </c>
      <c r="CD51" s="188"/>
      <c r="CE51" s="188"/>
      <c r="CF51" s="188">
        <f>IF(MONTH(DATE(Planungsjahr,12,1)-WEEKDAY(DATE(Planungsjahr,12,1),2)+26)=12,DAY(DATE(Planungsjahr,12,1)-WEEKDAY(DATE(Planungsjahr,12,1),2)+26),"")</f>
        <v>24</v>
      </c>
      <c r="CG51" s="188"/>
      <c r="CH51" s="188"/>
      <c r="CI51" s="188">
        <f>IF(MONTH(DATE(Planungsjahr,12,1)-WEEKDAY(DATE(Planungsjahr,12,1),2)+27)=12,DAY(DATE(Planungsjahr,12,1)-WEEKDAY(DATE(Planungsjahr,12,1),2)+27),"")</f>
        <v>25</v>
      </c>
      <c r="CJ51" s="188"/>
      <c r="CK51" s="188"/>
      <c r="CL51" s="188">
        <f>IF(MONTH(DATE(Planungsjahr,12,1)-WEEKDAY(DATE(Planungsjahr,12,1),2)+28)=12,DAY(DATE(Planungsjahr,12,1)-WEEKDAY(DATE(Planungsjahr,12,1),2)+28),"")</f>
        <v>26</v>
      </c>
      <c r="CM51" s="188"/>
      <c r="CN51" s="190"/>
    </row>
    <row r="52" spans="2:92" ht="10.5" customHeight="1" x14ac:dyDescent="0.25">
      <c r="B52" s="179"/>
      <c r="C52" s="159" t="str">
        <f>IF(ISNUMBER(C51),IF(COUNTIFS(JP_StartSel,DATE(Planungsjahr,9,C51),JP_ShowSel,TRUE)&gt;0,"S",IF(COUNTIF(Feiertage,DATE(Planungsjahr,9,C51))&gt;0,"h","")),"")</f>
        <v/>
      </c>
      <c r="D52" s="159" t="str">
        <f>IF(ISNUMBER(C51),IF(COUNTIFS(JP_StartInhalt,DATE(Planungsjahr,9,C51),JP_ShowInhalt,TRUE)&gt;0,"I",IF(COUNTIF(Feiertage,DATE(Planungsjahr,9,C51))&gt;0,"h","")),"")</f>
        <v/>
      </c>
      <c r="E52" s="159" t="str">
        <f>IF(ISNUMBER(C51),IF(COUNTIFS(JP_PAL,DATE(Planungsjahr,9,C51),JP_ShowPAL,TRUE)&gt;0,"P",IF(COUNTIF(Feiertage,DATE(Planungsjahr,9,C51))&gt;0,"h","")),"")</f>
        <v/>
      </c>
      <c r="F52" s="159" t="str">
        <f>IF(ISNUMBER(F51),IF(COUNTIFS(JP_StartSel,DATE(Planungsjahr,9,F51),JP_ShowSel,TRUE)&gt;0,"S",IF(COUNTIF(Feiertage,DATE(Planungsjahr,9,F51))&gt;0,"h","")),"")</f>
        <v/>
      </c>
      <c r="G52" s="159" t="str">
        <f>IF(ISNUMBER(F51),IF(COUNTIFS(JP_StartInhalt,DATE(Planungsjahr,9,F51),JP_ShowInhalt,TRUE)&gt;0,"I",IF(COUNTIF(Feiertage,DATE(Planungsjahr,9,F51))&gt;0,"h","")),"")</f>
        <v/>
      </c>
      <c r="H52" s="159" t="str">
        <f>IF(ISNUMBER(F51),IF(COUNTIFS(JP_PAL,DATE(Planungsjahr,9,F51),JP_ShowPAL,TRUE)&gt;0,"P",IF(COUNTIF(Feiertage,DATE(Planungsjahr,9,F51))&gt;0,"h","")),"")</f>
        <v/>
      </c>
      <c r="I52" s="159" t="str">
        <f>IF(ISNUMBER(I51),IF(COUNTIFS(JP_StartSel,DATE(Planungsjahr,9,I51),JP_ShowSel,TRUE)&gt;0,"S",IF(COUNTIF(Feiertage,DATE(Planungsjahr,9,I51))&gt;0,"h","")),"")</f>
        <v/>
      </c>
      <c r="J52" s="159" t="str">
        <f>IF(ISNUMBER(I51),IF(COUNTIFS(JP_StartInhalt,DATE(Planungsjahr,9,I51),JP_ShowInhalt,TRUE)&gt;0,"I",IF(COUNTIF(Feiertage,DATE(Planungsjahr,9,I51))&gt;0,"h","")),"")</f>
        <v/>
      </c>
      <c r="K52" s="159" t="str">
        <f>IF(ISNUMBER(I51),IF(COUNTIFS(JP_PAL,DATE(Planungsjahr,9,I51),JP_ShowPAL,TRUE)&gt;0,"P",IF(COUNTIF(Feiertage,DATE(Planungsjahr,9,I51))&gt;0,"h","")),"")</f>
        <v/>
      </c>
      <c r="L52" s="159" t="str">
        <f>IF(ISNUMBER(L51),IF(COUNTIFS(JP_StartSel,DATE(Planungsjahr,9,L51),JP_ShowSel,TRUE)&gt;0,"S",IF(COUNTIF(Feiertage,DATE(Planungsjahr,9,L51))&gt;0,"h","")),"")</f>
        <v/>
      </c>
      <c r="M52" s="159" t="str">
        <f>IF(ISNUMBER(L51),IF(COUNTIFS(JP_StartInhalt,DATE(Planungsjahr,9,L51),JP_ShowInhalt,TRUE)&gt;0,"I",IF(COUNTIF(Feiertage,DATE(Planungsjahr,9,L51))&gt;0,"h","")),"")</f>
        <v/>
      </c>
      <c r="N52" s="159" t="str">
        <f>IF(ISNUMBER(L51),IF(COUNTIFS(JP_PAL,DATE(Planungsjahr,9,L51),JP_ShowPAL,TRUE)&gt;0,"P",IF(COUNTIF(Feiertage,DATE(Planungsjahr,9,L51))&gt;0,"h","")),"")</f>
        <v/>
      </c>
      <c r="O52" s="159" t="str">
        <f>IF(ISNUMBER(O51),IF(COUNTIFS(JP_StartSel,DATE(Planungsjahr,9,O51),JP_ShowSel,TRUE)&gt;0,"S",IF(COUNTIF(Feiertage,DATE(Planungsjahr,9,O51))&gt;0,"h","")),"")</f>
        <v/>
      </c>
      <c r="P52" s="159" t="str">
        <f>IF(ISNUMBER(O51),IF(COUNTIFS(JP_StartInhalt,DATE(Planungsjahr,9,O51),JP_ShowInhalt,TRUE)&gt;0,"I",IF(COUNTIF(Feiertage,DATE(Planungsjahr,9,O51))&gt;0,"h","")),"")</f>
        <v/>
      </c>
      <c r="Q52" s="159" t="str">
        <f>IF(ISNUMBER(O51),IF(COUNTIFS(JP_PAL,DATE(Planungsjahr,9,O51),JP_ShowPAL,TRUE)&gt;0,"P",IF(COUNTIF(Feiertage,DATE(Planungsjahr,9,O51))&gt;0,"h","")),"")</f>
        <v>P</v>
      </c>
      <c r="R52" s="159" t="str">
        <f>IF(ISNUMBER(R51),IF(COUNTIFS(JP_StartSel,DATE(Planungsjahr,9,R51),JP_ShowSel,TRUE)&gt;0,"S",IF(COUNTIF(Feiertage,DATE(Planungsjahr,9,R51))&gt;0,"h","w")),"")</f>
        <v>S</v>
      </c>
      <c r="S52" s="159" t="str">
        <f>IF(ISNUMBER(R51),IF(COUNTIFS(JP_StartInhalt,DATE(Planungsjahr,9,R51),JP_ShowInhalt,TRUE)&gt;0,"I",IF(COUNTIF(Feiertage,DATE(Planungsjahr,9,R51))&gt;0,"h","w")),"")</f>
        <v>w</v>
      </c>
      <c r="T52" s="159" t="str">
        <f>IF(ISNUMBER(R51),IF(COUNTIFS(JP_PAL,DATE(Planungsjahr,9,R51),JP_ShowPAL,TRUE)&gt;0,"P",IF(COUNTIF(Feiertage,DATE(Planungsjahr,9,R51))&gt;0,"h","w")),"")</f>
        <v>w</v>
      </c>
      <c r="U52" s="159" t="str">
        <f>IF(ISNUMBER(U51),IF(COUNTIFS(JP_StartSel,DATE(Planungsjahr,9,U51),JP_ShowSel,TRUE)&gt;0,"S",IF(COUNTIF(Feiertage,DATE(Planungsjahr,9,U51))&gt;0,"h","w")),"")</f>
        <v>w</v>
      </c>
      <c r="V52" s="159" t="str">
        <f>IF(ISNUMBER(U51),IF(COUNTIFS(JP_StartInhalt,DATE(Planungsjahr,9,U51),JP_ShowInhalt,TRUE)&gt;0,"I",IF(COUNTIF(Feiertage,DATE(Planungsjahr,9,U51))&gt;0,"h","w")),"")</f>
        <v>w</v>
      </c>
      <c r="W52" s="180" t="str">
        <f>IF(ISNUMBER(U51),IF(COUNTIFS(JP_PAL,DATE(Planungsjahr,9,U51),JP_ShowPAL,TRUE)&gt;0,"P",IF(COUNTIF(Feiertage,DATE(Planungsjahr,9,U51))&gt;0,"h","w")),"")</f>
        <v>w</v>
      </c>
      <c r="Y52" s="179"/>
      <c r="Z52" s="159" t="str">
        <f>IF(ISNUMBER(Z51),IF(COUNTIFS(JP_StartSel,DATE(Planungsjahr,10,Z51),JP_ShowSel,TRUE)&gt;0,"S",IF(COUNTIF(Feiertage,DATE(Planungsjahr,10,Z51))&gt;0,"h","")),"")</f>
        <v/>
      </c>
      <c r="AA52" s="159" t="str">
        <f>IF(ISNUMBER(Z51),IF(COUNTIFS(JP_StartInhalt,DATE(Planungsjahr,10,Z51),JP_ShowInhalt,TRUE)&gt;0,"I",IF(COUNTIF(Feiertage,DATE(Planungsjahr,10,Z51))&gt;0,"h","")),"")</f>
        <v/>
      </c>
      <c r="AB52" s="159" t="str">
        <f>IF(ISNUMBER(Z51),IF(COUNTIFS(JP_PAL,DATE(Planungsjahr,10,Z51),JP_ShowPAL,TRUE)&gt;0,"P",IF(COUNTIF(Feiertage,DATE(Planungsjahr,10,Z51))&gt;0,"h","")),"")</f>
        <v/>
      </c>
      <c r="AC52" s="159" t="str">
        <f>IF(ISNUMBER(AC51),IF(COUNTIFS(JP_StartSel,DATE(Planungsjahr,10,AC51),JP_ShowSel,TRUE)&gt;0,"S",IF(COUNTIF(Feiertage,DATE(Planungsjahr,10,AC51))&gt;0,"h","")),"")</f>
        <v/>
      </c>
      <c r="AD52" s="159" t="str">
        <f>IF(ISNUMBER(AC51),IF(COUNTIFS(JP_StartInhalt,DATE(Planungsjahr,10,AC51),JP_ShowInhalt,TRUE)&gt;0,"I",IF(COUNTIF(Feiertage,DATE(Planungsjahr,10,AC51))&gt;0,"h","")),"")</f>
        <v/>
      </c>
      <c r="AE52" s="159" t="str">
        <f>IF(ISNUMBER(AC51),IF(COUNTIFS(JP_PAL,DATE(Planungsjahr,10,AC51),JP_ShowPAL,TRUE)&gt;0,"P",IF(COUNTIF(Feiertage,DATE(Planungsjahr,10,AC51))&gt;0,"h","")),"")</f>
        <v/>
      </c>
      <c r="AF52" s="159" t="str">
        <f>IF(ISNUMBER(AF51),IF(COUNTIFS(JP_StartSel,DATE(Planungsjahr,10,AF51),JP_ShowSel,TRUE)&gt;0,"S",IF(COUNTIF(Feiertage,DATE(Planungsjahr,10,AF51))&gt;0,"h","")),"")</f>
        <v/>
      </c>
      <c r="AG52" s="159" t="str">
        <f>IF(ISNUMBER(AF51),IF(COUNTIFS(JP_StartInhalt,DATE(Planungsjahr,10,AF51),JP_ShowInhalt,TRUE)&gt;0,"I",IF(COUNTIF(Feiertage,DATE(Planungsjahr,10,AF51))&gt;0,"h","")),"")</f>
        <v/>
      </c>
      <c r="AH52" s="159" t="str">
        <f>IF(ISNUMBER(AF51),IF(COUNTIFS(JP_PAL,DATE(Planungsjahr,10,AF51),JP_ShowPAL,TRUE)&gt;0,"P",IF(COUNTIF(Feiertage,DATE(Planungsjahr,10,AF51))&gt;0,"h","")),"")</f>
        <v/>
      </c>
      <c r="AI52" s="159" t="str">
        <f>IF(ISNUMBER(AI51),IF(COUNTIFS(JP_StartSel,DATE(Planungsjahr,10,AI51),JP_ShowSel,TRUE)&gt;0,"S",IF(COUNTIF(Feiertage,DATE(Planungsjahr,10,AI51))&gt;0,"h","")),"")</f>
        <v/>
      </c>
      <c r="AJ52" s="159" t="str">
        <f>IF(ISNUMBER(AI51),IF(COUNTIFS(JP_StartInhalt,DATE(Planungsjahr,10,AI51),JP_ShowInhalt,TRUE)&gt;0,"I",IF(COUNTIF(Feiertage,DATE(Planungsjahr,10,AI51))&gt;0,"h","")),"")</f>
        <v/>
      </c>
      <c r="AK52" s="159" t="str">
        <f>IF(ISNUMBER(AI51),IF(COUNTIFS(JP_PAL,DATE(Planungsjahr,10,AI51),JP_ShowPAL,TRUE)&gt;0,"P",IF(COUNTIF(Feiertage,DATE(Planungsjahr,10,AI51))&gt;0,"h","")),"")</f>
        <v/>
      </c>
      <c r="AL52" s="159" t="str">
        <f>IF(ISNUMBER(AL51),IF(COUNTIFS(JP_StartSel,DATE(Planungsjahr,10,AL51),JP_ShowSel,TRUE)&gt;0,"S",IF(COUNTIF(Feiertage,DATE(Planungsjahr,10,AL51))&gt;0,"h","")),"")</f>
        <v/>
      </c>
      <c r="AM52" s="159" t="str">
        <f>IF(ISNUMBER(AL51),IF(COUNTIFS(JP_StartInhalt,DATE(Planungsjahr,10,AL51),JP_ShowInhalt,TRUE)&gt;0,"I",IF(COUNTIF(Feiertage,DATE(Planungsjahr,10,AL51))&gt;0,"h","")),"")</f>
        <v/>
      </c>
      <c r="AN52" s="159" t="str">
        <f>IF(ISNUMBER(AL51),IF(COUNTIFS(JP_PAL,DATE(Planungsjahr,10,AL51),JP_ShowPAL,TRUE)&gt;0,"P",IF(COUNTIF(Feiertage,DATE(Planungsjahr,10,AL51))&gt;0,"h","")),"")</f>
        <v>P</v>
      </c>
      <c r="AO52" s="159" t="str">
        <f>IF(ISNUMBER(AO51),IF(COUNTIFS(JP_StartSel,DATE(Planungsjahr,10,AO51),JP_ShowSel,TRUE)&gt;0,"S",IF(COUNTIF(Feiertage,DATE(Planungsjahr,10,AO51))&gt;0,"h","w")),"")</f>
        <v>w</v>
      </c>
      <c r="AP52" s="159" t="str">
        <f>IF(ISNUMBER(AO51),IF(COUNTIFS(JP_StartInhalt,DATE(Planungsjahr,10,AO51),JP_ShowInhalt,TRUE)&gt;0,"I",IF(COUNTIF(Feiertage,DATE(Planungsjahr,10,AO51))&gt;0,"h","w")),"")</f>
        <v>w</v>
      </c>
      <c r="AQ52" s="159" t="str">
        <f>IF(ISNUMBER(AO51),IF(COUNTIFS(JP_PAL,DATE(Planungsjahr,10,AO51),JP_ShowPAL,TRUE)&gt;0,"P",IF(COUNTIF(Feiertage,DATE(Planungsjahr,10,AO51))&gt;0,"h","w")),"")</f>
        <v>w</v>
      </c>
      <c r="AR52" s="159" t="str">
        <f>IF(ISNUMBER(AR51),IF(COUNTIFS(JP_StartSel,DATE(Planungsjahr,10,AR51),JP_ShowSel,TRUE)&gt;0,"S",IF(COUNTIF(Feiertage,DATE(Planungsjahr,10,AR51))&gt;0,"h","w")),"")</f>
        <v>w</v>
      </c>
      <c r="AS52" s="159" t="str">
        <f>IF(ISNUMBER(AR51),IF(COUNTIFS(JP_StartInhalt,DATE(Planungsjahr,10,AR51),JP_ShowInhalt,TRUE)&gt;0,"I",IF(COUNTIF(Feiertage,DATE(Planungsjahr,10,AR51))&gt;0,"h","w")),"")</f>
        <v>w</v>
      </c>
      <c r="AT52" s="180" t="str">
        <f>IF(ISNUMBER(AR51),IF(COUNTIFS(JP_PAL,DATE(Planungsjahr,10,AR51),JP_ShowPAL,TRUE)&gt;0,"P",IF(COUNTIF(Feiertage,DATE(Planungsjahr,10,AR51))&gt;0,"h","w")),"")</f>
        <v>w</v>
      </c>
      <c r="AV52" s="179"/>
      <c r="AW52" s="159" t="str">
        <f>IF(ISNUMBER(AW51),IF(COUNTIFS(JP_StartSel,DATE(Planungsjahr,11,AW51),JP_ShowSel,TRUE)&gt;0,"S",IF(COUNTIF(Feiertage,DATE(Planungsjahr,11,AW51))&gt;0,"h","")),"")</f>
        <v/>
      </c>
      <c r="AX52" s="159" t="str">
        <f>IF(ISNUMBER(AW51),IF(COUNTIFS(JP_StartInhalt,DATE(Planungsjahr,11,AW51),JP_ShowInhalt,TRUE)&gt;0,"I",IF(COUNTIF(Feiertage,DATE(Planungsjahr,11,AW51))&gt;0,"h","")),"")</f>
        <v/>
      </c>
      <c r="AY52" s="159" t="str">
        <f>IF(ISNUMBER(AW51),IF(COUNTIFS(JP_PAL,DATE(Planungsjahr,11,AW51),JP_ShowPAL,TRUE)&gt;0,"P",IF(COUNTIF(Feiertage,DATE(Planungsjahr,11,AW51))&gt;0,"h","")),"")</f>
        <v/>
      </c>
      <c r="AZ52" s="159" t="str">
        <f>IF(ISNUMBER(AZ51),IF(COUNTIFS(JP_StartSel,DATE(Planungsjahr,11,AZ51),JP_ShowSel,TRUE)&gt;0,"S",IF(COUNTIF(Feiertage,DATE(Planungsjahr,11,AZ51))&gt;0,"h","")),"")</f>
        <v/>
      </c>
      <c r="BA52" s="159" t="str">
        <f>IF(ISNUMBER(AZ51),IF(COUNTIFS(JP_StartInhalt,DATE(Planungsjahr,11,AZ51),JP_ShowInhalt,TRUE)&gt;0,"I",IF(COUNTIF(Feiertage,DATE(Planungsjahr,11,AZ51))&gt;0,"h","")),"")</f>
        <v/>
      </c>
      <c r="BB52" s="159" t="str">
        <f>IF(ISNUMBER(AZ51),IF(COUNTIFS(JP_PAL,DATE(Planungsjahr,11,AZ51),JP_ShowPAL,TRUE)&gt;0,"P",IF(COUNTIF(Feiertage,DATE(Planungsjahr,11,AZ51))&gt;0,"h","")),"")</f>
        <v/>
      </c>
      <c r="BC52" s="159" t="str">
        <f>IF(ISNUMBER(BC51),IF(COUNTIFS(JP_StartSel,DATE(Planungsjahr,11,BC51),JP_ShowSel,TRUE)&gt;0,"S",IF(COUNTIF(Feiertage,DATE(Planungsjahr,11,BC51))&gt;0,"h","")),"")</f>
        <v/>
      </c>
      <c r="BD52" s="159" t="str">
        <f>IF(ISNUMBER(BC51),IF(COUNTIFS(JP_StartInhalt,DATE(Planungsjahr,11,BC51),JP_ShowInhalt,TRUE)&gt;0,"I",IF(COUNTIF(Feiertage,DATE(Planungsjahr,11,BC51))&gt;0,"h","")),"")</f>
        <v/>
      </c>
      <c r="BE52" s="159" t="str">
        <f>IF(ISNUMBER(BC51),IF(COUNTIFS(JP_PAL,DATE(Planungsjahr,11,BC51),JP_ShowPAL,TRUE)&gt;0,"P",IF(COUNTIF(Feiertage,DATE(Planungsjahr,11,BC51))&gt;0,"h","")),"")</f>
        <v/>
      </c>
      <c r="BF52" s="159" t="str">
        <f>IF(ISNUMBER(BF51),IF(COUNTIFS(JP_StartSel,DATE(Planungsjahr,11,BF51),JP_ShowSel,TRUE)&gt;0,"S",IF(COUNTIF(Feiertage,DATE(Planungsjahr,11,BF51))&gt;0,"h","")),"")</f>
        <v/>
      </c>
      <c r="BG52" s="159" t="str">
        <f>IF(ISNUMBER(BF51),IF(COUNTIFS(JP_StartInhalt,DATE(Planungsjahr,11,BF51),JP_ShowInhalt,TRUE)&gt;0,"I",IF(COUNTIF(Feiertage,DATE(Planungsjahr,11,BF51))&gt;0,"h","")),"")</f>
        <v/>
      </c>
      <c r="BH52" s="159" t="str">
        <f>IF(ISNUMBER(BF51),IF(COUNTIFS(JP_PAL,DATE(Planungsjahr,11,BF51),JP_ShowPAL,TRUE)&gt;0,"P",IF(COUNTIF(Feiertage,DATE(Planungsjahr,11,BF51))&gt;0,"h","")),"")</f>
        <v/>
      </c>
      <c r="BI52" s="159" t="str">
        <f>IF(ISNUMBER(BI51),IF(COUNTIFS(JP_StartSel,DATE(Planungsjahr,11,BI51),JP_ShowSel,TRUE)&gt;0,"S",IF(COUNTIF(Feiertage,DATE(Planungsjahr,11,BI51))&gt;0,"h","")),"")</f>
        <v/>
      </c>
      <c r="BJ52" s="159" t="str">
        <f>IF(ISNUMBER(BI51),IF(COUNTIFS(JP_StartInhalt,DATE(Planungsjahr,11,BI51),JP_ShowInhalt,TRUE)&gt;0,"I",IF(COUNTIF(Feiertage,DATE(Planungsjahr,11,BI51))&gt;0,"h","")),"")</f>
        <v/>
      </c>
      <c r="BK52" s="159" t="str">
        <f>IF(ISNUMBER(BI51),IF(COUNTIFS(JP_PAL,DATE(Planungsjahr,11,BI51),JP_ShowPAL,TRUE)&gt;0,"P",IF(COUNTIF(Feiertage,DATE(Planungsjahr,11,BI51))&gt;0,"h","")),"")</f>
        <v>P</v>
      </c>
      <c r="BL52" s="159" t="str">
        <f>IF(ISNUMBER(BL51),IF(COUNTIFS(JP_StartSel,DATE(Planungsjahr,11,BL51),JP_ShowSel,TRUE)&gt;0,"S",IF(COUNTIF(Feiertage,DATE(Planungsjahr,11,BL51))&gt;0,"h","w")),"")</f>
        <v>w</v>
      </c>
      <c r="BM52" s="159" t="str">
        <f>IF(ISNUMBER(BL51),IF(COUNTIFS(JP_StartInhalt,DATE(Planungsjahr,11,BL51),JP_ShowInhalt,TRUE)&gt;0,"I",IF(COUNTIF(Feiertage,DATE(Planungsjahr,11,BL51))&gt;0,"h","w")),"")</f>
        <v>w</v>
      </c>
      <c r="BN52" s="159" t="str">
        <f>IF(ISNUMBER(BL51),IF(COUNTIFS(JP_PAL,DATE(Planungsjahr,11,BL51),JP_ShowPAL,TRUE)&gt;0,"P",IF(COUNTIF(Feiertage,DATE(Planungsjahr,11,BL51))&gt;0,"h","w")),"")</f>
        <v>w</v>
      </c>
      <c r="BO52" s="159" t="str">
        <f>IF(ISNUMBER(BO51),IF(COUNTIFS(JP_StartSel,DATE(Planungsjahr,11,BO51),JP_ShowSel,TRUE)&gt;0,"S",IF(COUNTIF(Feiertage,DATE(Planungsjahr,11,BO51))&gt;0,"h","w")),"")</f>
        <v>w</v>
      </c>
      <c r="BP52" s="159" t="str">
        <f>IF(ISNUMBER(BO51),IF(COUNTIFS(JP_StartInhalt,DATE(Planungsjahr,11,BO51),JP_ShowInhalt,TRUE)&gt;0,"I",IF(COUNTIF(Feiertage,DATE(Planungsjahr,11,BO51))&gt;0,"h","w")),"")</f>
        <v>w</v>
      </c>
      <c r="BQ52" s="180" t="str">
        <f>IF(ISNUMBER(BO51),IF(COUNTIFS(JP_PAL,DATE(Planungsjahr,11,BO51),JP_ShowPAL,TRUE)&gt;0,"P",IF(COUNTIF(Feiertage,DATE(Planungsjahr,11,BO51))&gt;0,"h","w")),"")</f>
        <v>w</v>
      </c>
      <c r="BS52" s="179"/>
      <c r="BT52" s="159" t="str">
        <f>IF(ISNUMBER(BT51),IF(COUNTIFS(JP_StartSel,DATE(Planungsjahr,12,BT51),JP_ShowSel,TRUE)&gt;0,"S",IF(COUNTIF(Feiertage,DATE(Planungsjahr,12,BT51))&gt;0,"h","")),"")</f>
        <v/>
      </c>
      <c r="BU52" s="159" t="str">
        <f>IF(ISNUMBER(BT51),IF(COUNTIFS(JP_StartInhalt,DATE(Planungsjahr,12,BT51),JP_ShowInhalt,TRUE)&gt;0,"I",IF(COUNTIF(Feiertage,DATE(Planungsjahr,12,BT51))&gt;0,"h","")),"")</f>
        <v/>
      </c>
      <c r="BV52" s="159" t="str">
        <f>IF(ISNUMBER(BT51),IF(COUNTIFS(JP_PAL,DATE(Planungsjahr,12,BT51),JP_ShowPAL,TRUE)&gt;0,"P",IF(COUNTIF(Feiertage,DATE(Planungsjahr,12,BT51))&gt;0,"h","")),"")</f>
        <v/>
      </c>
      <c r="BW52" s="159" t="str">
        <f>IF(ISNUMBER(BW51),IF(COUNTIFS(JP_StartSel,DATE(Planungsjahr,12,BW51),JP_ShowSel,TRUE)&gt;0,"S",IF(COUNTIF(Feiertage,DATE(Planungsjahr,12,BW51))&gt;0,"h","")),"")</f>
        <v/>
      </c>
      <c r="BX52" s="159" t="str">
        <f>IF(ISNUMBER(BW51),IF(COUNTIFS(JP_StartInhalt,DATE(Planungsjahr,12,BW51),JP_ShowInhalt,TRUE)&gt;0,"I",IF(COUNTIF(Feiertage,DATE(Planungsjahr,12,BW51))&gt;0,"h","")),"")</f>
        <v/>
      </c>
      <c r="BY52" s="159" t="str">
        <f>IF(ISNUMBER(BW51),IF(COUNTIFS(JP_PAL,DATE(Planungsjahr,12,BW51),JP_ShowPAL,TRUE)&gt;0,"P",IF(COUNTIF(Feiertage,DATE(Planungsjahr,12,BW51))&gt;0,"h","")),"")</f>
        <v/>
      </c>
      <c r="BZ52" s="159" t="str">
        <f>IF(ISNUMBER(BZ51),IF(COUNTIFS(JP_StartSel,DATE(Planungsjahr,12,BZ51),JP_ShowSel,TRUE)&gt;0,"S",IF(COUNTIF(Feiertage,DATE(Planungsjahr,12,BZ51))&gt;0,"h","")),"")</f>
        <v/>
      </c>
      <c r="CA52" s="159" t="str">
        <f>IF(ISNUMBER(BZ51),IF(COUNTIFS(JP_StartInhalt,DATE(Planungsjahr,12,BZ51),JP_ShowInhalt,TRUE)&gt;0,"I",IF(COUNTIF(Feiertage,DATE(Planungsjahr,12,BZ51))&gt;0,"h","")),"")</f>
        <v/>
      </c>
      <c r="CB52" s="159" t="str">
        <f>IF(ISNUMBER(BZ51),IF(COUNTIFS(JP_PAL,DATE(Planungsjahr,12,BZ51),JP_ShowPAL,TRUE)&gt;0,"P",IF(COUNTIF(Feiertage,DATE(Planungsjahr,12,BZ51))&gt;0,"h","")),"")</f>
        <v/>
      </c>
      <c r="CC52" s="159" t="str">
        <f>IF(ISNUMBER(CC51),IF(COUNTIFS(JP_StartSel,DATE(Planungsjahr,12,CC51),JP_ShowSel,TRUE)&gt;0,"S",IF(COUNTIF(Feiertage,DATE(Planungsjahr,12,CC51))&gt;0,"h","")),"")</f>
        <v/>
      </c>
      <c r="CD52" s="159" t="str">
        <f>IF(ISNUMBER(CC51),IF(COUNTIFS(JP_StartInhalt,DATE(Planungsjahr,12,CC51),JP_ShowInhalt,TRUE)&gt;0,"I",IF(COUNTIF(Feiertage,DATE(Planungsjahr,12,CC51))&gt;0,"h","")),"")</f>
        <v/>
      </c>
      <c r="CE52" s="159" t="str">
        <f>IF(ISNUMBER(CC51),IF(COUNTIFS(JP_PAL,DATE(Planungsjahr,12,CC51),JP_ShowPAL,TRUE)&gt;0,"P",IF(COUNTIF(Feiertage,DATE(Planungsjahr,12,CC51))&gt;0,"h","")),"")</f>
        <v/>
      </c>
      <c r="CF52" s="159" t="str">
        <f>IF(ISNUMBER(CF51),IF(COUNTIFS(JP_StartSel,DATE(Planungsjahr,12,CF51),JP_ShowSel,TRUE)&gt;0,"S",IF(COUNTIF(Feiertage,DATE(Planungsjahr,12,CF51))&gt;0,"h","")),"")</f>
        <v/>
      </c>
      <c r="CG52" s="159" t="str">
        <f>IF(ISNUMBER(CF51),IF(COUNTIFS(JP_StartInhalt,DATE(Planungsjahr,12,CF51),JP_ShowInhalt,TRUE)&gt;0,"I",IF(COUNTIF(Feiertage,DATE(Planungsjahr,12,CF51))&gt;0,"h","")),"")</f>
        <v/>
      </c>
      <c r="CH52" s="159" t="str">
        <f>IF(ISNUMBER(CF51),IF(COUNTIFS(JP_PAL,DATE(Planungsjahr,12,CF51),JP_ShowPAL,TRUE)&gt;0,"P",IF(COUNTIF(Feiertage,DATE(Planungsjahr,12,CF51))&gt;0,"h","")),"")</f>
        <v/>
      </c>
      <c r="CI52" s="159" t="str">
        <f>IF(ISNUMBER(CI51),IF(COUNTIFS(JP_StartSel,DATE(Planungsjahr,12,CI51),JP_ShowSel,TRUE)&gt;0,"S",IF(COUNTIF(Feiertage,DATE(Planungsjahr,12,CI51))&gt;0,"h","w")),"")</f>
        <v>h</v>
      </c>
      <c r="CJ52" s="159" t="str">
        <f>IF(ISNUMBER(CI51),IF(COUNTIFS(JP_StartInhalt,DATE(Planungsjahr,12,CI51),JP_ShowInhalt,TRUE)&gt;0,"I",IF(COUNTIF(Feiertage,DATE(Planungsjahr,12,CI51))&gt;0,"h","w")),"")</f>
        <v>h</v>
      </c>
      <c r="CK52" s="159" t="str">
        <f>IF(ISNUMBER(CI51),IF(COUNTIFS(JP_PAL,DATE(Planungsjahr,12,CI51),JP_ShowPAL,TRUE)&gt;0,"P",IF(COUNTIF(Feiertage,DATE(Planungsjahr,12,CI51))&gt;0,"h","w")),"")</f>
        <v>h</v>
      </c>
      <c r="CL52" s="159" t="str">
        <f>IF(ISNUMBER(CL51),IF(COUNTIFS(JP_StartSel,DATE(Planungsjahr,12,CL51),JP_ShowSel,TRUE)&gt;0,"S",IF(COUNTIF(Feiertage,DATE(Planungsjahr,12,CL51))&gt;0,"h","w")),"")</f>
        <v>h</v>
      </c>
      <c r="CM52" s="159" t="str">
        <f>IF(ISNUMBER(CL51),IF(COUNTIFS(JP_StartInhalt,DATE(Planungsjahr,12,CL51),JP_ShowInhalt,TRUE)&gt;0,"I",IF(COUNTIF(Feiertage,DATE(Planungsjahr,12,CL51))&gt;0,"h","w")),"")</f>
        <v>h</v>
      </c>
      <c r="CN52" s="180" t="str">
        <f>IF(ISNUMBER(CL51),IF(COUNTIFS(JP_PAL,DATE(Planungsjahr,12,CL51),JP_ShowPAL,TRUE)&gt;0,"P",IF(COUNTIF(Feiertage,DATE(Planungsjahr,12,CL51))&gt;0,"h","w")),"")</f>
        <v>h</v>
      </c>
    </row>
    <row r="53" spans="2:92" ht="15.95" customHeight="1" x14ac:dyDescent="0.25">
      <c r="B53" s="177">
        <f>IF(OR(ISNUMBER(C53),ISNUMBER(U53)),_xlfn.ISOWEEKNUM(DATE(Planungsjahr,9,1)-WEEKDAY(DATE(Planungsjahr,9,1),2)+29),"")</f>
        <v>39</v>
      </c>
      <c r="C53" s="188">
        <f>IF(MONTH(DATE(Planungsjahr,9,1)-WEEKDAY(DATE(Planungsjahr,9,1),2)+29)=9,DAY(DATE(Planungsjahr,9,1)-WEEKDAY(DATE(Planungsjahr,9,1),2)+29),"")</f>
        <v>27</v>
      </c>
      <c r="D53" s="188"/>
      <c r="E53" s="188"/>
      <c r="F53" s="188">
        <f>IF(MONTH(DATE(Planungsjahr,9,1)-WEEKDAY(DATE(Planungsjahr,9,1),2)+30)=9,DAY(DATE(Planungsjahr,9,1)-WEEKDAY(DATE(Planungsjahr,9,1),2)+30),"")</f>
        <v>28</v>
      </c>
      <c r="G53" s="188"/>
      <c r="H53" s="188"/>
      <c r="I53" s="188">
        <f>IF(MONTH(DATE(Planungsjahr,9,1)-WEEKDAY(DATE(Planungsjahr,9,1),2)+31)=9,DAY(DATE(Planungsjahr,9,1)-WEEKDAY(DATE(Planungsjahr,9,1),2)+31),"")</f>
        <v>29</v>
      </c>
      <c r="J53" s="188"/>
      <c r="K53" s="188"/>
      <c r="L53" s="188">
        <f>IF(MONTH(DATE(Planungsjahr,9,1)-WEEKDAY(DATE(Planungsjahr,9,1),2)+32)=9,DAY(DATE(Planungsjahr,9,1)-WEEKDAY(DATE(Planungsjahr,9,1),2)+32),"")</f>
        <v>30</v>
      </c>
      <c r="M53" s="188"/>
      <c r="N53" s="188"/>
      <c r="O53" s="188" t="str">
        <f>IF(MONTH(DATE(Planungsjahr,9,1)-WEEKDAY(DATE(Planungsjahr,9,1),2)+33)=9,DAY(DATE(Planungsjahr,9,1)-WEEKDAY(DATE(Planungsjahr,9,1),2)+33),"")</f>
        <v/>
      </c>
      <c r="P53" s="188"/>
      <c r="Q53" s="188"/>
      <c r="R53" s="188" t="str">
        <f>IF(MONTH(DATE(Planungsjahr,9,1)-WEEKDAY(DATE(Planungsjahr,9,1),2)+34)=9,DAY(DATE(Planungsjahr,9,1)-WEEKDAY(DATE(Planungsjahr,9,1),2)+34),"")</f>
        <v/>
      </c>
      <c r="S53" s="188"/>
      <c r="T53" s="188"/>
      <c r="U53" s="188" t="str">
        <f>IF(MONTH(DATE(Planungsjahr,9,1)-WEEKDAY(DATE(Planungsjahr,9,1),2)+35)=9,DAY(DATE(Planungsjahr,9,1)-WEEKDAY(DATE(Planungsjahr,9,1),2)+35),"")</f>
        <v/>
      </c>
      <c r="V53" s="188"/>
      <c r="W53" s="190"/>
      <c r="Y53" s="177">
        <f>IF(OR(ISNUMBER(Z53),ISNUMBER(AR53)),_xlfn.ISOWEEKNUM(DATE(Planungsjahr,10,1)-WEEKDAY(DATE(Planungsjahr,10,1),2)+29),"")</f>
        <v>43</v>
      </c>
      <c r="Z53" s="188">
        <f>IF(MONTH(DATE(Planungsjahr,10,1)-WEEKDAY(DATE(Planungsjahr,10,1),2)+29)=10,DAY(DATE(Planungsjahr,10,1)-WEEKDAY(DATE(Planungsjahr,10,1),2)+29),"")</f>
        <v>25</v>
      </c>
      <c r="AA53" s="188"/>
      <c r="AB53" s="188"/>
      <c r="AC53" s="188">
        <f>IF(MONTH(DATE(Planungsjahr,10,1)-WEEKDAY(DATE(Planungsjahr,10,1),2)+30)=10,DAY(DATE(Planungsjahr,10,1)-WEEKDAY(DATE(Planungsjahr,10,1),2)+30),"")</f>
        <v>26</v>
      </c>
      <c r="AD53" s="188"/>
      <c r="AE53" s="188"/>
      <c r="AF53" s="188">
        <f>IF(MONTH(DATE(Planungsjahr,10,1)-WEEKDAY(DATE(Planungsjahr,10,1),2)+31)=10,DAY(DATE(Planungsjahr,10,1)-WEEKDAY(DATE(Planungsjahr,10,1),2)+31),"")</f>
        <v>27</v>
      </c>
      <c r="AG53" s="188"/>
      <c r="AH53" s="188"/>
      <c r="AI53" s="188">
        <f>IF(MONTH(DATE(Planungsjahr,10,1)-WEEKDAY(DATE(Planungsjahr,10,1),2)+32)=10,DAY(DATE(Planungsjahr,10,1)-WEEKDAY(DATE(Planungsjahr,10,1),2)+32),"")</f>
        <v>28</v>
      </c>
      <c r="AJ53" s="188"/>
      <c r="AK53" s="188"/>
      <c r="AL53" s="188">
        <f>IF(MONTH(DATE(Planungsjahr,10,1)-WEEKDAY(DATE(Planungsjahr,10,1),2)+33)=10,DAY(DATE(Planungsjahr,10,1)-WEEKDAY(DATE(Planungsjahr,10,1),2)+33),"")</f>
        <v>29</v>
      </c>
      <c r="AM53" s="188"/>
      <c r="AN53" s="188"/>
      <c r="AO53" s="188">
        <f>IF(MONTH(DATE(Planungsjahr,10,1)-WEEKDAY(DATE(Planungsjahr,10,1),2)+34)=10,DAY(DATE(Planungsjahr,10,1)-WEEKDAY(DATE(Planungsjahr,10,1),2)+34),"")</f>
        <v>30</v>
      </c>
      <c r="AP53" s="188"/>
      <c r="AQ53" s="188"/>
      <c r="AR53" s="188">
        <f>IF(MONTH(DATE(Planungsjahr,10,1)-WEEKDAY(DATE(Planungsjahr,10,1),2)+35)=10,DAY(DATE(Planungsjahr,10,1)-WEEKDAY(DATE(Planungsjahr,10,1),2)+35),"")</f>
        <v>31</v>
      </c>
      <c r="AS53" s="188"/>
      <c r="AT53" s="190"/>
      <c r="AV53" s="177">
        <f>IF(OR(ISNUMBER(AW53),ISNUMBER(BO53)),_xlfn.ISOWEEKNUM(DATE(Planungsjahr,11,1)-WEEKDAY(DATE(Planungsjahr,11,1),2)+29),"")</f>
        <v>48</v>
      </c>
      <c r="AW53" s="188">
        <f>IF(MONTH(DATE(Planungsjahr,11,1)-WEEKDAY(DATE(Planungsjahr,11,1),2)+29)=11,DAY(DATE(Planungsjahr,11,1)-WEEKDAY(DATE(Planungsjahr,11,1),2)+29),"")</f>
        <v>29</v>
      </c>
      <c r="AX53" s="188"/>
      <c r="AY53" s="188"/>
      <c r="AZ53" s="188">
        <f>IF(MONTH(DATE(Planungsjahr,11,1)-WEEKDAY(DATE(Planungsjahr,11,1),2)+30)=11,DAY(DATE(Planungsjahr,11,1)-WEEKDAY(DATE(Planungsjahr,11,1),2)+30),"")</f>
        <v>30</v>
      </c>
      <c r="BA53" s="188"/>
      <c r="BB53" s="188"/>
      <c r="BC53" s="188" t="str">
        <f>IF(MONTH(DATE(Planungsjahr,11,1)-WEEKDAY(DATE(Planungsjahr,11,1),2)+31)=11,DAY(DATE(Planungsjahr,11,1)-WEEKDAY(DATE(Planungsjahr,11,1),2)+31),"")</f>
        <v/>
      </c>
      <c r="BD53" s="188"/>
      <c r="BE53" s="188"/>
      <c r="BF53" s="188" t="str">
        <f>IF(MONTH(DATE(Planungsjahr,11,1)-WEEKDAY(DATE(Planungsjahr,11,1),2)+32)=11,DAY(DATE(Planungsjahr,11,1)-WEEKDAY(DATE(Planungsjahr,11,1),2)+32),"")</f>
        <v/>
      </c>
      <c r="BG53" s="188"/>
      <c r="BH53" s="188"/>
      <c r="BI53" s="188" t="str">
        <f>IF(MONTH(DATE(Planungsjahr,11,1)-WEEKDAY(DATE(Planungsjahr,11,1),2)+33)=11,DAY(DATE(Planungsjahr,11,1)-WEEKDAY(DATE(Planungsjahr,11,1),2)+33),"")</f>
        <v/>
      </c>
      <c r="BJ53" s="188"/>
      <c r="BK53" s="188"/>
      <c r="BL53" s="188" t="str">
        <f>IF(MONTH(DATE(Planungsjahr,11,1)-WEEKDAY(DATE(Planungsjahr,11,1),2)+34)=11,DAY(DATE(Planungsjahr,11,1)-WEEKDAY(DATE(Planungsjahr,11,1),2)+34),"")</f>
        <v/>
      </c>
      <c r="BM53" s="188"/>
      <c r="BN53" s="188"/>
      <c r="BO53" s="188" t="str">
        <f>IF(MONTH(DATE(Planungsjahr,11,1)-WEEKDAY(DATE(Planungsjahr,11,1),2)+35)=11,DAY(DATE(Planungsjahr,11,1)-WEEKDAY(DATE(Planungsjahr,11,1),2)+35),"")</f>
        <v/>
      </c>
      <c r="BP53" s="188"/>
      <c r="BQ53" s="190"/>
      <c r="BS53" s="177">
        <f>IF(OR(ISNUMBER(BT53),ISNUMBER(CL53)),_xlfn.ISOWEEKNUM(DATE(Planungsjahr,12,1)-WEEKDAY(DATE(Planungsjahr,12,1),2)+29),"")</f>
        <v>52</v>
      </c>
      <c r="BT53" s="188">
        <f>IF(MONTH(DATE(Planungsjahr,12,1)-WEEKDAY(DATE(Planungsjahr,12,1),2)+29)=12,DAY(DATE(Planungsjahr,12,1)-WEEKDAY(DATE(Planungsjahr,12,1),2)+29),"")</f>
        <v>27</v>
      </c>
      <c r="BU53" s="188"/>
      <c r="BV53" s="188"/>
      <c r="BW53" s="188">
        <f>IF(MONTH(DATE(Planungsjahr,12,1)-WEEKDAY(DATE(Planungsjahr,12,1),2)+30)=12,DAY(DATE(Planungsjahr,12,1)-WEEKDAY(DATE(Planungsjahr,12,1),2)+30),"")</f>
        <v>28</v>
      </c>
      <c r="BX53" s="188"/>
      <c r="BY53" s="188"/>
      <c r="BZ53" s="188">
        <f>IF(MONTH(DATE(Planungsjahr,12,1)-WEEKDAY(DATE(Planungsjahr,12,1),2)+31)=12,DAY(DATE(Planungsjahr,12,1)-WEEKDAY(DATE(Planungsjahr,12,1),2)+31),"")</f>
        <v>29</v>
      </c>
      <c r="CA53" s="188"/>
      <c r="CB53" s="188"/>
      <c r="CC53" s="188">
        <f>IF(MONTH(DATE(Planungsjahr,12,1)-WEEKDAY(DATE(Planungsjahr,12,1),2)+32)=12,DAY(DATE(Planungsjahr,12,1)-WEEKDAY(DATE(Planungsjahr,12,1),2)+32),"")</f>
        <v>30</v>
      </c>
      <c r="CD53" s="188"/>
      <c r="CE53" s="188"/>
      <c r="CF53" s="188">
        <f>IF(MONTH(DATE(Planungsjahr,12,1)-WEEKDAY(DATE(Planungsjahr,12,1),2)+33)=12,DAY(DATE(Planungsjahr,12,1)-WEEKDAY(DATE(Planungsjahr,12,1),2)+33),"")</f>
        <v>31</v>
      </c>
      <c r="CG53" s="188"/>
      <c r="CH53" s="188"/>
      <c r="CI53" s="188" t="str">
        <f>IF(MONTH(DATE(Planungsjahr,12,1)-WEEKDAY(DATE(Planungsjahr,12,1),2)+34)=12,DAY(DATE(Planungsjahr,12,1)-WEEKDAY(DATE(Planungsjahr,12,1),2)+34),"")</f>
        <v/>
      </c>
      <c r="CJ53" s="188"/>
      <c r="CK53" s="188"/>
      <c r="CL53" s="188" t="str">
        <f>IF(MONTH(DATE(Planungsjahr,12,1)-WEEKDAY(DATE(Planungsjahr,12,1),2)+35)=12,DAY(DATE(Planungsjahr,12,1)-WEEKDAY(DATE(Planungsjahr,12,1),2)+35),"")</f>
        <v/>
      </c>
      <c r="CM53" s="188"/>
      <c r="CN53" s="190"/>
    </row>
    <row r="54" spans="2:92" ht="10.5" customHeight="1" x14ac:dyDescent="0.25">
      <c r="B54" s="179"/>
      <c r="C54" s="159" t="str">
        <f>IF(ISNUMBER(C53),IF(COUNTIFS(JP_StartSel,DATE(Planungsjahr,9,C53),JP_ShowSel,TRUE)&gt;0,"S",IF(COUNTIF(Feiertage,DATE(Planungsjahr,9,C53))&gt;0,"h","")),"")</f>
        <v/>
      </c>
      <c r="D54" s="159" t="str">
        <f>IF(ISNUMBER(C53),IF(COUNTIFS(JP_StartInhalt,DATE(Planungsjahr,9,C53),JP_ShowInhalt,TRUE)&gt;0,"I",IF(COUNTIF(Feiertage,DATE(Planungsjahr,9,C53))&gt;0,"h","")),"")</f>
        <v/>
      </c>
      <c r="E54" s="159" t="str">
        <f>IF(ISNUMBER(C53),IF(COUNTIFS(JP_PAL,DATE(Planungsjahr,9,C53),JP_ShowPAL,TRUE)&gt;0,"P",IF(COUNTIF(Feiertage,DATE(Planungsjahr,9,C53))&gt;0,"h","")),"")</f>
        <v/>
      </c>
      <c r="F54" s="159" t="str">
        <f>IF(ISNUMBER(F53),IF(COUNTIFS(JP_StartSel,DATE(Planungsjahr,9,F53),JP_ShowSel,TRUE)&gt;0,"S",IF(COUNTIF(Feiertage,DATE(Planungsjahr,9,F53))&gt;0,"h","")),"")</f>
        <v/>
      </c>
      <c r="G54" s="159" t="str">
        <f>IF(ISNUMBER(F53),IF(COUNTIFS(JP_StartInhalt,DATE(Planungsjahr,9,F53),JP_ShowInhalt,TRUE)&gt;0,"I",IF(COUNTIF(Feiertage,DATE(Planungsjahr,9,F53))&gt;0,"h","")),"")</f>
        <v/>
      </c>
      <c r="H54" s="159" t="str">
        <f>IF(ISNUMBER(F53),IF(COUNTIFS(JP_PAL,DATE(Planungsjahr,9,F53),JP_ShowPAL,TRUE)&gt;0,"P",IF(COUNTIF(Feiertage,DATE(Planungsjahr,9,F53))&gt;0,"h","")),"")</f>
        <v/>
      </c>
      <c r="I54" s="159" t="str">
        <f>IF(ISNUMBER(I53),IF(COUNTIFS(JP_StartSel,DATE(Planungsjahr,9,I53),JP_ShowSel,TRUE)&gt;0,"S",IF(COUNTIF(Feiertage,DATE(Planungsjahr,9,I53))&gt;0,"h","")),"")</f>
        <v/>
      </c>
      <c r="J54" s="159" t="str">
        <f>IF(ISNUMBER(I53),IF(COUNTIFS(JP_StartInhalt,DATE(Planungsjahr,9,I53),JP_ShowInhalt,TRUE)&gt;0,"I",IF(COUNTIF(Feiertage,DATE(Planungsjahr,9,I53))&gt;0,"h","")),"")</f>
        <v>I</v>
      </c>
      <c r="K54" s="159" t="str">
        <f>IF(ISNUMBER(I53),IF(COUNTIFS(JP_PAL,DATE(Planungsjahr,9,I53),JP_ShowPAL,TRUE)&gt;0,"P",IF(COUNTIF(Feiertage,DATE(Planungsjahr,9,I53))&gt;0,"h","")),"")</f>
        <v/>
      </c>
      <c r="L54" s="159" t="str">
        <f>IF(ISNUMBER(L53),IF(COUNTIFS(JP_StartSel,DATE(Planungsjahr,9,L53),JP_ShowSel,TRUE)&gt;0,"S",IF(COUNTIF(Feiertage,DATE(Planungsjahr,9,L53))&gt;0,"h","")),"")</f>
        <v/>
      </c>
      <c r="M54" s="159" t="str">
        <f>IF(ISNUMBER(L53),IF(COUNTIFS(JP_StartInhalt,DATE(Planungsjahr,9,L53),JP_ShowInhalt,TRUE)&gt;0,"I",IF(COUNTIF(Feiertage,DATE(Planungsjahr,9,L53))&gt;0,"h","")),"")</f>
        <v/>
      </c>
      <c r="N54" s="159" t="str">
        <f>IF(ISNUMBER(L53),IF(COUNTIFS(JP_PAL,DATE(Planungsjahr,9,L53),JP_ShowPAL,TRUE)&gt;0,"P",IF(COUNTIF(Feiertage,DATE(Planungsjahr,9,L53))&gt;0,"h","")),"")</f>
        <v/>
      </c>
      <c r="O54" s="159" t="str">
        <f>IF(ISNUMBER(O53),IF(COUNTIFS(JP_StartSel,DATE(Planungsjahr,9,O53),JP_ShowSel,TRUE)&gt;0,"S",IF(COUNTIF(Feiertage,DATE(Planungsjahr,9,O53))&gt;0,"h","")),"")</f>
        <v/>
      </c>
      <c r="P54" s="159" t="str">
        <f>IF(ISNUMBER(O53),IF(COUNTIFS(JP_StartInhalt,DATE(Planungsjahr,9,O53),JP_ShowInhalt,TRUE)&gt;0,"I",IF(COUNTIF(Feiertage,DATE(Planungsjahr,9,O53))&gt;0,"h","")),"")</f>
        <v/>
      </c>
      <c r="Q54" s="159" t="str">
        <f>IF(ISNUMBER(O53),IF(COUNTIFS(JP_PAL,DATE(Planungsjahr,9,O53),JP_ShowPAL,TRUE)&gt;0,"P",IF(COUNTIF(Feiertage,DATE(Planungsjahr,9,O53))&gt;0,"h","")),"")</f>
        <v/>
      </c>
      <c r="R54" s="159" t="str">
        <f>IF(ISNUMBER(R53),IF(COUNTIFS(JP_StartSel,DATE(Planungsjahr,9,R53),JP_ShowSel,TRUE)&gt;0,"S",IF(COUNTIF(Feiertage,DATE(Planungsjahr,9,R53))&gt;0,"h","w")),"")</f>
        <v/>
      </c>
      <c r="S54" s="159" t="str">
        <f>IF(ISNUMBER(R53),IF(COUNTIFS(JP_StartInhalt,DATE(Planungsjahr,9,R53),JP_ShowInhalt,TRUE)&gt;0,"I",IF(COUNTIF(Feiertage,DATE(Planungsjahr,9,R53))&gt;0,"h","w")),"")</f>
        <v/>
      </c>
      <c r="T54" s="159" t="str">
        <f>IF(ISNUMBER(R53),IF(COUNTIFS(JP_PAL,DATE(Planungsjahr,9,R53),JP_ShowPAL,TRUE)&gt;0,"P",IF(COUNTIF(Feiertage,DATE(Planungsjahr,9,R53))&gt;0,"h","w")),"")</f>
        <v/>
      </c>
      <c r="U54" s="159" t="str">
        <f>IF(ISNUMBER(U53),IF(COUNTIFS(JP_StartSel,DATE(Planungsjahr,9,U53),JP_ShowSel,TRUE)&gt;0,"S",IF(COUNTIF(Feiertage,DATE(Planungsjahr,9,U53))&gt;0,"h","w")),"")</f>
        <v/>
      </c>
      <c r="V54" s="159" t="str">
        <f>IF(ISNUMBER(U53),IF(COUNTIFS(JP_StartInhalt,DATE(Planungsjahr,9,U53),JP_ShowInhalt,TRUE)&gt;0,"I",IF(COUNTIF(Feiertage,DATE(Planungsjahr,9,U53))&gt;0,"h","w")),"")</f>
        <v/>
      </c>
      <c r="W54" s="180" t="str">
        <f>IF(ISNUMBER(U53),IF(COUNTIFS(JP_PAL,DATE(Planungsjahr,9,U53),JP_ShowPAL,TRUE)&gt;0,"P",IF(COUNTIF(Feiertage,DATE(Planungsjahr,9,U53))&gt;0,"h","w")),"")</f>
        <v/>
      </c>
      <c r="Y54" s="179"/>
      <c r="Z54" s="159" t="str">
        <f>IF(ISNUMBER(Z53),IF(COUNTIFS(JP_StartSel,DATE(Planungsjahr,10,Z53),JP_ShowSel,TRUE)&gt;0,"S",IF(COUNTIF(Feiertage,DATE(Planungsjahr,10,Z53))&gt;0,"h","")),"")</f>
        <v/>
      </c>
      <c r="AA54" s="159" t="str">
        <f>IF(ISNUMBER(Z53),IF(COUNTIFS(JP_StartInhalt,DATE(Planungsjahr,10,Z53),JP_ShowInhalt,TRUE)&gt;0,"I",IF(COUNTIF(Feiertage,DATE(Planungsjahr,10,Z53))&gt;0,"h","")),"")</f>
        <v/>
      </c>
      <c r="AB54" s="159" t="str">
        <f>IF(ISNUMBER(Z53),IF(COUNTIFS(JP_PAL,DATE(Planungsjahr,10,Z53),JP_ShowPAL,TRUE)&gt;0,"P",IF(COUNTIF(Feiertage,DATE(Planungsjahr,10,Z53))&gt;0,"h","")),"")</f>
        <v/>
      </c>
      <c r="AC54" s="159" t="str">
        <f>IF(ISNUMBER(AC53),IF(COUNTIFS(JP_StartSel,DATE(Planungsjahr,10,AC53),JP_ShowSel,TRUE)&gt;0,"S",IF(COUNTIF(Feiertage,DATE(Planungsjahr,10,AC53))&gt;0,"h","")),"")</f>
        <v/>
      </c>
      <c r="AD54" s="159" t="str">
        <f>IF(ISNUMBER(AC53),IF(COUNTIFS(JP_StartInhalt,DATE(Planungsjahr,10,AC53),JP_ShowInhalt,TRUE)&gt;0,"I",IF(COUNTIF(Feiertage,DATE(Planungsjahr,10,AC53))&gt;0,"h","")),"")</f>
        <v/>
      </c>
      <c r="AE54" s="159" t="str">
        <f>IF(ISNUMBER(AC53),IF(COUNTIFS(JP_PAL,DATE(Planungsjahr,10,AC53),JP_ShowPAL,TRUE)&gt;0,"P",IF(COUNTIF(Feiertage,DATE(Planungsjahr,10,AC53))&gt;0,"h","")),"")</f>
        <v/>
      </c>
      <c r="AF54" s="159" t="str">
        <f>IF(ISNUMBER(AF53),IF(COUNTIFS(JP_StartSel,DATE(Planungsjahr,10,AF53),JP_ShowSel,TRUE)&gt;0,"S",IF(COUNTIF(Feiertage,DATE(Planungsjahr,10,AF53))&gt;0,"h","")),"")</f>
        <v/>
      </c>
      <c r="AG54" s="159" t="str">
        <f>IF(ISNUMBER(AF53),IF(COUNTIFS(JP_StartInhalt,DATE(Planungsjahr,10,AF53),JP_ShowInhalt,TRUE)&gt;0,"I",IF(COUNTIF(Feiertage,DATE(Planungsjahr,10,AF53))&gt;0,"h","")),"")</f>
        <v/>
      </c>
      <c r="AH54" s="159" t="str">
        <f>IF(ISNUMBER(AF53),IF(COUNTIFS(JP_PAL,DATE(Planungsjahr,10,AF53),JP_ShowPAL,TRUE)&gt;0,"P",IF(COUNTIF(Feiertage,DATE(Planungsjahr,10,AF53))&gt;0,"h","")),"")</f>
        <v/>
      </c>
      <c r="AI54" s="159" t="str">
        <f>IF(ISNUMBER(AI53),IF(COUNTIFS(JP_StartSel,DATE(Planungsjahr,10,AI53),JP_ShowSel,TRUE)&gt;0,"S",IF(COUNTIF(Feiertage,DATE(Planungsjahr,10,AI53))&gt;0,"h","")),"")</f>
        <v/>
      </c>
      <c r="AJ54" s="159" t="str">
        <f>IF(ISNUMBER(AI53),IF(COUNTIFS(JP_StartInhalt,DATE(Planungsjahr,10,AI53),JP_ShowInhalt,TRUE)&gt;0,"I",IF(COUNTIF(Feiertage,DATE(Planungsjahr,10,AI53))&gt;0,"h","")),"")</f>
        <v/>
      </c>
      <c r="AK54" s="159" t="str">
        <f>IF(ISNUMBER(AI53),IF(COUNTIFS(JP_PAL,DATE(Planungsjahr,10,AI53),JP_ShowPAL,TRUE)&gt;0,"P",IF(COUNTIF(Feiertage,DATE(Planungsjahr,10,AI53))&gt;0,"h","")),"")</f>
        <v/>
      </c>
      <c r="AL54" s="159" t="str">
        <f>IF(ISNUMBER(AL53),IF(COUNTIFS(JP_StartSel,DATE(Planungsjahr,10,AL53),JP_ShowSel,TRUE)&gt;0,"S",IF(COUNTIF(Feiertage,DATE(Planungsjahr,10,AL53))&gt;0,"h","")),"")</f>
        <v/>
      </c>
      <c r="AM54" s="159" t="str">
        <f>IF(ISNUMBER(AL53),IF(COUNTIFS(JP_StartInhalt,DATE(Planungsjahr,10,AL53),JP_ShowInhalt,TRUE)&gt;0,"I",IF(COUNTIF(Feiertage,DATE(Planungsjahr,10,AL53))&gt;0,"h","")),"")</f>
        <v/>
      </c>
      <c r="AN54" s="159" t="str">
        <f>IF(ISNUMBER(AL53),IF(COUNTIFS(JP_PAL,DATE(Planungsjahr,10,AL53),JP_ShowPAL,TRUE)&gt;0,"P",IF(COUNTIF(Feiertage,DATE(Planungsjahr,10,AL53))&gt;0,"h","")),"")</f>
        <v/>
      </c>
      <c r="AO54" s="159" t="str">
        <f>IF(ISNUMBER(AO53),IF(COUNTIFS(JP_StartSel,DATE(Planungsjahr,10,AO53),JP_ShowSel,TRUE)&gt;0,"S",IF(COUNTIF(Feiertage,DATE(Planungsjahr,10,AO53))&gt;0,"h","w")),"")</f>
        <v>w</v>
      </c>
      <c r="AP54" s="159" t="str">
        <f>IF(ISNUMBER(AO53),IF(COUNTIFS(JP_StartInhalt,DATE(Planungsjahr,10,AO53),JP_ShowInhalt,TRUE)&gt;0,"I",IF(COUNTIF(Feiertage,DATE(Planungsjahr,10,AO53))&gt;0,"h","w")),"")</f>
        <v>w</v>
      </c>
      <c r="AQ54" s="159" t="str">
        <f>IF(ISNUMBER(AO53),IF(COUNTIFS(JP_PAL,DATE(Planungsjahr,10,AO53),JP_ShowPAL,TRUE)&gt;0,"P",IF(COUNTIF(Feiertage,DATE(Planungsjahr,10,AO53))&gt;0,"h","w")),"")</f>
        <v>w</v>
      </c>
      <c r="AR54" s="159" t="str">
        <f>IF(ISNUMBER(AR53),IF(COUNTIFS(JP_StartSel,DATE(Planungsjahr,10,AR53),JP_ShowSel,TRUE)&gt;0,"S",IF(COUNTIF(Feiertage,DATE(Planungsjahr,10,AR53))&gt;0,"h","w")),"")</f>
        <v>w</v>
      </c>
      <c r="AS54" s="159" t="str">
        <f>IF(ISNUMBER(AR53),IF(COUNTIFS(JP_StartInhalt,DATE(Planungsjahr,10,AR53),JP_ShowInhalt,TRUE)&gt;0,"I",IF(COUNTIF(Feiertage,DATE(Planungsjahr,10,AR53))&gt;0,"h","w")),"")</f>
        <v>w</v>
      </c>
      <c r="AT54" s="180" t="str">
        <f>IF(ISNUMBER(AR53),IF(COUNTIFS(JP_PAL,DATE(Planungsjahr,10,AR53),JP_ShowPAL,TRUE)&gt;0,"P",IF(COUNTIF(Feiertage,DATE(Planungsjahr,10,AR53))&gt;0,"h","w")),"")</f>
        <v>w</v>
      </c>
      <c r="AV54" s="179"/>
      <c r="AW54" s="159" t="str">
        <f>IF(ISNUMBER(AW53),IF(COUNTIFS(JP_StartSel,DATE(Planungsjahr,11,AW53),JP_ShowSel,TRUE)&gt;0,"S",IF(COUNTIF(Feiertage,DATE(Planungsjahr,11,AW53))&gt;0,"h","")),"")</f>
        <v/>
      </c>
      <c r="AX54" s="159" t="str">
        <f>IF(ISNUMBER(AW53),IF(COUNTIFS(JP_StartInhalt,DATE(Planungsjahr,11,AW53),JP_ShowInhalt,TRUE)&gt;0,"I",IF(COUNTIF(Feiertage,DATE(Planungsjahr,11,AW53))&gt;0,"h","")),"")</f>
        <v/>
      </c>
      <c r="AY54" s="159" t="str">
        <f>IF(ISNUMBER(AW53),IF(COUNTIFS(JP_PAL,DATE(Planungsjahr,11,AW53),JP_ShowPAL,TRUE)&gt;0,"P",IF(COUNTIF(Feiertage,DATE(Planungsjahr,11,AW53))&gt;0,"h","")),"")</f>
        <v/>
      </c>
      <c r="AZ54" s="159" t="str">
        <f>IF(ISNUMBER(AZ53),IF(COUNTIFS(JP_StartSel,DATE(Planungsjahr,11,AZ53),JP_ShowSel,TRUE)&gt;0,"S",IF(COUNTIF(Feiertage,DATE(Planungsjahr,11,AZ53))&gt;0,"h","")),"")</f>
        <v/>
      </c>
      <c r="BA54" s="159" t="str">
        <f>IF(ISNUMBER(AZ53),IF(COUNTIFS(JP_StartInhalt,DATE(Planungsjahr,11,AZ53),JP_ShowInhalt,TRUE)&gt;0,"I",IF(COUNTIF(Feiertage,DATE(Planungsjahr,11,AZ53))&gt;0,"h","")),"")</f>
        <v/>
      </c>
      <c r="BB54" s="159" t="str">
        <f>IF(ISNUMBER(AZ53),IF(COUNTIFS(JP_PAL,DATE(Planungsjahr,11,AZ53),JP_ShowPAL,TRUE)&gt;0,"P",IF(COUNTIF(Feiertage,DATE(Planungsjahr,11,AZ53))&gt;0,"h","")),"")</f>
        <v/>
      </c>
      <c r="BC54" s="159" t="str">
        <f>IF(ISNUMBER(BC53),IF(COUNTIFS(JP_StartSel,DATE(Planungsjahr,11,BC53),JP_ShowSel,TRUE)&gt;0,"S",IF(COUNTIF(Feiertage,DATE(Planungsjahr,11,BC53))&gt;0,"h","")),"")</f>
        <v/>
      </c>
      <c r="BD54" s="159" t="str">
        <f>IF(ISNUMBER(BC53),IF(COUNTIFS(JP_StartInhalt,DATE(Planungsjahr,11,BC53),JP_ShowInhalt,TRUE)&gt;0,"I",IF(COUNTIF(Feiertage,DATE(Planungsjahr,11,BC53))&gt;0,"h","")),"")</f>
        <v/>
      </c>
      <c r="BE54" s="159" t="str">
        <f>IF(ISNUMBER(BC53),IF(COUNTIFS(JP_PAL,DATE(Planungsjahr,11,BC53),JP_ShowPAL,TRUE)&gt;0,"P",IF(COUNTIF(Feiertage,DATE(Planungsjahr,11,BC53))&gt;0,"h","")),"")</f>
        <v/>
      </c>
      <c r="BF54" s="159" t="str">
        <f>IF(ISNUMBER(BF53),IF(COUNTIFS(JP_StartSel,DATE(Planungsjahr,11,BF53),JP_ShowSel,TRUE)&gt;0,"S",IF(COUNTIF(Feiertage,DATE(Planungsjahr,11,BF53))&gt;0,"h","")),"")</f>
        <v/>
      </c>
      <c r="BG54" s="159" t="str">
        <f>IF(ISNUMBER(BF53),IF(COUNTIFS(JP_StartInhalt,DATE(Planungsjahr,11,BF53),JP_ShowInhalt,TRUE)&gt;0,"I",IF(COUNTIF(Feiertage,DATE(Planungsjahr,11,BF53))&gt;0,"h","")),"")</f>
        <v/>
      </c>
      <c r="BH54" s="159" t="str">
        <f>IF(ISNUMBER(BF53),IF(COUNTIFS(JP_PAL,DATE(Planungsjahr,11,BF53),JP_ShowPAL,TRUE)&gt;0,"P",IF(COUNTIF(Feiertage,DATE(Planungsjahr,11,BF53))&gt;0,"h","")),"")</f>
        <v/>
      </c>
      <c r="BI54" s="159" t="str">
        <f>IF(ISNUMBER(BI53),IF(COUNTIFS(JP_StartSel,DATE(Planungsjahr,11,BI53),JP_ShowSel,TRUE)&gt;0,"S",IF(COUNTIF(Feiertage,DATE(Planungsjahr,11,BI53))&gt;0,"h","")),"")</f>
        <v/>
      </c>
      <c r="BJ54" s="159" t="str">
        <f>IF(ISNUMBER(BI53),IF(COUNTIFS(JP_StartInhalt,DATE(Planungsjahr,11,BI53),JP_ShowInhalt,TRUE)&gt;0,"I",IF(COUNTIF(Feiertage,DATE(Planungsjahr,11,BI53))&gt;0,"h","")),"")</f>
        <v/>
      </c>
      <c r="BK54" s="159" t="str">
        <f>IF(ISNUMBER(BI53),IF(COUNTIFS(JP_PAL,DATE(Planungsjahr,11,BI53),JP_ShowPAL,TRUE)&gt;0,"P",IF(COUNTIF(Feiertage,DATE(Planungsjahr,11,BI53))&gt;0,"h","")),"")</f>
        <v/>
      </c>
      <c r="BL54" s="159" t="str">
        <f>IF(ISNUMBER(BL53),IF(COUNTIFS(JP_StartSel,DATE(Planungsjahr,11,BL53),JP_ShowSel,TRUE)&gt;0,"S",IF(COUNTIF(Feiertage,DATE(Planungsjahr,11,BL53))&gt;0,"h","w")),"")</f>
        <v/>
      </c>
      <c r="BM54" s="159" t="str">
        <f>IF(ISNUMBER(BL53),IF(COUNTIFS(JP_StartInhalt,DATE(Planungsjahr,11,BL53),JP_ShowInhalt,TRUE)&gt;0,"I",IF(COUNTIF(Feiertage,DATE(Planungsjahr,11,BL53))&gt;0,"h","w")),"")</f>
        <v/>
      </c>
      <c r="BN54" s="159" t="str">
        <f>IF(ISNUMBER(BL53),IF(COUNTIFS(JP_PAL,DATE(Planungsjahr,11,BL53),JP_ShowPAL,TRUE)&gt;0,"P",IF(COUNTIF(Feiertage,DATE(Planungsjahr,11,BL53))&gt;0,"h","w")),"")</f>
        <v/>
      </c>
      <c r="BO54" s="159" t="str">
        <f>IF(ISNUMBER(BO53),IF(COUNTIFS(JP_StartSel,DATE(Planungsjahr,11,BO53),JP_ShowSel,TRUE)&gt;0,"S",IF(COUNTIF(Feiertage,DATE(Planungsjahr,11,BO53))&gt;0,"h","w")),"")</f>
        <v/>
      </c>
      <c r="BP54" s="159" t="str">
        <f>IF(ISNUMBER(BO53),IF(COUNTIFS(JP_StartInhalt,DATE(Planungsjahr,11,BO53),JP_ShowInhalt,TRUE)&gt;0,"I",IF(COUNTIF(Feiertage,DATE(Planungsjahr,11,BO53))&gt;0,"h","w")),"")</f>
        <v/>
      </c>
      <c r="BQ54" s="180" t="str">
        <f>IF(ISNUMBER(BO53),IF(COUNTIFS(JP_PAL,DATE(Planungsjahr,11,BO53),JP_ShowPAL,TRUE)&gt;0,"P",IF(COUNTIF(Feiertage,DATE(Planungsjahr,11,BO53))&gt;0,"h","w")),"")</f>
        <v/>
      </c>
      <c r="BS54" s="179"/>
      <c r="BT54" s="159" t="str">
        <f>IF(ISNUMBER(BT53),IF(COUNTIFS(JP_StartSel,DATE(Planungsjahr,12,BT53),JP_ShowSel,TRUE)&gt;0,"S",IF(COUNTIF(Feiertage,DATE(Planungsjahr,12,BT53))&gt;0,"h","")),"")</f>
        <v/>
      </c>
      <c r="BU54" s="159" t="str">
        <f>IF(ISNUMBER(BT53),IF(COUNTIFS(JP_StartInhalt,DATE(Planungsjahr,12,BT53),JP_ShowInhalt,TRUE)&gt;0,"I",IF(COUNTIF(Feiertage,DATE(Planungsjahr,12,BT53))&gt;0,"h","")),"")</f>
        <v/>
      </c>
      <c r="BV54" s="159" t="str">
        <f>IF(ISNUMBER(BT53),IF(COUNTIFS(JP_PAL,DATE(Planungsjahr,12,BT53),JP_ShowPAL,TRUE)&gt;0,"P",IF(COUNTIF(Feiertage,DATE(Planungsjahr,12,BT53))&gt;0,"h","")),"")</f>
        <v/>
      </c>
      <c r="BW54" s="159" t="str">
        <f>IF(ISNUMBER(BW53),IF(COUNTIFS(JP_StartSel,DATE(Planungsjahr,12,BW53),JP_ShowSel,TRUE)&gt;0,"S",IF(COUNTIF(Feiertage,DATE(Planungsjahr,12,BW53))&gt;0,"h","")),"")</f>
        <v/>
      </c>
      <c r="BX54" s="159" t="str">
        <f>IF(ISNUMBER(BW53),IF(COUNTIFS(JP_StartInhalt,DATE(Planungsjahr,12,BW53),JP_ShowInhalt,TRUE)&gt;0,"I",IF(COUNTIF(Feiertage,DATE(Planungsjahr,12,BW53))&gt;0,"h","")),"")</f>
        <v/>
      </c>
      <c r="BY54" s="159" t="str">
        <f>IF(ISNUMBER(BW53),IF(COUNTIFS(JP_PAL,DATE(Planungsjahr,12,BW53),JP_ShowPAL,TRUE)&gt;0,"P",IF(COUNTIF(Feiertage,DATE(Planungsjahr,12,BW53))&gt;0,"h","")),"")</f>
        <v/>
      </c>
      <c r="BZ54" s="159" t="str">
        <f>IF(ISNUMBER(BZ53),IF(COUNTIFS(JP_StartSel,DATE(Planungsjahr,12,BZ53),JP_ShowSel,TRUE)&gt;0,"S",IF(COUNTIF(Feiertage,DATE(Planungsjahr,12,BZ53))&gt;0,"h","")),"")</f>
        <v/>
      </c>
      <c r="CA54" s="159" t="str">
        <f>IF(ISNUMBER(BZ53),IF(COUNTIFS(JP_StartInhalt,DATE(Planungsjahr,12,BZ53),JP_ShowInhalt,TRUE)&gt;0,"I",IF(COUNTIF(Feiertage,DATE(Planungsjahr,12,BZ53))&gt;0,"h","")),"")</f>
        <v/>
      </c>
      <c r="CB54" s="159" t="str">
        <f>IF(ISNUMBER(BZ53),IF(COUNTIFS(JP_PAL,DATE(Planungsjahr,12,BZ53),JP_ShowPAL,TRUE)&gt;0,"P",IF(COUNTIF(Feiertage,DATE(Planungsjahr,12,BZ53))&gt;0,"h","")),"")</f>
        <v/>
      </c>
      <c r="CC54" s="159" t="str">
        <f>IF(ISNUMBER(CC53),IF(COUNTIFS(JP_StartSel,DATE(Planungsjahr,12,CC53),JP_ShowSel,TRUE)&gt;0,"S",IF(COUNTIF(Feiertage,DATE(Planungsjahr,12,CC53))&gt;0,"h","")),"")</f>
        <v/>
      </c>
      <c r="CD54" s="159" t="str">
        <f>IF(ISNUMBER(CC53),IF(COUNTIFS(JP_StartInhalt,DATE(Planungsjahr,12,CC53),JP_ShowInhalt,TRUE)&gt;0,"I",IF(COUNTIF(Feiertage,DATE(Planungsjahr,12,CC53))&gt;0,"h","")),"")</f>
        <v/>
      </c>
      <c r="CE54" s="159" t="str">
        <f>IF(ISNUMBER(CC53),IF(COUNTIFS(JP_PAL,DATE(Planungsjahr,12,CC53),JP_ShowPAL,TRUE)&gt;0,"P",IF(COUNTIF(Feiertage,DATE(Planungsjahr,12,CC53))&gt;0,"h","")),"")</f>
        <v/>
      </c>
      <c r="CF54" s="159" t="str">
        <f>IF(ISNUMBER(CF53),IF(COUNTIFS(JP_StartSel,DATE(Planungsjahr,12,CF53),JP_ShowSel,TRUE)&gt;0,"S",IF(COUNTIF(Feiertage,DATE(Planungsjahr,12,CF53))&gt;0,"h","")),"")</f>
        <v/>
      </c>
      <c r="CG54" s="159" t="str">
        <f>IF(ISNUMBER(CF53),IF(COUNTIFS(JP_StartInhalt,DATE(Planungsjahr,12,CF53),JP_ShowInhalt,TRUE)&gt;0,"I",IF(COUNTIF(Feiertage,DATE(Planungsjahr,12,CF53))&gt;0,"h","")),"")</f>
        <v/>
      </c>
      <c r="CH54" s="159" t="str">
        <f>IF(ISNUMBER(CF53),IF(COUNTIFS(JP_PAL,DATE(Planungsjahr,12,CF53),JP_ShowPAL,TRUE)&gt;0,"P",IF(COUNTIF(Feiertage,DATE(Planungsjahr,12,CF53))&gt;0,"h","")),"")</f>
        <v/>
      </c>
      <c r="CI54" s="159" t="str">
        <f>IF(ISNUMBER(CI53),IF(COUNTIFS(JP_StartSel,DATE(Planungsjahr,12,CI53),JP_ShowSel,TRUE)&gt;0,"S",IF(COUNTIF(Feiertage,DATE(Planungsjahr,12,CI53))&gt;0,"h","w")),"")</f>
        <v/>
      </c>
      <c r="CJ54" s="159" t="str">
        <f>IF(ISNUMBER(CI53),IF(COUNTIFS(JP_StartInhalt,DATE(Planungsjahr,12,CI53),JP_ShowInhalt,TRUE)&gt;0,"I",IF(COUNTIF(Feiertage,DATE(Planungsjahr,12,CI53))&gt;0,"h","w")),"")</f>
        <v/>
      </c>
      <c r="CK54" s="159" t="str">
        <f>IF(ISNUMBER(CI53),IF(COUNTIFS(JP_PAL,DATE(Planungsjahr,12,CI53),JP_ShowPAL,TRUE)&gt;0,"P",IF(COUNTIF(Feiertage,DATE(Planungsjahr,12,CI53))&gt;0,"h","w")),"")</f>
        <v/>
      </c>
      <c r="CL54" s="159" t="str">
        <f>IF(ISNUMBER(CL53),IF(COUNTIFS(JP_StartSel,DATE(Planungsjahr,12,CL53),JP_ShowSel,TRUE)&gt;0,"S",IF(COUNTIF(Feiertage,DATE(Planungsjahr,12,CL53))&gt;0,"h","w")),"")</f>
        <v/>
      </c>
      <c r="CM54" s="159" t="str">
        <f>IF(ISNUMBER(CL53),IF(COUNTIFS(JP_StartInhalt,DATE(Planungsjahr,12,CL53),JP_ShowInhalt,TRUE)&gt;0,"I",IF(COUNTIF(Feiertage,DATE(Planungsjahr,12,CL53))&gt;0,"h","w")),"")</f>
        <v/>
      </c>
      <c r="CN54" s="180" t="str">
        <f>IF(ISNUMBER(CL53),IF(COUNTIFS(JP_PAL,DATE(Planungsjahr,12,CL53),JP_ShowPAL,TRUE)&gt;0,"P",IF(COUNTIF(Feiertage,DATE(Planungsjahr,12,CL53))&gt;0,"h","w")),"")</f>
        <v/>
      </c>
    </row>
    <row r="55" spans="2:92" ht="15.95" customHeight="1" x14ac:dyDescent="0.25">
      <c r="B55" s="177" t="str">
        <f>IF(OR(ISNUMBER(C55),ISNUMBER(U55)),_xlfn.ISOWEEKNUM(DATE(Planungsjahr,9,1)-WEEKDAY(DATE(Planungsjahr,9,1),2)+36),"")</f>
        <v/>
      </c>
      <c r="C55" s="188" t="str">
        <f>IF(MONTH(DATE(Planungsjahr,9,1)-WEEKDAY(DATE(Planungsjahr,9,1),2)+36)=9,DAY(DATE(Planungsjahr,9,1)-WEEKDAY(DATE(Planungsjahr,9,1),2)+36),"")</f>
        <v/>
      </c>
      <c r="D55" s="188"/>
      <c r="E55" s="188"/>
      <c r="F55" s="188" t="str">
        <f>IF(MONTH(DATE(Planungsjahr,9,1)-WEEKDAY(DATE(Planungsjahr,9,1),2)+37)=9,DAY(DATE(Planungsjahr,9,1)-WEEKDAY(DATE(Planungsjahr,9,1),2)+37),"")</f>
        <v/>
      </c>
      <c r="G55" s="188"/>
      <c r="H55" s="188"/>
      <c r="I55" s="188" t="str">
        <f>IF(MONTH(DATE(Planungsjahr,9,1)-WEEKDAY(DATE(Planungsjahr,9,1),2)+38)=9,DAY(DATE(Planungsjahr,9,1)-WEEKDAY(DATE(Planungsjahr,9,1),2)+38),"")</f>
        <v/>
      </c>
      <c r="J55" s="188"/>
      <c r="K55" s="188"/>
      <c r="L55" s="188" t="str">
        <f>IF(MONTH(DATE(Planungsjahr,9,1)-WEEKDAY(DATE(Planungsjahr,9,1),2)+39)=9,DAY(DATE(Planungsjahr,9,1)-WEEKDAY(DATE(Planungsjahr,9,1),2)+39),"")</f>
        <v/>
      </c>
      <c r="M55" s="188"/>
      <c r="N55" s="188"/>
      <c r="O55" s="188" t="str">
        <f>IF(MONTH(DATE(Planungsjahr,9,1)-WEEKDAY(DATE(Planungsjahr,9,1),2)+40)=9,DAY(DATE(Planungsjahr,9,1)-WEEKDAY(DATE(Planungsjahr,9,1),2)+40),"")</f>
        <v/>
      </c>
      <c r="P55" s="188"/>
      <c r="Q55" s="188"/>
      <c r="R55" s="188" t="str">
        <f>IF(MONTH(DATE(Planungsjahr,9,1)-WEEKDAY(DATE(Planungsjahr,9,1),2)+41)=9,DAY(DATE(Planungsjahr,9,1)-WEEKDAY(DATE(Planungsjahr,9,1),2)+41),"")</f>
        <v/>
      </c>
      <c r="S55" s="188"/>
      <c r="T55" s="188"/>
      <c r="U55" s="188" t="str">
        <f>IF(MONTH(DATE(Planungsjahr,9,1)-WEEKDAY(DATE(Planungsjahr,9,1),2)+42)=9,DAY(DATE(Planungsjahr,9,1)-WEEKDAY(DATE(Planungsjahr,9,1),2)+42),"")</f>
        <v/>
      </c>
      <c r="V55" s="188"/>
      <c r="W55" s="190"/>
      <c r="Y55" s="177" t="str">
        <f>IF(OR(ISNUMBER(Z55),ISNUMBER(AR55)),_xlfn.ISOWEEKNUM(DATE(Planungsjahr,10,1)-WEEKDAY(DATE(Planungsjahr,10,1),2)+36),"")</f>
        <v/>
      </c>
      <c r="Z55" s="188" t="str">
        <f>IF(MONTH(DATE(Planungsjahr,10,1)-WEEKDAY(DATE(Planungsjahr,10,1),2)+36)=10,DAY(DATE(Planungsjahr,10,1)-WEEKDAY(DATE(Planungsjahr,10,1),2)+36),"")</f>
        <v/>
      </c>
      <c r="AA55" s="188"/>
      <c r="AB55" s="188"/>
      <c r="AC55" s="188" t="str">
        <f>IF(MONTH(DATE(Planungsjahr,10,1)-WEEKDAY(DATE(Planungsjahr,10,1),2)+37)=10,DAY(DATE(Planungsjahr,10,1)-WEEKDAY(DATE(Planungsjahr,10,1),2)+37),"")</f>
        <v/>
      </c>
      <c r="AD55" s="188"/>
      <c r="AE55" s="188"/>
      <c r="AF55" s="188" t="str">
        <f>IF(MONTH(DATE(Planungsjahr,10,1)-WEEKDAY(DATE(Planungsjahr,10,1),2)+38)=10,DAY(DATE(Planungsjahr,10,1)-WEEKDAY(DATE(Planungsjahr,10,1),2)+38),"")</f>
        <v/>
      </c>
      <c r="AG55" s="188"/>
      <c r="AH55" s="188"/>
      <c r="AI55" s="188" t="str">
        <f>IF(MONTH(DATE(Planungsjahr,10,1)-WEEKDAY(DATE(Planungsjahr,10,1),2)+39)=10,DAY(DATE(Planungsjahr,10,1)-WEEKDAY(DATE(Planungsjahr,10,1),2)+39),"")</f>
        <v/>
      </c>
      <c r="AJ55" s="188"/>
      <c r="AK55" s="188"/>
      <c r="AL55" s="188" t="str">
        <f>IF(MONTH(DATE(Planungsjahr,10,1)-WEEKDAY(DATE(Planungsjahr,10,1),2)+40)=10,DAY(DATE(Planungsjahr,10,1)-WEEKDAY(DATE(Planungsjahr,10,1),2)+40),"")</f>
        <v/>
      </c>
      <c r="AM55" s="188"/>
      <c r="AN55" s="188"/>
      <c r="AO55" s="188" t="str">
        <f>IF(MONTH(DATE(Planungsjahr,10,1)-WEEKDAY(DATE(Planungsjahr,10,1),2)+41)=10,DAY(DATE(Planungsjahr,10,1)-WEEKDAY(DATE(Planungsjahr,10,1),2)+41),"")</f>
        <v/>
      </c>
      <c r="AP55" s="188"/>
      <c r="AQ55" s="188"/>
      <c r="AR55" s="188" t="str">
        <f>IF(MONTH(DATE(Planungsjahr,10,1)-WEEKDAY(DATE(Planungsjahr,10,1),2)+42)=10,DAY(DATE(Planungsjahr,10,1)-WEEKDAY(DATE(Planungsjahr,10,1),2)+42),"")</f>
        <v/>
      </c>
      <c r="AS55" s="188"/>
      <c r="AT55" s="190"/>
      <c r="AV55" s="177" t="str">
        <f>IF(OR(ISNUMBER(AW55),ISNUMBER(BO55)),_xlfn.ISOWEEKNUM(DATE(Planungsjahr,11,1)-WEEKDAY(DATE(Planungsjahr,11,1),2)+36),"")</f>
        <v/>
      </c>
      <c r="AW55" s="188" t="str">
        <f>IF(MONTH(DATE(Planungsjahr,11,1)-WEEKDAY(DATE(Planungsjahr,11,1),2)+36)=11,DAY(DATE(Planungsjahr,11,1)-WEEKDAY(DATE(Planungsjahr,11,1),2)+36),"")</f>
        <v/>
      </c>
      <c r="AX55" s="188"/>
      <c r="AY55" s="188"/>
      <c r="AZ55" s="188" t="str">
        <f>IF(MONTH(DATE(Planungsjahr,11,1)-WEEKDAY(DATE(Planungsjahr,11,1),2)+37)=11,DAY(DATE(Planungsjahr,11,1)-WEEKDAY(DATE(Planungsjahr,11,1),2)+37),"")</f>
        <v/>
      </c>
      <c r="BA55" s="188"/>
      <c r="BB55" s="188"/>
      <c r="BC55" s="188" t="str">
        <f>IF(MONTH(DATE(Planungsjahr,11,1)-WEEKDAY(DATE(Planungsjahr,11,1),2)+38)=11,DAY(DATE(Planungsjahr,11,1)-WEEKDAY(DATE(Planungsjahr,11,1),2)+38),"")</f>
        <v/>
      </c>
      <c r="BD55" s="188"/>
      <c r="BE55" s="188"/>
      <c r="BF55" s="188" t="str">
        <f>IF(MONTH(DATE(Planungsjahr,11,1)-WEEKDAY(DATE(Planungsjahr,11,1),2)+39)=11,DAY(DATE(Planungsjahr,11,1)-WEEKDAY(DATE(Planungsjahr,11,1),2)+39),"")</f>
        <v/>
      </c>
      <c r="BG55" s="188"/>
      <c r="BH55" s="188"/>
      <c r="BI55" s="188" t="str">
        <f>IF(MONTH(DATE(Planungsjahr,11,1)-WEEKDAY(DATE(Planungsjahr,11,1),2)+40)=11,DAY(DATE(Planungsjahr,11,1)-WEEKDAY(DATE(Planungsjahr,11,1),2)+40),"")</f>
        <v/>
      </c>
      <c r="BJ55" s="188"/>
      <c r="BK55" s="188"/>
      <c r="BL55" s="188" t="str">
        <f>IF(MONTH(DATE(Planungsjahr,11,1)-WEEKDAY(DATE(Planungsjahr,11,1),2)+41)=11,DAY(DATE(Planungsjahr,11,1)-WEEKDAY(DATE(Planungsjahr,11,1),2)+41),"")</f>
        <v/>
      </c>
      <c r="BM55" s="188"/>
      <c r="BN55" s="188"/>
      <c r="BO55" s="188" t="str">
        <f>IF(MONTH(DATE(Planungsjahr,11,1)-WEEKDAY(DATE(Planungsjahr,11,1),2)+42)=11,DAY(DATE(Planungsjahr,11,1)-WEEKDAY(DATE(Planungsjahr,11,1),2)+42),"")</f>
        <v/>
      </c>
      <c r="BP55" s="188"/>
      <c r="BQ55" s="190"/>
      <c r="BS55" s="177" t="str">
        <f>IF(OR(ISNUMBER(BT55),ISNUMBER(CL55)),_xlfn.ISOWEEKNUM(DATE(Planungsjahr,12,1)-WEEKDAY(DATE(Planungsjahr,12,1),2)+36),"")</f>
        <v/>
      </c>
      <c r="BT55" s="188" t="str">
        <f>IF(MONTH(DATE(Planungsjahr,12,1)-WEEKDAY(DATE(Planungsjahr,12,1),2)+36)=12,DAY(DATE(Planungsjahr,12,1)-WEEKDAY(DATE(Planungsjahr,12,1),2)+36),"")</f>
        <v/>
      </c>
      <c r="BU55" s="188"/>
      <c r="BV55" s="188"/>
      <c r="BW55" s="188" t="str">
        <f>IF(MONTH(DATE(Planungsjahr,12,1)-WEEKDAY(DATE(Planungsjahr,12,1),2)+37)=12,DAY(DATE(Planungsjahr,12,1)-WEEKDAY(DATE(Planungsjahr,12,1),2)+37),"")</f>
        <v/>
      </c>
      <c r="BX55" s="188"/>
      <c r="BY55" s="188"/>
      <c r="BZ55" s="188" t="str">
        <f>IF(MONTH(DATE(Planungsjahr,12,1)-WEEKDAY(DATE(Planungsjahr,12,1),2)+38)=12,DAY(DATE(Planungsjahr,12,1)-WEEKDAY(DATE(Planungsjahr,12,1),2)+38),"")</f>
        <v/>
      </c>
      <c r="CA55" s="188"/>
      <c r="CB55" s="188"/>
      <c r="CC55" s="188" t="str">
        <f>IF(MONTH(DATE(Planungsjahr,12,1)-WEEKDAY(DATE(Planungsjahr,12,1),2)+39)=12,DAY(DATE(Planungsjahr,12,1)-WEEKDAY(DATE(Planungsjahr,12,1),2)+39),"")</f>
        <v/>
      </c>
      <c r="CD55" s="188"/>
      <c r="CE55" s="188"/>
      <c r="CF55" s="188" t="str">
        <f>IF(MONTH(DATE(Planungsjahr,12,1)-WEEKDAY(DATE(Planungsjahr,12,1),2)+40)=12,DAY(DATE(Planungsjahr,12,1)-WEEKDAY(DATE(Planungsjahr,12,1),2)+40),"")</f>
        <v/>
      </c>
      <c r="CG55" s="188"/>
      <c r="CH55" s="188"/>
      <c r="CI55" s="188" t="str">
        <f>IF(MONTH(DATE(Planungsjahr,12,1)-WEEKDAY(DATE(Planungsjahr,12,1),2)+41)=12,DAY(DATE(Planungsjahr,12,1)-WEEKDAY(DATE(Planungsjahr,12,1),2)+41),"")</f>
        <v/>
      </c>
      <c r="CJ55" s="188"/>
      <c r="CK55" s="188"/>
      <c r="CL55" s="188" t="str">
        <f>IF(MONTH(DATE(Planungsjahr,12,1)-WEEKDAY(DATE(Planungsjahr,12,1),2)+42)=12,DAY(DATE(Planungsjahr,12,1)-WEEKDAY(DATE(Planungsjahr,12,1),2)+42),"")</f>
        <v/>
      </c>
      <c r="CM55" s="188"/>
      <c r="CN55" s="190"/>
    </row>
    <row r="56" spans="2:92" ht="10.5" customHeight="1" x14ac:dyDescent="0.25">
      <c r="B56" s="181"/>
      <c r="C56" s="182" t="str">
        <f>IF(ISNUMBER(C55),IF(COUNTIFS(JP_StartSel,DATE(Planungsjahr,9,C55),JP_ShowSel,TRUE)&gt;0,"S",IF(COUNTIF(Feiertage,DATE(Planungsjahr,9,C55))&gt;0,"h","")),"")</f>
        <v/>
      </c>
      <c r="D56" s="182" t="str">
        <f>IF(ISNUMBER(C55),IF(COUNTIFS(JP_StartInhalt,DATE(Planungsjahr,9,C55),JP_ShowInhalt,TRUE)&gt;0,"I",IF(COUNTIF(Feiertage,DATE(Planungsjahr,9,C55))&gt;0,"h","")),"")</f>
        <v/>
      </c>
      <c r="E56" s="182" t="str">
        <f>IF(ISNUMBER(C55),IF(COUNTIFS(JP_PAL,DATE(Planungsjahr,9,C55),JP_ShowPAL,TRUE)&gt;0,"P",IF(COUNTIF(Feiertage,DATE(Planungsjahr,9,C55))&gt;0,"h","")),"")</f>
        <v/>
      </c>
      <c r="F56" s="182" t="str">
        <f>IF(ISNUMBER(F55),IF(COUNTIFS(JP_StartSel,DATE(Planungsjahr,9,F55),JP_ShowSel,TRUE)&gt;0,"S",IF(COUNTIF(Feiertage,DATE(Planungsjahr,9,F55))&gt;0,"h","")),"")</f>
        <v/>
      </c>
      <c r="G56" s="182" t="str">
        <f>IF(ISNUMBER(F55),IF(COUNTIFS(JP_StartInhalt,DATE(Planungsjahr,9,F55),JP_ShowInhalt,TRUE)&gt;0,"I",IF(COUNTIF(Feiertage,DATE(Planungsjahr,9,F55))&gt;0,"h","")),"")</f>
        <v/>
      </c>
      <c r="H56" s="182" t="str">
        <f>IF(ISNUMBER(F55),IF(COUNTIFS(JP_PAL,DATE(Planungsjahr,9,F55),JP_ShowPAL,TRUE)&gt;0,"P",IF(COUNTIF(Feiertage,DATE(Planungsjahr,9,F55))&gt;0,"h","")),"")</f>
        <v/>
      </c>
      <c r="I56" s="182" t="str">
        <f>IF(ISNUMBER(I55),IF(COUNTIFS(JP_StartSel,DATE(Planungsjahr,9,I55),JP_ShowSel,TRUE)&gt;0,"S",IF(COUNTIF(Feiertage,DATE(Planungsjahr,9,I55))&gt;0,"h","")),"")</f>
        <v/>
      </c>
      <c r="J56" s="182" t="str">
        <f>IF(ISNUMBER(I55),IF(COUNTIFS(JP_StartInhalt,DATE(Planungsjahr,9,I55),JP_ShowInhalt,TRUE)&gt;0,"I",IF(COUNTIF(Feiertage,DATE(Planungsjahr,9,I55))&gt;0,"h","")),"")</f>
        <v/>
      </c>
      <c r="K56" s="182" t="str">
        <f>IF(ISNUMBER(I55),IF(COUNTIFS(JP_PAL,DATE(Planungsjahr,9,I55),JP_ShowPAL,TRUE)&gt;0,"P",IF(COUNTIF(Feiertage,DATE(Planungsjahr,9,I55))&gt;0,"h","")),"")</f>
        <v/>
      </c>
      <c r="L56" s="182" t="str">
        <f>IF(ISNUMBER(L55),IF(COUNTIFS(JP_StartSel,DATE(Planungsjahr,9,L55),JP_ShowSel,TRUE)&gt;0,"S",IF(COUNTIF(Feiertage,DATE(Planungsjahr,9,L55))&gt;0,"h","")),"")</f>
        <v/>
      </c>
      <c r="M56" s="182" t="str">
        <f>IF(ISNUMBER(L55),IF(COUNTIFS(JP_StartInhalt,DATE(Planungsjahr,9,L55),JP_ShowInhalt,TRUE)&gt;0,"I",IF(COUNTIF(Feiertage,DATE(Planungsjahr,9,L55))&gt;0,"h","")),"")</f>
        <v/>
      </c>
      <c r="N56" s="182" t="str">
        <f>IF(ISNUMBER(L55),IF(COUNTIFS(JP_PAL,DATE(Planungsjahr,9,L55),JP_ShowPAL,TRUE)&gt;0,"P",IF(COUNTIF(Feiertage,DATE(Planungsjahr,9,L55))&gt;0,"h","")),"")</f>
        <v/>
      </c>
      <c r="O56" s="182" t="str">
        <f>IF(ISNUMBER(O55),IF(COUNTIFS(JP_StartSel,DATE(Planungsjahr,9,O55),JP_ShowSel,TRUE)&gt;0,"S",IF(COUNTIF(Feiertage,DATE(Planungsjahr,9,O55))&gt;0,"h","")),"")</f>
        <v/>
      </c>
      <c r="P56" s="182" t="str">
        <f>IF(ISNUMBER(O55),IF(COUNTIFS(JP_StartInhalt,DATE(Planungsjahr,9,O55),JP_ShowInhalt,TRUE)&gt;0,"I",IF(COUNTIF(Feiertage,DATE(Planungsjahr,9,O55))&gt;0,"h","")),"")</f>
        <v/>
      </c>
      <c r="Q56" s="182" t="str">
        <f>IF(ISNUMBER(O55),IF(COUNTIFS(JP_PAL,DATE(Planungsjahr,9,O55),JP_ShowPAL,TRUE)&gt;0,"P",IF(COUNTIF(Feiertage,DATE(Planungsjahr,9,O55))&gt;0,"h","")),"")</f>
        <v/>
      </c>
      <c r="R56" s="182" t="str">
        <f>IF(ISNUMBER(R55),IF(COUNTIFS(JP_StartSel,DATE(Planungsjahr,9,R55),JP_ShowSel,TRUE)&gt;0,"S",IF(COUNTIF(Feiertage,DATE(Planungsjahr,9,R55))&gt;0,"h","w")),"")</f>
        <v/>
      </c>
      <c r="S56" s="182" t="str">
        <f>IF(ISNUMBER(R55),IF(COUNTIFS(JP_StartInhalt,DATE(Planungsjahr,9,R55),JP_ShowInhalt,TRUE)&gt;0,"I",IF(COUNTIF(Feiertage,DATE(Planungsjahr,9,R55))&gt;0,"h","w")),"")</f>
        <v/>
      </c>
      <c r="T56" s="182" t="str">
        <f>IF(ISNUMBER(R55),IF(COUNTIFS(JP_PAL,DATE(Planungsjahr,9,R55),JP_ShowPAL,TRUE)&gt;0,"P",IF(COUNTIF(Feiertage,DATE(Planungsjahr,9,R55))&gt;0,"h","w")),"")</f>
        <v/>
      </c>
      <c r="U56" s="182" t="str">
        <f>IF(ISNUMBER(U55),IF(COUNTIFS(JP_StartSel,DATE(Planungsjahr,9,U55),JP_ShowSel,TRUE)&gt;0,"S",IF(COUNTIF(Feiertage,DATE(Planungsjahr,9,U55))&gt;0,"h","w")),"")</f>
        <v/>
      </c>
      <c r="V56" s="182" t="str">
        <f>IF(ISNUMBER(U55),IF(COUNTIFS(JP_StartInhalt,DATE(Planungsjahr,9,U55),JP_ShowInhalt,TRUE)&gt;0,"I",IF(COUNTIF(Feiertage,DATE(Planungsjahr,9,U55))&gt;0,"h","w")),"")</f>
        <v/>
      </c>
      <c r="W56" s="183" t="str">
        <f>IF(ISNUMBER(U55),IF(COUNTIFS(JP_PAL,DATE(Planungsjahr,9,U55),JP_ShowPAL,TRUE)&gt;0,"P",IF(COUNTIF(Feiertage,DATE(Planungsjahr,9,U55))&gt;0,"h","w")),"")</f>
        <v/>
      </c>
      <c r="Y56" s="181"/>
      <c r="Z56" s="182" t="str">
        <f>IF(ISNUMBER(Z55),IF(COUNTIFS(JP_StartSel,DATE(Planungsjahr,10,Z55),JP_ShowSel,TRUE)&gt;0,"S",IF(COUNTIF(Feiertage,DATE(Planungsjahr,10,Z55))&gt;0,"h","")),"")</f>
        <v/>
      </c>
      <c r="AA56" s="182" t="str">
        <f>IF(ISNUMBER(Z55),IF(COUNTIFS(JP_StartInhalt,DATE(Planungsjahr,10,Z55),JP_ShowInhalt,TRUE)&gt;0,"I",IF(COUNTIF(Feiertage,DATE(Planungsjahr,10,Z55))&gt;0,"h","")),"")</f>
        <v/>
      </c>
      <c r="AB56" s="182" t="str">
        <f>IF(ISNUMBER(Z55),IF(COUNTIFS(JP_PAL,DATE(Planungsjahr,10,Z55),JP_ShowPAL,TRUE)&gt;0,"P",IF(COUNTIF(Feiertage,DATE(Planungsjahr,10,Z55))&gt;0,"h","")),"")</f>
        <v/>
      </c>
      <c r="AC56" s="182" t="str">
        <f>IF(ISNUMBER(AC55),IF(COUNTIFS(JP_StartSel,DATE(Planungsjahr,10,AC55),JP_ShowSel,TRUE)&gt;0,"S",IF(COUNTIF(Feiertage,DATE(Planungsjahr,10,AC55))&gt;0,"h","")),"")</f>
        <v/>
      </c>
      <c r="AD56" s="182" t="str">
        <f>IF(ISNUMBER(AC55),IF(COUNTIFS(JP_StartInhalt,DATE(Planungsjahr,10,AC55),JP_ShowInhalt,TRUE)&gt;0,"I",IF(COUNTIF(Feiertage,DATE(Planungsjahr,10,AC55))&gt;0,"h","")),"")</f>
        <v/>
      </c>
      <c r="AE56" s="182" t="str">
        <f>IF(ISNUMBER(AC55),IF(COUNTIFS(JP_PAL,DATE(Planungsjahr,10,AC55),JP_ShowPAL,TRUE)&gt;0,"P",IF(COUNTIF(Feiertage,DATE(Planungsjahr,10,AC55))&gt;0,"h","")),"")</f>
        <v/>
      </c>
      <c r="AF56" s="182" t="str">
        <f>IF(ISNUMBER(AF55),IF(COUNTIFS(JP_StartSel,DATE(Planungsjahr,10,AF55),JP_ShowSel,TRUE)&gt;0,"S",IF(COUNTIF(Feiertage,DATE(Planungsjahr,10,AF55))&gt;0,"h","")),"")</f>
        <v/>
      </c>
      <c r="AG56" s="182" t="str">
        <f>IF(ISNUMBER(AF55),IF(COUNTIFS(JP_StartInhalt,DATE(Planungsjahr,10,AF55),JP_ShowInhalt,TRUE)&gt;0,"I",IF(COUNTIF(Feiertage,DATE(Planungsjahr,10,AF55))&gt;0,"h","")),"")</f>
        <v/>
      </c>
      <c r="AH56" s="182" t="str">
        <f>IF(ISNUMBER(AF55),IF(COUNTIFS(JP_PAL,DATE(Planungsjahr,10,AF55),JP_ShowPAL,TRUE)&gt;0,"P",IF(COUNTIF(Feiertage,DATE(Planungsjahr,10,AF55))&gt;0,"h","")),"")</f>
        <v/>
      </c>
      <c r="AI56" s="182" t="str">
        <f>IF(ISNUMBER(AI55),IF(COUNTIFS(JP_StartSel,DATE(Planungsjahr,10,AI55),JP_ShowSel,TRUE)&gt;0,"S",IF(COUNTIF(Feiertage,DATE(Planungsjahr,10,AI55))&gt;0,"h","")),"")</f>
        <v/>
      </c>
      <c r="AJ56" s="182" t="str">
        <f>IF(ISNUMBER(AI55),IF(COUNTIFS(JP_StartInhalt,DATE(Planungsjahr,10,AI55),JP_ShowInhalt,TRUE)&gt;0,"I",IF(COUNTIF(Feiertage,DATE(Planungsjahr,10,AI55))&gt;0,"h","")),"")</f>
        <v/>
      </c>
      <c r="AK56" s="182" t="str">
        <f>IF(ISNUMBER(AI55),IF(COUNTIFS(JP_PAL,DATE(Planungsjahr,10,AI55),JP_ShowPAL,TRUE)&gt;0,"P",IF(COUNTIF(Feiertage,DATE(Planungsjahr,10,AI55))&gt;0,"h","")),"")</f>
        <v/>
      </c>
      <c r="AL56" s="182" t="str">
        <f>IF(ISNUMBER(AL55),IF(COUNTIFS(JP_StartSel,DATE(Planungsjahr,10,AL55),JP_ShowSel,TRUE)&gt;0,"S",IF(COUNTIF(Feiertage,DATE(Planungsjahr,10,AL55))&gt;0,"h","")),"")</f>
        <v/>
      </c>
      <c r="AM56" s="182" t="str">
        <f>IF(ISNUMBER(AL55),IF(COUNTIFS(JP_StartInhalt,DATE(Planungsjahr,10,AL55),JP_ShowInhalt,TRUE)&gt;0,"I",IF(COUNTIF(Feiertage,DATE(Planungsjahr,10,AL55))&gt;0,"h","")),"")</f>
        <v/>
      </c>
      <c r="AN56" s="182" t="str">
        <f>IF(ISNUMBER(AL55),IF(COUNTIFS(JP_PAL,DATE(Planungsjahr,10,AL55),JP_ShowPAL,TRUE)&gt;0,"P",IF(COUNTIF(Feiertage,DATE(Planungsjahr,10,AL55))&gt;0,"h","")),"")</f>
        <v/>
      </c>
      <c r="AO56" s="182" t="str">
        <f>IF(ISNUMBER(AO55),IF(COUNTIFS(JP_StartSel,DATE(Planungsjahr,10,AO55),JP_ShowSel,TRUE)&gt;0,"S",IF(COUNTIF(Feiertage,DATE(Planungsjahr,10,AO55))&gt;0,"h","w")),"")</f>
        <v/>
      </c>
      <c r="AP56" s="182" t="str">
        <f>IF(ISNUMBER(AO55),IF(COUNTIFS(JP_StartInhalt,DATE(Planungsjahr,10,AO55),JP_ShowInhalt,TRUE)&gt;0,"I",IF(COUNTIF(Feiertage,DATE(Planungsjahr,10,AO55))&gt;0,"h","w")),"")</f>
        <v/>
      </c>
      <c r="AQ56" s="182" t="str">
        <f>IF(ISNUMBER(AO55),IF(COUNTIFS(JP_PAL,DATE(Planungsjahr,10,AO55),JP_ShowPAL,TRUE)&gt;0,"P",IF(COUNTIF(Feiertage,DATE(Planungsjahr,10,AO55))&gt;0,"h","w")),"")</f>
        <v/>
      </c>
      <c r="AR56" s="182" t="str">
        <f>IF(ISNUMBER(AR55),IF(COUNTIFS(JP_StartSel,DATE(Planungsjahr,10,AR55),JP_ShowSel,TRUE)&gt;0,"S",IF(COUNTIF(Feiertage,DATE(Planungsjahr,10,AR55))&gt;0,"h","w")),"")</f>
        <v/>
      </c>
      <c r="AS56" s="182" t="str">
        <f>IF(ISNUMBER(AR55),IF(COUNTIFS(JP_StartInhalt,DATE(Planungsjahr,10,AR55),JP_ShowInhalt,TRUE)&gt;0,"I",IF(COUNTIF(Feiertage,DATE(Planungsjahr,10,AR55))&gt;0,"h","w")),"")</f>
        <v/>
      </c>
      <c r="AT56" s="183" t="str">
        <f>IF(ISNUMBER(AR55),IF(COUNTIFS(JP_PAL,DATE(Planungsjahr,10,AR55),JP_ShowPAL,TRUE)&gt;0,"P",IF(COUNTIF(Feiertage,DATE(Planungsjahr,10,AR55))&gt;0,"h","w")),"")</f>
        <v/>
      </c>
      <c r="AV56" s="181"/>
      <c r="AW56" s="182" t="str">
        <f>IF(ISNUMBER(AW55),IF(COUNTIFS(JP_StartSel,DATE(Planungsjahr,11,AW55),JP_ShowSel,TRUE)&gt;0,"S",IF(COUNTIF(Feiertage,DATE(Planungsjahr,11,AW55))&gt;0,"h","")),"")</f>
        <v/>
      </c>
      <c r="AX56" s="182" t="str">
        <f>IF(ISNUMBER(AW55),IF(COUNTIFS(JP_StartInhalt,DATE(Planungsjahr,11,AW55),JP_ShowInhalt,TRUE)&gt;0,"I",IF(COUNTIF(Feiertage,DATE(Planungsjahr,11,AW55))&gt;0,"h","")),"")</f>
        <v/>
      </c>
      <c r="AY56" s="182" t="str">
        <f>IF(ISNUMBER(AW55),IF(COUNTIFS(JP_PAL,DATE(Planungsjahr,11,AW55),JP_ShowPAL,TRUE)&gt;0,"P",IF(COUNTIF(Feiertage,DATE(Planungsjahr,11,AW55))&gt;0,"h","")),"")</f>
        <v/>
      </c>
      <c r="AZ56" s="182" t="str">
        <f>IF(ISNUMBER(AZ55),IF(COUNTIFS(JP_StartSel,DATE(Planungsjahr,11,AZ55),JP_ShowSel,TRUE)&gt;0,"S",IF(COUNTIF(Feiertage,DATE(Planungsjahr,11,AZ55))&gt;0,"h","")),"")</f>
        <v/>
      </c>
      <c r="BA56" s="182" t="str">
        <f>IF(ISNUMBER(AZ55),IF(COUNTIFS(JP_StartInhalt,DATE(Planungsjahr,11,AZ55),JP_ShowInhalt,TRUE)&gt;0,"I",IF(COUNTIF(Feiertage,DATE(Planungsjahr,11,AZ55))&gt;0,"h","")),"")</f>
        <v/>
      </c>
      <c r="BB56" s="182" t="str">
        <f>IF(ISNUMBER(AZ55),IF(COUNTIFS(JP_PAL,DATE(Planungsjahr,11,AZ55),JP_ShowPAL,TRUE)&gt;0,"P",IF(COUNTIF(Feiertage,DATE(Planungsjahr,11,AZ55))&gt;0,"h","")),"")</f>
        <v/>
      </c>
      <c r="BC56" s="182" t="str">
        <f>IF(ISNUMBER(BC55),IF(COUNTIFS(JP_StartSel,DATE(Planungsjahr,11,BC55),JP_ShowSel,TRUE)&gt;0,"S",IF(COUNTIF(Feiertage,DATE(Planungsjahr,11,BC55))&gt;0,"h","")),"")</f>
        <v/>
      </c>
      <c r="BD56" s="182" t="str">
        <f>IF(ISNUMBER(BC55),IF(COUNTIFS(JP_StartInhalt,DATE(Planungsjahr,11,BC55),JP_ShowInhalt,TRUE)&gt;0,"I",IF(COUNTIF(Feiertage,DATE(Planungsjahr,11,BC55))&gt;0,"h","")),"")</f>
        <v/>
      </c>
      <c r="BE56" s="182" t="str">
        <f>IF(ISNUMBER(BC55),IF(COUNTIFS(JP_PAL,DATE(Planungsjahr,11,BC55),JP_ShowPAL,TRUE)&gt;0,"P",IF(COUNTIF(Feiertage,DATE(Planungsjahr,11,BC55))&gt;0,"h","")),"")</f>
        <v/>
      </c>
      <c r="BF56" s="182" t="str">
        <f>IF(ISNUMBER(BF55),IF(COUNTIFS(JP_StartSel,DATE(Planungsjahr,11,BF55),JP_ShowSel,TRUE)&gt;0,"S",IF(COUNTIF(Feiertage,DATE(Planungsjahr,11,BF55))&gt;0,"h","")),"")</f>
        <v/>
      </c>
      <c r="BG56" s="182" t="str">
        <f>IF(ISNUMBER(BF55),IF(COUNTIFS(JP_StartInhalt,DATE(Planungsjahr,11,BF55),JP_ShowInhalt,TRUE)&gt;0,"I",IF(COUNTIF(Feiertage,DATE(Planungsjahr,11,BF55))&gt;0,"h","")),"")</f>
        <v/>
      </c>
      <c r="BH56" s="182" t="str">
        <f>IF(ISNUMBER(BF55),IF(COUNTIFS(JP_PAL,DATE(Planungsjahr,11,BF55),JP_ShowPAL,TRUE)&gt;0,"P",IF(COUNTIF(Feiertage,DATE(Planungsjahr,11,BF55))&gt;0,"h","")),"")</f>
        <v/>
      </c>
      <c r="BI56" s="182" t="str">
        <f>IF(ISNUMBER(BI55),IF(COUNTIFS(JP_StartSel,DATE(Planungsjahr,11,BI55),JP_ShowSel,TRUE)&gt;0,"S",IF(COUNTIF(Feiertage,DATE(Planungsjahr,11,BI55))&gt;0,"h","")),"")</f>
        <v/>
      </c>
      <c r="BJ56" s="182" t="str">
        <f>IF(ISNUMBER(BI55),IF(COUNTIFS(JP_StartInhalt,DATE(Planungsjahr,11,BI55),JP_ShowInhalt,TRUE)&gt;0,"I",IF(COUNTIF(Feiertage,DATE(Planungsjahr,11,BI55))&gt;0,"h","")),"")</f>
        <v/>
      </c>
      <c r="BK56" s="182" t="str">
        <f>IF(ISNUMBER(BI55),IF(COUNTIFS(JP_PAL,DATE(Planungsjahr,11,BI55),JP_ShowPAL,TRUE)&gt;0,"P",IF(COUNTIF(Feiertage,DATE(Planungsjahr,11,BI55))&gt;0,"h","")),"")</f>
        <v/>
      </c>
      <c r="BL56" s="182" t="str">
        <f>IF(ISNUMBER(BL55),IF(COUNTIFS(JP_StartSel,DATE(Planungsjahr,11,BL55),JP_ShowSel,TRUE)&gt;0,"S",IF(COUNTIF(Feiertage,DATE(Planungsjahr,11,BL55))&gt;0,"h","w")),"")</f>
        <v/>
      </c>
      <c r="BM56" s="182" t="str">
        <f>IF(ISNUMBER(BL55),IF(COUNTIFS(JP_StartInhalt,DATE(Planungsjahr,11,BL55),JP_ShowInhalt,TRUE)&gt;0,"I",IF(COUNTIF(Feiertage,DATE(Planungsjahr,11,BL55))&gt;0,"h","w")),"")</f>
        <v/>
      </c>
      <c r="BN56" s="182" t="str">
        <f>IF(ISNUMBER(BL55),IF(COUNTIFS(JP_PAL,DATE(Planungsjahr,11,BL55),JP_ShowPAL,TRUE)&gt;0,"P",IF(COUNTIF(Feiertage,DATE(Planungsjahr,11,BL55))&gt;0,"h","w")),"")</f>
        <v/>
      </c>
      <c r="BO56" s="182" t="str">
        <f>IF(ISNUMBER(BO55),IF(COUNTIFS(JP_StartSel,DATE(Planungsjahr,11,BO55),JP_ShowSel,TRUE)&gt;0,"S",IF(COUNTIF(Feiertage,DATE(Planungsjahr,11,BO55))&gt;0,"h","w")),"")</f>
        <v/>
      </c>
      <c r="BP56" s="182" t="str">
        <f>IF(ISNUMBER(BO55),IF(COUNTIFS(JP_StartInhalt,DATE(Planungsjahr,11,BO55),JP_ShowInhalt,TRUE)&gt;0,"I",IF(COUNTIF(Feiertage,DATE(Planungsjahr,11,BO55))&gt;0,"h","w")),"")</f>
        <v/>
      </c>
      <c r="BQ56" s="183" t="str">
        <f>IF(ISNUMBER(BO55),IF(COUNTIFS(JP_PAL,DATE(Planungsjahr,11,BO55),JP_ShowPAL,TRUE)&gt;0,"P",IF(COUNTIF(Feiertage,DATE(Planungsjahr,11,BO55))&gt;0,"h","w")),"")</f>
        <v/>
      </c>
      <c r="BS56" s="181"/>
      <c r="BT56" s="182" t="str">
        <f>IF(ISNUMBER(BT55),IF(COUNTIFS(JP_StartSel,DATE(Planungsjahr,12,BT55),JP_ShowSel,TRUE)&gt;0,"S",IF(COUNTIF(Feiertage,DATE(Planungsjahr,12,BT55))&gt;0,"h","")),"")</f>
        <v/>
      </c>
      <c r="BU56" s="182" t="str">
        <f>IF(ISNUMBER(BT55),IF(COUNTIFS(JP_StartInhalt,DATE(Planungsjahr,12,BT55),JP_ShowInhalt,TRUE)&gt;0,"I",IF(COUNTIF(Feiertage,DATE(Planungsjahr,12,BT55))&gt;0,"h","")),"")</f>
        <v/>
      </c>
      <c r="BV56" s="182" t="str">
        <f>IF(ISNUMBER(BT55),IF(COUNTIFS(JP_PAL,DATE(Planungsjahr,12,BT55),JP_ShowPAL,TRUE)&gt;0,"P",IF(COUNTIF(Feiertage,DATE(Planungsjahr,12,BT55))&gt;0,"h","")),"")</f>
        <v/>
      </c>
      <c r="BW56" s="182" t="str">
        <f>IF(ISNUMBER(BW55),IF(COUNTIFS(JP_StartSel,DATE(Planungsjahr,12,BW55),JP_ShowSel,TRUE)&gt;0,"S",IF(COUNTIF(Feiertage,DATE(Planungsjahr,12,BW55))&gt;0,"h","")),"")</f>
        <v/>
      </c>
      <c r="BX56" s="182" t="str">
        <f>IF(ISNUMBER(BW55),IF(COUNTIFS(JP_StartInhalt,DATE(Planungsjahr,12,BW55),JP_ShowInhalt,TRUE)&gt;0,"I",IF(COUNTIF(Feiertage,DATE(Planungsjahr,12,BW55))&gt;0,"h","")),"")</f>
        <v/>
      </c>
      <c r="BY56" s="182" t="str">
        <f>IF(ISNUMBER(BW55),IF(COUNTIFS(JP_PAL,DATE(Planungsjahr,12,BW55),JP_ShowPAL,TRUE)&gt;0,"P",IF(COUNTIF(Feiertage,DATE(Planungsjahr,12,BW55))&gt;0,"h","")),"")</f>
        <v/>
      </c>
      <c r="BZ56" s="182" t="str">
        <f>IF(ISNUMBER(BZ55),IF(COUNTIFS(JP_StartSel,DATE(Planungsjahr,12,BZ55),JP_ShowSel,TRUE)&gt;0,"S",IF(COUNTIF(Feiertage,DATE(Planungsjahr,12,BZ55))&gt;0,"h","")),"")</f>
        <v/>
      </c>
      <c r="CA56" s="182" t="str">
        <f>IF(ISNUMBER(BZ55),IF(COUNTIFS(JP_StartInhalt,DATE(Planungsjahr,12,BZ55),JP_ShowInhalt,TRUE)&gt;0,"I",IF(COUNTIF(Feiertage,DATE(Planungsjahr,12,BZ55))&gt;0,"h","")),"")</f>
        <v/>
      </c>
      <c r="CB56" s="182" t="str">
        <f>IF(ISNUMBER(BZ55),IF(COUNTIFS(JP_PAL,DATE(Planungsjahr,12,BZ55),JP_ShowPAL,TRUE)&gt;0,"P",IF(COUNTIF(Feiertage,DATE(Planungsjahr,12,BZ55))&gt;0,"h","")),"")</f>
        <v/>
      </c>
      <c r="CC56" s="182" t="str">
        <f>IF(ISNUMBER(CC55),IF(COUNTIFS(JP_StartSel,DATE(Planungsjahr,12,CC55),JP_ShowSel,TRUE)&gt;0,"S",IF(COUNTIF(Feiertage,DATE(Planungsjahr,12,CC55))&gt;0,"h","")),"")</f>
        <v/>
      </c>
      <c r="CD56" s="182" t="str">
        <f>IF(ISNUMBER(CC55),IF(COUNTIFS(JP_StartInhalt,DATE(Planungsjahr,12,CC55),JP_ShowInhalt,TRUE)&gt;0,"I",IF(COUNTIF(Feiertage,DATE(Planungsjahr,12,CC55))&gt;0,"h","")),"")</f>
        <v/>
      </c>
      <c r="CE56" s="182" t="str">
        <f>IF(ISNUMBER(CC55),IF(COUNTIFS(JP_PAL,DATE(Planungsjahr,12,CC55),JP_ShowPAL,TRUE)&gt;0,"P",IF(COUNTIF(Feiertage,DATE(Planungsjahr,12,CC55))&gt;0,"h","")),"")</f>
        <v/>
      </c>
      <c r="CF56" s="182" t="str">
        <f>IF(ISNUMBER(CF55),IF(COUNTIFS(JP_StartSel,DATE(Planungsjahr,12,CF55),JP_ShowSel,TRUE)&gt;0,"S",IF(COUNTIF(Feiertage,DATE(Planungsjahr,12,CF55))&gt;0,"h","")),"")</f>
        <v/>
      </c>
      <c r="CG56" s="182" t="str">
        <f>IF(ISNUMBER(CF55),IF(COUNTIFS(JP_StartInhalt,DATE(Planungsjahr,12,CF55),JP_ShowInhalt,TRUE)&gt;0,"I",IF(COUNTIF(Feiertage,DATE(Planungsjahr,12,CF55))&gt;0,"h","")),"")</f>
        <v/>
      </c>
      <c r="CH56" s="182" t="str">
        <f>IF(ISNUMBER(CF55),IF(COUNTIFS(JP_PAL,DATE(Planungsjahr,12,CF55),JP_ShowPAL,TRUE)&gt;0,"P",IF(COUNTIF(Feiertage,DATE(Planungsjahr,12,CF55))&gt;0,"h","")),"")</f>
        <v/>
      </c>
      <c r="CI56" s="182" t="str">
        <f>IF(ISNUMBER(CI55),IF(COUNTIFS(JP_StartSel,DATE(Planungsjahr,12,CI55),JP_ShowSel,TRUE)&gt;0,"S",IF(COUNTIF(Feiertage,DATE(Planungsjahr,12,CI55))&gt;0,"h","w")),"")</f>
        <v/>
      </c>
      <c r="CJ56" s="182" t="str">
        <f>IF(ISNUMBER(CI55),IF(COUNTIFS(JP_StartInhalt,DATE(Planungsjahr,12,CI55),JP_ShowInhalt,TRUE)&gt;0,"I",IF(COUNTIF(Feiertage,DATE(Planungsjahr,12,CI55))&gt;0,"h","w")),"")</f>
        <v/>
      </c>
      <c r="CK56" s="182" t="str">
        <f>IF(ISNUMBER(CI55),IF(COUNTIFS(JP_PAL,DATE(Planungsjahr,12,CI55),JP_ShowPAL,TRUE)&gt;0,"P",IF(COUNTIF(Feiertage,DATE(Planungsjahr,12,CI55))&gt;0,"h","w")),"")</f>
        <v/>
      </c>
      <c r="CL56" s="182" t="str">
        <f>IF(ISNUMBER(CL55),IF(COUNTIFS(JP_StartSel,DATE(Planungsjahr,12,CL55),JP_ShowSel,TRUE)&gt;0,"S",IF(COUNTIF(Feiertage,DATE(Planungsjahr,12,CL55))&gt;0,"h","w")),"")</f>
        <v/>
      </c>
      <c r="CM56" s="182" t="str">
        <f>IF(ISNUMBER(CL55),IF(COUNTIFS(JP_StartInhalt,DATE(Planungsjahr,12,CL55),JP_ShowInhalt,TRUE)&gt;0,"I",IF(COUNTIF(Feiertage,DATE(Planungsjahr,12,CL55))&gt;0,"h","w")),"")</f>
        <v/>
      </c>
      <c r="CN56" s="183" t="str">
        <f>IF(ISNUMBER(CL55),IF(COUNTIFS(JP_PAL,DATE(Planungsjahr,12,CL55),JP_ShowPAL,TRUE)&gt;0,"P",IF(COUNTIF(Feiertage,DATE(Planungsjahr,12,CL55))&gt;0,"h","w")),"")</f>
        <v/>
      </c>
    </row>
    <row r="57" spans="2:92" ht="21.95" customHeight="1" x14ac:dyDescent="0.25">
      <c r="B57" s="184" t="str">
        <f t="array" ref="B57">_xlfn.TEXTJOIN("  ·  ",TRUE,IF(MONTH(Feiertage)=9,TEXT(DAY(Feiertage),"00")&amp;"."&amp;TEXT(MONTH(Feiertage),"00")&amp;". "&amp;Feiertage_Name,""))</f>
        <v/>
      </c>
      <c r="C57" s="184"/>
      <c r="D57" s="184"/>
      <c r="E57" s="184"/>
      <c r="F57" s="184"/>
      <c r="G57" s="184"/>
      <c r="H57" s="184"/>
      <c r="I57" s="184"/>
      <c r="J57" s="184"/>
      <c r="K57" s="184"/>
      <c r="L57" s="184"/>
      <c r="M57" s="184"/>
      <c r="N57" s="184"/>
      <c r="O57" s="184"/>
      <c r="P57" s="184"/>
      <c r="Q57" s="184"/>
      <c r="R57" s="184"/>
      <c r="S57" s="184"/>
      <c r="T57" s="184"/>
      <c r="U57" s="184"/>
      <c r="V57" s="184"/>
      <c r="W57" s="184"/>
      <c r="Y57" s="184" t="str">
        <f t="array" ref="Y57">_xlfn.TEXTJOIN("  ·  ",TRUE,IF(MONTH(Feiertage)=10,TEXT(DAY(Feiertage),"00")&amp;"."&amp;TEXT(MONTH(Feiertage),"00")&amp;". "&amp;Feiertage_Name,""))</f>
        <v>03.10. Tag der Deutschen Einheit</v>
      </c>
      <c r="Z57" s="184"/>
      <c r="AA57" s="184"/>
      <c r="AB57" s="184"/>
      <c r="AC57" s="184"/>
      <c r="AD57" s="184"/>
      <c r="AE57" s="184"/>
      <c r="AF57" s="184"/>
      <c r="AG57" s="184"/>
      <c r="AH57" s="184"/>
      <c r="AI57" s="184"/>
      <c r="AJ57" s="184"/>
      <c r="AK57" s="184"/>
      <c r="AL57" s="184"/>
      <c r="AM57" s="184"/>
      <c r="AN57" s="184"/>
      <c r="AO57" s="184"/>
      <c r="AP57" s="184"/>
      <c r="AQ57" s="184"/>
      <c r="AR57" s="184"/>
      <c r="AS57" s="184"/>
      <c r="AT57" s="184"/>
      <c r="AV57" s="184" t="str">
        <f t="array" ref="AV57">_xlfn.TEXTJOIN("  ·  ",TRUE,IF(MONTH(Feiertage)=11,TEXT(DAY(Feiertage),"00")&amp;"."&amp;TEXT(MONTH(Feiertage),"00")&amp;". "&amp;Feiertage_Name,""))</f>
        <v>01.11. Allerheiligen</v>
      </c>
      <c r="AW57" s="184"/>
      <c r="AX57" s="184"/>
      <c r="AY57" s="184"/>
      <c r="AZ57" s="184"/>
      <c r="BA57" s="184"/>
      <c r="BB57" s="184"/>
      <c r="BC57" s="184"/>
      <c r="BD57" s="184"/>
      <c r="BE57" s="184"/>
      <c r="BF57" s="184"/>
      <c r="BG57" s="184"/>
      <c r="BH57" s="184"/>
      <c r="BI57" s="184"/>
      <c r="BJ57" s="184"/>
      <c r="BK57" s="184"/>
      <c r="BL57" s="184"/>
      <c r="BM57" s="184"/>
      <c r="BN57" s="184"/>
      <c r="BO57" s="184"/>
      <c r="BP57" s="184"/>
      <c r="BQ57" s="184"/>
      <c r="BS57" s="184" t="str">
        <f t="array" ref="BS57">_xlfn.TEXTJOIN("  ·  ",TRUE,IF(MONTH(Feiertage)=12,TEXT(DAY(Feiertage),"00")&amp;"."&amp;TEXT(MONTH(Feiertage),"00")&amp;". "&amp;Feiertage_Name,""))</f>
        <v>25.12. 1. Weihnachtsfeiertag  ·  26.12. 2. Weihnachtsfeiertag</v>
      </c>
      <c r="BT57" s="184"/>
      <c r="BU57" s="184"/>
      <c r="BV57" s="184"/>
      <c r="BW57" s="184"/>
      <c r="BX57" s="184"/>
      <c r="BY57" s="184"/>
      <c r="BZ57" s="184"/>
      <c r="CA57" s="184"/>
      <c r="CB57" s="184"/>
      <c r="CC57" s="184"/>
      <c r="CD57" s="184"/>
      <c r="CE57" s="184"/>
      <c r="CF57" s="184"/>
      <c r="CG57" s="184"/>
      <c r="CH57" s="184"/>
      <c r="CI57" s="184"/>
      <c r="CJ57" s="184"/>
      <c r="CK57" s="184"/>
      <c r="CL57" s="184"/>
      <c r="CM57" s="184"/>
      <c r="CN57" s="184"/>
    </row>
    <row r="58" spans="2:92" ht="8.1" customHeight="1" x14ac:dyDescent="0.25"/>
    <row r="59" spans="2:92" ht="9.9499999999999993" customHeight="1" x14ac:dyDescent="0.25"/>
    <row r="60" spans="2:92" ht="24" customHeight="1" x14ac:dyDescent="0.25">
      <c r="B60" s="125" t="str">
        <f>"Maßnahmen "&amp;Planungsjahr&amp;" – sortiert nach PAL"</f>
        <v>Maßnahmen 2027 – sortiert nach PAL</v>
      </c>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6" t="s">
        <v>80</v>
      </c>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c r="BL60" s="126"/>
      <c r="BM60" s="126"/>
      <c r="BN60" s="126"/>
      <c r="BO60" s="126"/>
      <c r="BP60" s="126"/>
      <c r="BQ60" s="126"/>
      <c r="BR60" s="126"/>
      <c r="BS60" s="126"/>
      <c r="BT60" s="126"/>
      <c r="BU60" s="126"/>
      <c r="BV60" s="126"/>
      <c r="BW60" s="126"/>
      <c r="BX60" s="126"/>
      <c r="BY60" s="126"/>
      <c r="BZ60" s="126"/>
      <c r="CA60" s="126"/>
      <c r="CB60" s="126"/>
      <c r="CC60" s="126"/>
      <c r="CD60" s="126"/>
      <c r="CE60" s="126"/>
      <c r="CF60" s="126"/>
      <c r="CG60" s="126"/>
      <c r="CH60" s="126"/>
      <c r="CI60" s="126"/>
      <c r="CJ60" s="126"/>
      <c r="CK60" s="126"/>
      <c r="CL60" s="126"/>
      <c r="CM60" s="126"/>
      <c r="CN60" s="126"/>
    </row>
    <row r="61" spans="2:92" ht="42" customHeight="1" x14ac:dyDescent="0.25">
      <c r="B61" s="127" t="s">
        <v>81</v>
      </c>
      <c r="C61" s="127"/>
      <c r="D61" s="127"/>
      <c r="E61" s="127"/>
      <c r="F61" s="127"/>
      <c r="G61" s="127"/>
      <c r="H61" s="127"/>
      <c r="I61" s="127"/>
      <c r="J61" s="127"/>
      <c r="K61" s="127"/>
      <c r="L61" s="127"/>
      <c r="M61" s="127"/>
      <c r="N61" s="127"/>
      <c r="O61" s="127"/>
      <c r="P61" s="127"/>
      <c r="Q61" s="127"/>
      <c r="R61" s="127"/>
      <c r="S61" s="129" t="s">
        <v>154</v>
      </c>
      <c r="T61" s="131" t="s">
        <v>155</v>
      </c>
      <c r="U61" s="133" t="s">
        <v>156</v>
      </c>
      <c r="V61" s="128" t="s">
        <v>82</v>
      </c>
      <c r="W61" s="128"/>
      <c r="X61" s="128"/>
      <c r="Y61" s="128"/>
      <c r="Z61" s="129" t="s">
        <v>59</v>
      </c>
      <c r="AA61" s="129"/>
      <c r="AB61" s="129"/>
      <c r="AC61" s="129"/>
      <c r="AD61" s="129"/>
      <c r="AE61" s="129"/>
      <c r="AF61" s="129"/>
      <c r="AG61" s="129"/>
      <c r="AH61" s="129"/>
      <c r="AI61" s="130" t="s">
        <v>147</v>
      </c>
      <c r="AJ61" s="130"/>
      <c r="AK61" s="130"/>
      <c r="AL61" s="130"/>
      <c r="AM61" s="130"/>
      <c r="AN61" s="130"/>
      <c r="AO61" s="130"/>
      <c r="AP61" s="131" t="s">
        <v>63</v>
      </c>
      <c r="AQ61" s="131"/>
      <c r="AR61" s="131"/>
      <c r="AS61" s="131"/>
      <c r="AT61" s="131"/>
      <c r="AU61" s="131"/>
      <c r="AV61" s="131"/>
      <c r="AW61" s="132" t="s">
        <v>148</v>
      </c>
      <c r="AX61" s="132"/>
      <c r="AY61" s="132"/>
      <c r="AZ61" s="132"/>
      <c r="BA61" s="132"/>
      <c r="BB61" s="132"/>
      <c r="BC61" s="132"/>
      <c r="BD61" s="133" t="s">
        <v>83</v>
      </c>
      <c r="BE61" s="133"/>
      <c r="BF61" s="133"/>
      <c r="BG61" s="133"/>
      <c r="BH61" s="133"/>
      <c r="BI61" s="133"/>
      <c r="BJ61" s="133"/>
      <c r="BK61" s="133"/>
      <c r="BL61" s="133"/>
      <c r="BM61" s="128" t="s">
        <v>84</v>
      </c>
      <c r="BN61" s="128"/>
      <c r="BO61" s="128"/>
      <c r="BP61" s="128"/>
      <c r="BQ61" s="128"/>
      <c r="BR61" s="128"/>
      <c r="BS61" s="128"/>
      <c r="BT61" s="128"/>
      <c r="BU61" s="127" t="s">
        <v>85</v>
      </c>
      <c r="BV61" s="127"/>
      <c r="BW61" s="127"/>
      <c r="BX61" s="127"/>
      <c r="BY61" s="127"/>
      <c r="BZ61" s="127"/>
      <c r="CA61" s="127"/>
      <c r="CB61" s="127"/>
      <c r="CC61" s="127"/>
      <c r="CD61" s="127"/>
      <c r="CE61" s="127"/>
      <c r="CF61" s="127"/>
      <c r="CG61" s="127"/>
      <c r="CH61" s="127"/>
      <c r="CI61" s="127"/>
      <c r="CJ61" s="127"/>
      <c r="CK61" s="127"/>
      <c r="CL61" s="127"/>
      <c r="CM61" s="127"/>
      <c r="CN61" s="127"/>
    </row>
    <row r="62" spans="2:92" ht="18" customHeight="1" x14ac:dyDescent="0.25">
      <c r="B62" s="134" t="s">
        <v>86</v>
      </c>
      <c r="C62" s="134"/>
      <c r="D62" s="134"/>
      <c r="E62" s="134"/>
      <c r="F62" s="134"/>
      <c r="G62" s="134"/>
      <c r="H62" s="134"/>
      <c r="I62" s="134"/>
      <c r="J62" s="134"/>
      <c r="K62" s="134"/>
      <c r="L62" s="134"/>
      <c r="M62" s="134"/>
      <c r="N62" s="134"/>
      <c r="O62" s="134"/>
      <c r="P62" s="134"/>
      <c r="Q62" s="134"/>
      <c r="R62" s="134"/>
      <c r="S62" s="201" t="b">
        <v>1</v>
      </c>
      <c r="T62" s="202" t="b">
        <v>1</v>
      </c>
      <c r="U62" s="203" t="b">
        <v>1</v>
      </c>
      <c r="V62" s="135"/>
      <c r="W62" s="135"/>
      <c r="X62" s="135"/>
      <c r="Y62" s="135"/>
      <c r="Z62" s="185">
        <f t="shared" ref="Z62:Z81" si="0">IF(OR($BD62="",$AI62=""),"",$BD62-$AI62)</f>
        <v>46340</v>
      </c>
      <c r="AA62" s="186"/>
      <c r="AB62" s="186"/>
      <c r="AC62" s="186"/>
      <c r="AD62" s="186"/>
      <c r="AE62" s="186"/>
      <c r="AF62" s="186"/>
      <c r="AG62" s="186"/>
      <c r="AH62" s="187"/>
      <c r="AI62" s="137">
        <v>76</v>
      </c>
      <c r="AJ62" s="137"/>
      <c r="AK62" s="137"/>
      <c r="AL62" s="137"/>
      <c r="AM62" s="137"/>
      <c r="AN62" s="137"/>
      <c r="AO62" s="137"/>
      <c r="AP62" s="136">
        <f t="shared" ref="AP62:AP81" si="2">IF(OR($BD62="",$AW62=""),"",$BD62-$AW62)</f>
        <v>46358</v>
      </c>
      <c r="AQ62" s="136"/>
      <c r="AR62" s="136"/>
      <c r="AS62" s="136"/>
      <c r="AT62" s="136"/>
      <c r="AU62" s="136"/>
      <c r="AV62" s="136"/>
      <c r="AW62" s="137">
        <v>58</v>
      </c>
      <c r="AX62" s="137"/>
      <c r="AY62" s="137"/>
      <c r="AZ62" s="137"/>
      <c r="BA62" s="137"/>
      <c r="BB62" s="137"/>
      <c r="BC62" s="137"/>
      <c r="BD62" s="138">
        <v>46416</v>
      </c>
      <c r="BE62" s="138"/>
      <c r="BF62" s="138"/>
      <c r="BG62" s="138"/>
      <c r="BH62" s="138"/>
      <c r="BI62" s="138"/>
      <c r="BJ62" s="138"/>
      <c r="BK62" s="138"/>
      <c r="BL62" s="138"/>
      <c r="BM62" s="139"/>
      <c r="BN62" s="139"/>
      <c r="BO62" s="139"/>
      <c r="BP62" s="139"/>
      <c r="BQ62" s="139"/>
      <c r="BR62" s="139"/>
      <c r="BS62" s="139"/>
      <c r="BT62" s="139"/>
      <c r="BU62" s="140" t="s">
        <v>87</v>
      </c>
      <c r="BV62" s="140"/>
      <c r="BW62" s="140"/>
      <c r="BX62" s="140"/>
      <c r="BY62" s="140"/>
      <c r="BZ62" s="140"/>
      <c r="CA62" s="140"/>
      <c r="CB62" s="140"/>
      <c r="CC62" s="140"/>
      <c r="CD62" s="140"/>
      <c r="CE62" s="140"/>
      <c r="CF62" s="140"/>
      <c r="CG62" s="140"/>
      <c r="CH62" s="140"/>
      <c r="CI62" s="140"/>
      <c r="CJ62" s="140"/>
      <c r="CK62" s="140"/>
      <c r="CL62" s="140"/>
      <c r="CM62" s="140"/>
      <c r="CN62" s="140"/>
    </row>
    <row r="63" spans="2:92" ht="18" customHeight="1" x14ac:dyDescent="0.25">
      <c r="B63" s="134" t="s">
        <v>88</v>
      </c>
      <c r="C63" s="134"/>
      <c r="D63" s="134"/>
      <c r="E63" s="134"/>
      <c r="F63" s="134"/>
      <c r="G63" s="134"/>
      <c r="H63" s="134"/>
      <c r="I63" s="134"/>
      <c r="J63" s="134"/>
      <c r="K63" s="134"/>
      <c r="L63" s="134"/>
      <c r="M63" s="134"/>
      <c r="N63" s="134"/>
      <c r="O63" s="134"/>
      <c r="P63" s="134"/>
      <c r="Q63" s="134"/>
      <c r="R63" s="134"/>
      <c r="S63" s="201" t="b">
        <v>1</v>
      </c>
      <c r="T63" s="202" t="b">
        <v>1</v>
      </c>
      <c r="U63" s="203" t="b">
        <v>1</v>
      </c>
      <c r="V63" s="135"/>
      <c r="W63" s="135"/>
      <c r="X63" s="135"/>
      <c r="Y63" s="135"/>
      <c r="Z63" s="136">
        <f t="shared" si="0"/>
        <v>46416</v>
      </c>
      <c r="AA63" s="136"/>
      <c r="AB63" s="136"/>
      <c r="AC63" s="136"/>
      <c r="AD63" s="136"/>
      <c r="AE63" s="136"/>
      <c r="AF63" s="136"/>
      <c r="AG63" s="136"/>
      <c r="AH63" s="136"/>
      <c r="AI63" s="137">
        <v>21</v>
      </c>
      <c r="AJ63" s="137"/>
      <c r="AK63" s="137"/>
      <c r="AL63" s="137"/>
      <c r="AM63" s="137"/>
      <c r="AN63" s="137"/>
      <c r="AO63" s="137"/>
      <c r="AP63" s="136">
        <f t="shared" si="2"/>
        <v>46430</v>
      </c>
      <c r="AQ63" s="136"/>
      <c r="AR63" s="136"/>
      <c r="AS63" s="136"/>
      <c r="AT63" s="136"/>
      <c r="AU63" s="136"/>
      <c r="AV63" s="136"/>
      <c r="AW63" s="137">
        <v>7</v>
      </c>
      <c r="AX63" s="137"/>
      <c r="AY63" s="137"/>
      <c r="AZ63" s="137"/>
      <c r="BA63" s="137"/>
      <c r="BB63" s="137"/>
      <c r="BC63" s="137"/>
      <c r="BD63" s="138">
        <v>46437</v>
      </c>
      <c r="BE63" s="138"/>
      <c r="BF63" s="138"/>
      <c r="BG63" s="138"/>
      <c r="BH63" s="138"/>
      <c r="BI63" s="138"/>
      <c r="BJ63" s="138"/>
      <c r="BK63" s="138"/>
      <c r="BL63" s="138"/>
      <c r="BM63" s="139"/>
      <c r="BN63" s="139"/>
      <c r="BO63" s="139"/>
      <c r="BP63" s="139"/>
      <c r="BQ63" s="139"/>
      <c r="BR63" s="139"/>
      <c r="BS63" s="139"/>
      <c r="BT63" s="139"/>
      <c r="BU63" s="140" t="s">
        <v>87</v>
      </c>
      <c r="BV63" s="140"/>
      <c r="BW63" s="140"/>
      <c r="BX63" s="140"/>
      <c r="BY63" s="140"/>
      <c r="BZ63" s="140"/>
      <c r="CA63" s="140"/>
      <c r="CB63" s="140"/>
      <c r="CC63" s="140"/>
      <c r="CD63" s="140"/>
      <c r="CE63" s="140"/>
      <c r="CF63" s="140"/>
      <c r="CG63" s="140"/>
      <c r="CH63" s="140"/>
      <c r="CI63" s="140"/>
      <c r="CJ63" s="140"/>
      <c r="CK63" s="140"/>
      <c r="CL63" s="140"/>
      <c r="CM63" s="140"/>
      <c r="CN63" s="140"/>
    </row>
    <row r="64" spans="2:92" ht="18" customHeight="1" x14ac:dyDescent="0.25">
      <c r="B64" s="134" t="s">
        <v>89</v>
      </c>
      <c r="C64" s="134"/>
      <c r="D64" s="134"/>
      <c r="E64" s="134"/>
      <c r="F64" s="134"/>
      <c r="G64" s="134"/>
      <c r="H64" s="134"/>
      <c r="I64" s="134"/>
      <c r="J64" s="134"/>
      <c r="K64" s="134"/>
      <c r="L64" s="134"/>
      <c r="M64" s="134"/>
      <c r="N64" s="134"/>
      <c r="O64" s="134"/>
      <c r="P64" s="134"/>
      <c r="Q64" s="134"/>
      <c r="R64" s="134"/>
      <c r="S64" s="201" t="b">
        <v>1</v>
      </c>
      <c r="T64" s="202" t="b">
        <v>1</v>
      </c>
      <c r="U64" s="203" t="b">
        <v>1</v>
      </c>
      <c r="V64" s="135"/>
      <c r="W64" s="135"/>
      <c r="X64" s="135"/>
      <c r="Y64" s="135"/>
      <c r="Z64" s="136">
        <f t="shared" si="0"/>
        <v>46424</v>
      </c>
      <c r="AA64" s="136"/>
      <c r="AB64" s="136"/>
      <c r="AC64" s="136"/>
      <c r="AD64" s="136"/>
      <c r="AE64" s="136"/>
      <c r="AF64" s="136"/>
      <c r="AG64" s="136"/>
      <c r="AH64" s="136"/>
      <c r="AI64" s="137">
        <v>76</v>
      </c>
      <c r="AJ64" s="137"/>
      <c r="AK64" s="137"/>
      <c r="AL64" s="137"/>
      <c r="AM64" s="137"/>
      <c r="AN64" s="137"/>
      <c r="AO64" s="137"/>
      <c r="AP64" s="136">
        <f t="shared" si="2"/>
        <v>46442</v>
      </c>
      <c r="AQ64" s="136"/>
      <c r="AR64" s="136"/>
      <c r="AS64" s="136"/>
      <c r="AT64" s="136"/>
      <c r="AU64" s="136"/>
      <c r="AV64" s="136"/>
      <c r="AW64" s="137">
        <v>58</v>
      </c>
      <c r="AX64" s="137"/>
      <c r="AY64" s="137"/>
      <c r="AZ64" s="137"/>
      <c r="BA64" s="137"/>
      <c r="BB64" s="137"/>
      <c r="BC64" s="137"/>
      <c r="BD64" s="138">
        <v>46500</v>
      </c>
      <c r="BE64" s="138"/>
      <c r="BF64" s="138"/>
      <c r="BG64" s="138"/>
      <c r="BH64" s="138"/>
      <c r="BI64" s="138"/>
      <c r="BJ64" s="138"/>
      <c r="BK64" s="138"/>
      <c r="BL64" s="138"/>
      <c r="BM64" s="139"/>
      <c r="BN64" s="139"/>
      <c r="BO64" s="139"/>
      <c r="BP64" s="139"/>
      <c r="BQ64" s="139"/>
      <c r="BR64" s="139"/>
      <c r="BS64" s="139"/>
      <c r="BT64" s="139"/>
      <c r="BU64" s="140" t="s">
        <v>87</v>
      </c>
      <c r="BV64" s="140"/>
      <c r="BW64" s="140"/>
      <c r="BX64" s="140"/>
      <c r="BY64" s="140"/>
      <c r="BZ64" s="140"/>
      <c r="CA64" s="140"/>
      <c r="CB64" s="140"/>
      <c r="CC64" s="140"/>
      <c r="CD64" s="140"/>
      <c r="CE64" s="140"/>
      <c r="CF64" s="140"/>
      <c r="CG64" s="140"/>
      <c r="CH64" s="140"/>
      <c r="CI64" s="140"/>
      <c r="CJ64" s="140"/>
      <c r="CK64" s="140"/>
      <c r="CL64" s="140"/>
      <c r="CM64" s="140"/>
      <c r="CN64" s="140"/>
    </row>
    <row r="65" spans="2:92" ht="18" customHeight="1" x14ac:dyDescent="0.25">
      <c r="B65" s="134" t="s">
        <v>54</v>
      </c>
      <c r="C65" s="134"/>
      <c r="D65" s="134"/>
      <c r="E65" s="134"/>
      <c r="F65" s="134"/>
      <c r="G65" s="134"/>
      <c r="H65" s="134"/>
      <c r="I65" s="134"/>
      <c r="J65" s="134"/>
      <c r="K65" s="134"/>
      <c r="L65" s="134"/>
      <c r="M65" s="134"/>
      <c r="N65" s="134"/>
      <c r="O65" s="134"/>
      <c r="P65" s="134"/>
      <c r="Q65" s="134"/>
      <c r="R65" s="134"/>
      <c r="S65" s="201" t="b">
        <v>1</v>
      </c>
      <c r="T65" s="202" t="b">
        <v>1</v>
      </c>
      <c r="U65" s="203" t="b">
        <v>1</v>
      </c>
      <c r="V65" s="135"/>
      <c r="W65" s="135"/>
      <c r="X65" s="135"/>
      <c r="Y65" s="135"/>
      <c r="Z65" s="136">
        <f t="shared" si="0"/>
        <v>46481</v>
      </c>
      <c r="AA65" s="136"/>
      <c r="AB65" s="136"/>
      <c r="AC65" s="136"/>
      <c r="AD65" s="136"/>
      <c r="AE65" s="136"/>
      <c r="AF65" s="136"/>
      <c r="AG65" s="136"/>
      <c r="AH65" s="136"/>
      <c r="AI65" s="194">
        <f>IF($BD65="","",Sommermailing!$C$4-Sommermailing!$F$11)</f>
        <v>76</v>
      </c>
      <c r="AJ65" s="137"/>
      <c r="AK65" s="137"/>
      <c r="AL65" s="137"/>
      <c r="AM65" s="137"/>
      <c r="AN65" s="137"/>
      <c r="AO65" s="137"/>
      <c r="AP65" s="136">
        <f t="shared" si="2"/>
        <v>46499</v>
      </c>
      <c r="AQ65" s="136"/>
      <c r="AR65" s="136"/>
      <c r="AS65" s="136"/>
      <c r="AT65" s="136"/>
      <c r="AU65" s="136"/>
      <c r="AV65" s="136"/>
      <c r="AW65" s="195">
        <f>IF($BD65="","",Sommermailing!$C$4-Sommermailing!$F$17)</f>
        <v>58</v>
      </c>
      <c r="AX65" s="137"/>
      <c r="AY65" s="137"/>
      <c r="AZ65" s="137"/>
      <c r="BA65" s="137"/>
      <c r="BB65" s="137"/>
      <c r="BC65" s="137"/>
      <c r="BD65" s="138">
        <v>46557</v>
      </c>
      <c r="BE65" s="138"/>
      <c r="BF65" s="138"/>
      <c r="BG65" s="138"/>
      <c r="BH65" s="138"/>
      <c r="BI65" s="138"/>
      <c r="BJ65" s="138"/>
      <c r="BK65" s="138"/>
      <c r="BL65" s="138"/>
      <c r="BM65" s="139" t="s">
        <v>90</v>
      </c>
      <c r="BN65" s="139"/>
      <c r="BO65" s="139"/>
      <c r="BP65" s="139"/>
      <c r="BQ65" s="139"/>
      <c r="BR65" s="139"/>
      <c r="BS65" s="139"/>
      <c r="BT65" s="139"/>
      <c r="BU65" s="140" t="s">
        <v>91</v>
      </c>
      <c r="BV65" s="140"/>
      <c r="BW65" s="140"/>
      <c r="BX65" s="140"/>
      <c r="BY65" s="140"/>
      <c r="BZ65" s="140"/>
      <c r="CA65" s="140"/>
      <c r="CB65" s="140"/>
      <c r="CC65" s="140"/>
      <c r="CD65" s="140"/>
      <c r="CE65" s="140"/>
      <c r="CF65" s="140"/>
      <c r="CG65" s="140"/>
      <c r="CH65" s="140"/>
      <c r="CI65" s="140"/>
      <c r="CJ65" s="140"/>
      <c r="CK65" s="140"/>
      <c r="CL65" s="140"/>
      <c r="CM65" s="140"/>
      <c r="CN65" s="140"/>
    </row>
    <row r="66" spans="2:92" ht="18" customHeight="1" x14ac:dyDescent="0.25">
      <c r="B66" s="134" t="s">
        <v>92</v>
      </c>
      <c r="C66" s="134"/>
      <c r="D66" s="134"/>
      <c r="E66" s="134"/>
      <c r="F66" s="134"/>
      <c r="G66" s="134"/>
      <c r="H66" s="134"/>
      <c r="I66" s="134"/>
      <c r="J66" s="134"/>
      <c r="K66" s="134"/>
      <c r="L66" s="134"/>
      <c r="M66" s="134"/>
      <c r="N66" s="134"/>
      <c r="O66" s="134"/>
      <c r="P66" s="134"/>
      <c r="Q66" s="134"/>
      <c r="R66" s="134"/>
      <c r="S66" s="201" t="b">
        <v>1</v>
      </c>
      <c r="T66" s="202" t="b">
        <v>1</v>
      </c>
      <c r="U66" s="203" t="b">
        <v>1</v>
      </c>
      <c r="V66" s="135"/>
      <c r="W66" s="135"/>
      <c r="X66" s="135"/>
      <c r="Y66" s="135"/>
      <c r="Z66" s="136">
        <f t="shared" si="0"/>
        <v>46550</v>
      </c>
      <c r="AA66" s="136"/>
      <c r="AB66" s="136"/>
      <c r="AC66" s="136"/>
      <c r="AD66" s="136"/>
      <c r="AE66" s="136"/>
      <c r="AF66" s="136"/>
      <c r="AG66" s="136"/>
      <c r="AH66" s="136"/>
      <c r="AI66" s="137">
        <v>76</v>
      </c>
      <c r="AJ66" s="137"/>
      <c r="AK66" s="137"/>
      <c r="AL66" s="137"/>
      <c r="AM66" s="137"/>
      <c r="AN66" s="137"/>
      <c r="AO66" s="137"/>
      <c r="AP66" s="136">
        <f t="shared" si="2"/>
        <v>46568</v>
      </c>
      <c r="AQ66" s="136"/>
      <c r="AR66" s="136"/>
      <c r="AS66" s="136"/>
      <c r="AT66" s="136"/>
      <c r="AU66" s="136"/>
      <c r="AV66" s="136"/>
      <c r="AW66" s="137">
        <v>58</v>
      </c>
      <c r="AX66" s="137"/>
      <c r="AY66" s="137"/>
      <c r="AZ66" s="137"/>
      <c r="BA66" s="137"/>
      <c r="BB66" s="137"/>
      <c r="BC66" s="137"/>
      <c r="BD66" s="138">
        <v>46626</v>
      </c>
      <c r="BE66" s="138"/>
      <c r="BF66" s="138"/>
      <c r="BG66" s="138"/>
      <c r="BH66" s="138"/>
      <c r="BI66" s="138"/>
      <c r="BJ66" s="138"/>
      <c r="BK66" s="138"/>
      <c r="BL66" s="138"/>
      <c r="BM66" s="139"/>
      <c r="BN66" s="139"/>
      <c r="BO66" s="139"/>
      <c r="BP66" s="139"/>
      <c r="BQ66" s="139"/>
      <c r="BR66" s="139"/>
      <c r="BS66" s="139"/>
      <c r="BT66" s="139"/>
      <c r="BU66" s="140" t="s">
        <v>87</v>
      </c>
      <c r="BV66" s="140"/>
      <c r="BW66" s="140"/>
      <c r="BX66" s="140"/>
      <c r="BY66" s="140"/>
      <c r="BZ66" s="140"/>
      <c r="CA66" s="140"/>
      <c r="CB66" s="140"/>
      <c r="CC66" s="140"/>
      <c r="CD66" s="140"/>
      <c r="CE66" s="140"/>
      <c r="CF66" s="140"/>
      <c r="CG66" s="140"/>
      <c r="CH66" s="140"/>
      <c r="CI66" s="140"/>
      <c r="CJ66" s="140"/>
      <c r="CK66" s="140"/>
      <c r="CL66" s="140"/>
      <c r="CM66" s="140"/>
      <c r="CN66" s="140"/>
    </row>
    <row r="67" spans="2:92" ht="18" customHeight="1" x14ac:dyDescent="0.25">
      <c r="B67" s="134" t="s">
        <v>93</v>
      </c>
      <c r="C67" s="134"/>
      <c r="D67" s="134"/>
      <c r="E67" s="134"/>
      <c r="F67" s="134"/>
      <c r="G67" s="134"/>
      <c r="H67" s="134"/>
      <c r="I67" s="134"/>
      <c r="J67" s="134"/>
      <c r="K67" s="134"/>
      <c r="L67" s="134"/>
      <c r="M67" s="134"/>
      <c r="N67" s="134"/>
      <c r="O67" s="134"/>
      <c r="P67" s="134"/>
      <c r="Q67" s="134"/>
      <c r="R67" s="134"/>
      <c r="S67" s="201" t="b">
        <v>1</v>
      </c>
      <c r="T67" s="202" t="b">
        <v>1</v>
      </c>
      <c r="U67" s="203" t="b">
        <v>1</v>
      </c>
      <c r="V67" s="135"/>
      <c r="W67" s="135"/>
      <c r="X67" s="135"/>
      <c r="Y67" s="135"/>
      <c r="Z67" s="136">
        <f t="shared" si="0"/>
        <v>46578</v>
      </c>
      <c r="AA67" s="136"/>
      <c r="AB67" s="136"/>
      <c r="AC67" s="136"/>
      <c r="AD67" s="136"/>
      <c r="AE67" s="136"/>
      <c r="AF67" s="136"/>
      <c r="AG67" s="136"/>
      <c r="AH67" s="136"/>
      <c r="AI67" s="137">
        <v>76</v>
      </c>
      <c r="AJ67" s="137"/>
      <c r="AK67" s="137"/>
      <c r="AL67" s="137"/>
      <c r="AM67" s="137"/>
      <c r="AN67" s="137"/>
      <c r="AO67" s="137"/>
      <c r="AP67" s="136">
        <f t="shared" si="2"/>
        <v>46596</v>
      </c>
      <c r="AQ67" s="136"/>
      <c r="AR67" s="136"/>
      <c r="AS67" s="136"/>
      <c r="AT67" s="136"/>
      <c r="AU67" s="136"/>
      <c r="AV67" s="136"/>
      <c r="AW67" s="137">
        <v>58</v>
      </c>
      <c r="AX67" s="137"/>
      <c r="AY67" s="137"/>
      <c r="AZ67" s="137"/>
      <c r="BA67" s="137"/>
      <c r="BB67" s="137"/>
      <c r="BC67" s="137"/>
      <c r="BD67" s="138">
        <v>46654</v>
      </c>
      <c r="BE67" s="138"/>
      <c r="BF67" s="138"/>
      <c r="BG67" s="138"/>
      <c r="BH67" s="138"/>
      <c r="BI67" s="138"/>
      <c r="BJ67" s="138"/>
      <c r="BK67" s="138"/>
      <c r="BL67" s="138"/>
      <c r="BM67" s="139"/>
      <c r="BN67" s="139"/>
      <c r="BO67" s="139"/>
      <c r="BP67" s="139"/>
      <c r="BQ67" s="139"/>
      <c r="BR67" s="139"/>
      <c r="BS67" s="139"/>
      <c r="BT67" s="139"/>
      <c r="BU67" s="140" t="s">
        <v>87</v>
      </c>
      <c r="BV67" s="140"/>
      <c r="BW67" s="140"/>
      <c r="BX67" s="140"/>
      <c r="BY67" s="140"/>
      <c r="BZ67" s="140"/>
      <c r="CA67" s="140"/>
      <c r="CB67" s="140"/>
      <c r="CC67" s="140"/>
      <c r="CD67" s="140"/>
      <c r="CE67" s="140"/>
      <c r="CF67" s="140"/>
      <c r="CG67" s="140"/>
      <c r="CH67" s="140"/>
      <c r="CI67" s="140"/>
      <c r="CJ67" s="140"/>
      <c r="CK67" s="140"/>
      <c r="CL67" s="140"/>
      <c r="CM67" s="140"/>
      <c r="CN67" s="140"/>
    </row>
    <row r="68" spans="2:92" ht="18" customHeight="1" x14ac:dyDescent="0.25">
      <c r="B68" s="134" t="s">
        <v>150</v>
      </c>
      <c r="C68" s="134"/>
      <c r="D68" s="134"/>
      <c r="E68" s="134"/>
      <c r="F68" s="134"/>
      <c r="G68" s="134"/>
      <c r="H68" s="134"/>
      <c r="I68" s="134"/>
      <c r="J68" s="134"/>
      <c r="K68" s="134"/>
      <c r="L68" s="134"/>
      <c r="M68" s="134"/>
      <c r="N68" s="134"/>
      <c r="O68" s="134"/>
      <c r="P68" s="134"/>
      <c r="Q68" s="134"/>
      <c r="R68" s="134"/>
      <c r="S68" s="201" t="b">
        <v>1</v>
      </c>
      <c r="T68" s="202" t="b">
        <v>1</v>
      </c>
      <c r="U68" s="203" t="b">
        <v>1</v>
      </c>
      <c r="V68" s="135"/>
      <c r="W68" s="135"/>
      <c r="X68" s="135"/>
      <c r="Y68" s="135"/>
      <c r="Z68" s="136">
        <f t="shared" si="0"/>
        <v>46592</v>
      </c>
      <c r="AA68" s="136"/>
      <c r="AB68" s="136"/>
      <c r="AC68" s="136"/>
      <c r="AD68" s="136"/>
      <c r="AE68" s="136"/>
      <c r="AF68" s="136"/>
      <c r="AG68" s="136"/>
      <c r="AH68" s="136"/>
      <c r="AI68" s="137">
        <v>76</v>
      </c>
      <c r="AJ68" s="137"/>
      <c r="AK68" s="137"/>
      <c r="AL68" s="137"/>
      <c r="AM68" s="137"/>
      <c r="AN68" s="137"/>
      <c r="AO68" s="137"/>
      <c r="AP68" s="136">
        <f t="shared" si="2"/>
        <v>46610</v>
      </c>
      <c r="AQ68" s="136"/>
      <c r="AR68" s="136"/>
      <c r="AS68" s="136"/>
      <c r="AT68" s="136"/>
      <c r="AU68" s="136"/>
      <c r="AV68" s="136"/>
      <c r="AW68" s="137">
        <v>58</v>
      </c>
      <c r="AX68" s="137"/>
      <c r="AY68" s="137"/>
      <c r="AZ68" s="137"/>
      <c r="BA68" s="137"/>
      <c r="BB68" s="137"/>
      <c r="BC68" s="137"/>
      <c r="BD68" s="138">
        <v>46668</v>
      </c>
      <c r="BE68" s="138"/>
      <c r="BF68" s="138"/>
      <c r="BG68" s="138"/>
      <c r="BH68" s="138"/>
      <c r="BI68" s="138"/>
      <c r="BJ68" s="138"/>
      <c r="BK68" s="138"/>
      <c r="BL68" s="138"/>
      <c r="BM68" s="139" t="s">
        <v>90</v>
      </c>
      <c r="BN68" s="139"/>
      <c r="BO68" s="139"/>
      <c r="BP68" s="139"/>
      <c r="BQ68" s="139"/>
      <c r="BR68" s="139"/>
      <c r="BS68" s="139"/>
      <c r="BT68" s="139"/>
      <c r="BU68" s="140" t="s">
        <v>94</v>
      </c>
      <c r="BV68" s="140"/>
      <c r="BW68" s="140"/>
      <c r="BX68" s="140"/>
      <c r="BY68" s="140"/>
      <c r="BZ68" s="140"/>
      <c r="CA68" s="140"/>
      <c r="CB68" s="140"/>
      <c r="CC68" s="140"/>
      <c r="CD68" s="140"/>
      <c r="CE68" s="140"/>
      <c r="CF68" s="140"/>
      <c r="CG68" s="140"/>
      <c r="CH68" s="140"/>
      <c r="CI68" s="140"/>
      <c r="CJ68" s="140"/>
      <c r="CK68" s="140"/>
      <c r="CL68" s="140"/>
      <c r="CM68" s="140"/>
      <c r="CN68" s="140"/>
    </row>
    <row r="69" spans="2:92" ht="18" customHeight="1" x14ac:dyDescent="0.25">
      <c r="B69" s="134" t="s">
        <v>151</v>
      </c>
      <c r="C69" s="134"/>
      <c r="D69" s="134"/>
      <c r="E69" s="134"/>
      <c r="F69" s="134"/>
      <c r="G69" s="134"/>
      <c r="H69" s="134"/>
      <c r="I69" s="134"/>
      <c r="J69" s="134"/>
      <c r="K69" s="134"/>
      <c r="L69" s="134"/>
      <c r="M69" s="134"/>
      <c r="N69" s="134"/>
      <c r="O69" s="134"/>
      <c r="P69" s="134"/>
      <c r="Q69" s="134"/>
      <c r="R69" s="134"/>
      <c r="S69" s="201" t="b">
        <v>1</v>
      </c>
      <c r="T69" s="202" t="b">
        <v>1</v>
      </c>
      <c r="U69" s="203" t="b">
        <v>1</v>
      </c>
      <c r="V69" s="135"/>
      <c r="W69" s="135"/>
      <c r="X69" s="135"/>
      <c r="Y69" s="135"/>
      <c r="Z69" s="136">
        <f t="shared" si="0"/>
        <v>46606</v>
      </c>
      <c r="AA69" s="136"/>
      <c r="AB69" s="136"/>
      <c r="AC69" s="136"/>
      <c r="AD69" s="136"/>
      <c r="AE69" s="136"/>
      <c r="AF69" s="136"/>
      <c r="AG69" s="136"/>
      <c r="AH69" s="136"/>
      <c r="AI69" s="137">
        <v>76</v>
      </c>
      <c r="AJ69" s="137"/>
      <c r="AK69" s="137"/>
      <c r="AL69" s="137"/>
      <c r="AM69" s="137"/>
      <c r="AN69" s="137"/>
      <c r="AO69" s="137"/>
      <c r="AP69" s="136">
        <f t="shared" si="2"/>
        <v>46624</v>
      </c>
      <c r="AQ69" s="136"/>
      <c r="AR69" s="136"/>
      <c r="AS69" s="136"/>
      <c r="AT69" s="136"/>
      <c r="AU69" s="136"/>
      <c r="AV69" s="136"/>
      <c r="AW69" s="137">
        <v>58</v>
      </c>
      <c r="AX69" s="137"/>
      <c r="AY69" s="137"/>
      <c r="AZ69" s="137"/>
      <c r="BA69" s="137"/>
      <c r="BB69" s="137"/>
      <c r="BC69" s="137"/>
      <c r="BD69" s="138">
        <v>46682</v>
      </c>
      <c r="BE69" s="138"/>
      <c r="BF69" s="138"/>
      <c r="BG69" s="138"/>
      <c r="BH69" s="138"/>
      <c r="BI69" s="138"/>
      <c r="BJ69" s="138"/>
      <c r="BK69" s="138"/>
      <c r="BL69" s="138"/>
      <c r="BM69" s="139"/>
      <c r="BN69" s="139"/>
      <c r="BO69" s="139"/>
      <c r="BP69" s="139"/>
      <c r="BQ69" s="139"/>
      <c r="BR69" s="139"/>
      <c r="BS69" s="139"/>
      <c r="BT69" s="139"/>
      <c r="BU69" s="140" t="s">
        <v>87</v>
      </c>
      <c r="BV69" s="140"/>
      <c r="BW69" s="140"/>
      <c r="BX69" s="140"/>
      <c r="BY69" s="140"/>
      <c r="BZ69" s="140"/>
      <c r="CA69" s="140"/>
      <c r="CB69" s="140"/>
      <c r="CC69" s="140"/>
      <c r="CD69" s="140"/>
      <c r="CE69" s="140"/>
      <c r="CF69" s="140"/>
      <c r="CG69" s="140"/>
      <c r="CH69" s="140"/>
      <c r="CI69" s="140"/>
      <c r="CJ69" s="140"/>
      <c r="CK69" s="140"/>
      <c r="CL69" s="140"/>
      <c r="CM69" s="140"/>
      <c r="CN69" s="140"/>
    </row>
    <row r="70" spans="2:92" ht="18" customHeight="1" x14ac:dyDescent="0.25">
      <c r="B70" s="134" t="s">
        <v>55</v>
      </c>
      <c r="C70" s="134"/>
      <c r="D70" s="134"/>
      <c r="E70" s="134"/>
      <c r="F70" s="134"/>
      <c r="G70" s="134"/>
      <c r="H70" s="134"/>
      <c r="I70" s="134"/>
      <c r="J70" s="134"/>
      <c r="K70" s="134"/>
      <c r="L70" s="134"/>
      <c r="M70" s="134"/>
      <c r="N70" s="134"/>
      <c r="O70" s="134"/>
      <c r="P70" s="134"/>
      <c r="Q70" s="134"/>
      <c r="R70" s="134"/>
      <c r="S70" s="201" t="b">
        <v>1</v>
      </c>
      <c r="T70" s="202" t="b">
        <v>1</v>
      </c>
      <c r="U70" s="203" t="b">
        <v>1</v>
      </c>
      <c r="V70" s="135"/>
      <c r="W70" s="135"/>
      <c r="X70" s="135"/>
      <c r="Y70" s="135"/>
      <c r="Z70" s="136">
        <f t="shared" si="0"/>
        <v>46641</v>
      </c>
      <c r="AA70" s="136"/>
      <c r="AB70" s="136"/>
      <c r="AC70" s="136"/>
      <c r="AD70" s="136"/>
      <c r="AE70" s="136"/>
      <c r="AF70" s="136"/>
      <c r="AG70" s="136"/>
      <c r="AH70" s="136"/>
      <c r="AI70" s="196">
        <f>IF($BD70="","",Weihnachtsmailing!$C$4-Weihnachtsmailing!$F$11)</f>
        <v>76</v>
      </c>
      <c r="AJ70" s="137"/>
      <c r="AK70" s="137"/>
      <c r="AL70" s="137"/>
      <c r="AM70" s="137"/>
      <c r="AN70" s="137"/>
      <c r="AO70" s="137"/>
      <c r="AP70" s="136">
        <f t="shared" si="2"/>
        <v>46659</v>
      </c>
      <c r="AQ70" s="136"/>
      <c r="AR70" s="136"/>
      <c r="AS70" s="136"/>
      <c r="AT70" s="136"/>
      <c r="AU70" s="136"/>
      <c r="AV70" s="136"/>
      <c r="AW70" s="197">
        <f>IF($BD70="","",Weihnachtsmailing!$C$4-Weihnachtsmailing!$F$17)</f>
        <v>58</v>
      </c>
      <c r="AX70" s="137"/>
      <c r="AY70" s="137"/>
      <c r="AZ70" s="137"/>
      <c r="BA70" s="137"/>
      <c r="BB70" s="137"/>
      <c r="BC70" s="137"/>
      <c r="BD70" s="138">
        <v>46717</v>
      </c>
      <c r="BE70" s="138"/>
      <c r="BF70" s="138"/>
      <c r="BG70" s="138"/>
      <c r="BH70" s="138"/>
      <c r="BI70" s="138"/>
      <c r="BJ70" s="138"/>
      <c r="BK70" s="138"/>
      <c r="BL70" s="138"/>
      <c r="BM70" s="139" t="s">
        <v>90</v>
      </c>
      <c r="BN70" s="139"/>
      <c r="BO70" s="139"/>
      <c r="BP70" s="139"/>
      <c r="BQ70" s="139"/>
      <c r="BR70" s="139"/>
      <c r="BS70" s="139"/>
      <c r="BT70" s="139"/>
      <c r="BU70" s="140" t="s">
        <v>95</v>
      </c>
      <c r="BV70" s="140"/>
      <c r="BW70" s="140"/>
      <c r="BX70" s="140"/>
      <c r="BY70" s="140"/>
      <c r="BZ70" s="140"/>
      <c r="CA70" s="140"/>
      <c r="CB70" s="140"/>
      <c r="CC70" s="140"/>
      <c r="CD70" s="140"/>
      <c r="CE70" s="140"/>
      <c r="CF70" s="140"/>
      <c r="CG70" s="140"/>
      <c r="CH70" s="140"/>
      <c r="CI70" s="140"/>
      <c r="CJ70" s="140"/>
      <c r="CK70" s="140"/>
      <c r="CL70" s="140"/>
      <c r="CM70" s="140"/>
      <c r="CN70" s="140"/>
    </row>
    <row r="71" spans="2:92" ht="18" customHeight="1" x14ac:dyDescent="0.25">
      <c r="B71" s="134" t="s">
        <v>96</v>
      </c>
      <c r="C71" s="134"/>
      <c r="D71" s="134"/>
      <c r="E71" s="134"/>
      <c r="F71" s="134"/>
      <c r="G71" s="134"/>
      <c r="H71" s="134"/>
      <c r="I71" s="134"/>
      <c r="J71" s="134"/>
      <c r="K71" s="134"/>
      <c r="L71" s="134"/>
      <c r="M71" s="134"/>
      <c r="N71" s="134"/>
      <c r="O71" s="134"/>
      <c r="P71" s="134"/>
      <c r="Q71" s="134"/>
      <c r="R71" s="134"/>
      <c r="S71" s="201" t="b">
        <v>1</v>
      </c>
      <c r="T71" s="202" t="b">
        <v>1</v>
      </c>
      <c r="U71" s="203" t="b">
        <v>1</v>
      </c>
      <c r="V71" s="135"/>
      <c r="W71" s="135"/>
      <c r="X71" s="135"/>
      <c r="Y71" s="135"/>
      <c r="Z71" s="136">
        <f t="shared" si="0"/>
        <v>46655</v>
      </c>
      <c r="AA71" s="136"/>
      <c r="AB71" s="136"/>
      <c r="AC71" s="136"/>
      <c r="AD71" s="136"/>
      <c r="AE71" s="136"/>
      <c r="AF71" s="136"/>
      <c r="AG71" s="136"/>
      <c r="AH71" s="136"/>
      <c r="AI71" s="137">
        <v>76</v>
      </c>
      <c r="AJ71" s="137"/>
      <c r="AK71" s="137"/>
      <c r="AL71" s="137"/>
      <c r="AM71" s="137"/>
      <c r="AN71" s="137"/>
      <c r="AO71" s="137"/>
      <c r="AP71" s="136">
        <f t="shared" si="2"/>
        <v>46673</v>
      </c>
      <c r="AQ71" s="136"/>
      <c r="AR71" s="136"/>
      <c r="AS71" s="136"/>
      <c r="AT71" s="136"/>
      <c r="AU71" s="136"/>
      <c r="AV71" s="136"/>
      <c r="AW71" s="137">
        <v>58</v>
      </c>
      <c r="AX71" s="137"/>
      <c r="AY71" s="137"/>
      <c r="AZ71" s="137"/>
      <c r="BA71" s="137"/>
      <c r="BB71" s="137"/>
      <c r="BC71" s="137"/>
      <c r="BD71" s="138">
        <v>46731</v>
      </c>
      <c r="BE71" s="138"/>
      <c r="BF71" s="138"/>
      <c r="BG71" s="138"/>
      <c r="BH71" s="138"/>
      <c r="BI71" s="138"/>
      <c r="BJ71" s="138"/>
      <c r="BK71" s="138"/>
      <c r="BL71" s="138"/>
      <c r="BM71" s="139"/>
      <c r="BN71" s="139"/>
      <c r="BO71" s="139"/>
      <c r="BP71" s="139"/>
      <c r="BQ71" s="139"/>
      <c r="BR71" s="139"/>
      <c r="BS71" s="139"/>
      <c r="BT71" s="139"/>
      <c r="BU71" s="140" t="s">
        <v>87</v>
      </c>
      <c r="BV71" s="140"/>
      <c r="BW71" s="140"/>
      <c r="BX71" s="140"/>
      <c r="BY71" s="140"/>
      <c r="BZ71" s="140"/>
      <c r="CA71" s="140"/>
      <c r="CB71" s="140"/>
      <c r="CC71" s="140"/>
      <c r="CD71" s="140"/>
      <c r="CE71" s="140"/>
      <c r="CF71" s="140"/>
      <c r="CG71" s="140"/>
      <c r="CH71" s="140"/>
      <c r="CI71" s="140"/>
      <c r="CJ71" s="140"/>
      <c r="CK71" s="140"/>
      <c r="CL71" s="140"/>
      <c r="CM71" s="140"/>
      <c r="CN71" s="140"/>
    </row>
    <row r="72" spans="2:92" ht="18" customHeight="1" x14ac:dyDescent="0.25">
      <c r="B72" s="134"/>
      <c r="C72" s="134"/>
      <c r="D72" s="134"/>
      <c r="E72" s="134"/>
      <c r="F72" s="134"/>
      <c r="G72" s="134"/>
      <c r="H72" s="134"/>
      <c r="I72" s="134"/>
      <c r="J72" s="134"/>
      <c r="K72" s="134"/>
      <c r="L72" s="134"/>
      <c r="M72" s="134"/>
      <c r="N72" s="134"/>
      <c r="O72" s="134"/>
      <c r="P72" s="134"/>
      <c r="Q72" s="134"/>
      <c r="R72" s="134"/>
      <c r="S72" s="201" t="b">
        <v>1</v>
      </c>
      <c r="T72" s="202" t="b">
        <v>1</v>
      </c>
      <c r="U72" s="203" t="b">
        <v>1</v>
      </c>
      <c r="V72" s="135"/>
      <c r="W72" s="135"/>
      <c r="X72" s="135"/>
      <c r="Y72" s="135"/>
      <c r="Z72" s="136" t="str">
        <f t="shared" si="0"/>
        <v/>
      </c>
      <c r="AA72" s="136"/>
      <c r="AB72" s="136"/>
      <c r="AC72" s="136"/>
      <c r="AD72" s="136"/>
      <c r="AE72" s="136"/>
      <c r="AF72" s="136"/>
      <c r="AG72" s="136"/>
      <c r="AH72" s="136"/>
      <c r="AI72" s="137"/>
      <c r="AJ72" s="137"/>
      <c r="AK72" s="137"/>
      <c r="AL72" s="137"/>
      <c r="AM72" s="137"/>
      <c r="AN72" s="137"/>
      <c r="AO72" s="137"/>
      <c r="AP72" s="136" t="str">
        <f t="shared" si="2"/>
        <v/>
      </c>
      <c r="AQ72" s="136"/>
      <c r="AR72" s="136"/>
      <c r="AS72" s="136"/>
      <c r="AT72" s="136"/>
      <c r="AU72" s="136"/>
      <c r="AV72" s="136"/>
      <c r="AW72" s="137"/>
      <c r="AX72" s="137"/>
      <c r="AY72" s="137"/>
      <c r="AZ72" s="137"/>
      <c r="BA72" s="137"/>
      <c r="BB72" s="137"/>
      <c r="BC72" s="137"/>
      <c r="BD72" s="138"/>
      <c r="BE72" s="138"/>
      <c r="BF72" s="138"/>
      <c r="BG72" s="138"/>
      <c r="BH72" s="138"/>
      <c r="BI72" s="138"/>
      <c r="BJ72" s="138"/>
      <c r="BK72" s="138"/>
      <c r="BL72" s="138"/>
      <c r="BM72" s="139"/>
      <c r="BN72" s="139"/>
      <c r="BO72" s="139"/>
      <c r="BP72" s="139"/>
      <c r="BQ72" s="139"/>
      <c r="BR72" s="139"/>
      <c r="BS72" s="139"/>
      <c r="BT72" s="139"/>
      <c r="BU72" s="140"/>
      <c r="BV72" s="140"/>
      <c r="BW72" s="140"/>
      <c r="BX72" s="140"/>
      <c r="BY72" s="140"/>
      <c r="BZ72" s="140"/>
      <c r="CA72" s="140"/>
      <c r="CB72" s="140"/>
      <c r="CC72" s="140"/>
      <c r="CD72" s="140"/>
      <c r="CE72" s="140"/>
      <c r="CF72" s="140"/>
      <c r="CG72" s="140"/>
      <c r="CH72" s="140"/>
      <c r="CI72" s="140"/>
      <c r="CJ72" s="140"/>
      <c r="CK72" s="140"/>
      <c r="CL72" s="140"/>
      <c r="CM72" s="140"/>
      <c r="CN72" s="140"/>
    </row>
    <row r="73" spans="2:92" ht="18" customHeight="1" x14ac:dyDescent="0.25">
      <c r="B73" s="134"/>
      <c r="C73" s="134"/>
      <c r="D73" s="134"/>
      <c r="E73" s="134"/>
      <c r="F73" s="134"/>
      <c r="G73" s="134"/>
      <c r="H73" s="134"/>
      <c r="I73" s="134"/>
      <c r="J73" s="134"/>
      <c r="K73" s="134"/>
      <c r="L73" s="134"/>
      <c r="M73" s="134"/>
      <c r="N73" s="134"/>
      <c r="O73" s="134"/>
      <c r="P73" s="134"/>
      <c r="Q73" s="134"/>
      <c r="R73" s="134"/>
      <c r="S73" s="201" t="b">
        <v>1</v>
      </c>
      <c r="T73" s="202" t="b">
        <v>1</v>
      </c>
      <c r="U73" s="203" t="b">
        <v>1</v>
      </c>
      <c r="V73" s="135"/>
      <c r="W73" s="135"/>
      <c r="X73" s="135"/>
      <c r="Y73" s="135"/>
      <c r="Z73" s="136" t="str">
        <f t="shared" si="0"/>
        <v/>
      </c>
      <c r="AA73" s="136"/>
      <c r="AB73" s="136"/>
      <c r="AC73" s="136"/>
      <c r="AD73" s="136"/>
      <c r="AE73" s="136"/>
      <c r="AF73" s="136"/>
      <c r="AG73" s="136"/>
      <c r="AH73" s="136"/>
      <c r="AI73" s="137"/>
      <c r="AJ73" s="137"/>
      <c r="AK73" s="137"/>
      <c r="AL73" s="137"/>
      <c r="AM73" s="137"/>
      <c r="AN73" s="137"/>
      <c r="AO73" s="137"/>
      <c r="AP73" s="136" t="str">
        <f t="shared" si="2"/>
        <v/>
      </c>
      <c r="AQ73" s="136"/>
      <c r="AR73" s="136"/>
      <c r="AS73" s="136"/>
      <c r="AT73" s="136"/>
      <c r="AU73" s="136"/>
      <c r="AV73" s="136"/>
      <c r="AW73" s="137"/>
      <c r="AX73" s="137"/>
      <c r="AY73" s="137"/>
      <c r="AZ73" s="137"/>
      <c r="BA73" s="137"/>
      <c r="BB73" s="137"/>
      <c r="BC73" s="137"/>
      <c r="BD73" s="138"/>
      <c r="BE73" s="138"/>
      <c r="BF73" s="138"/>
      <c r="BG73" s="138"/>
      <c r="BH73" s="138"/>
      <c r="BI73" s="138"/>
      <c r="BJ73" s="138"/>
      <c r="BK73" s="138"/>
      <c r="BL73" s="138"/>
      <c r="BM73" s="139"/>
      <c r="BN73" s="139"/>
      <c r="BO73" s="139"/>
      <c r="BP73" s="139"/>
      <c r="BQ73" s="139"/>
      <c r="BR73" s="139"/>
      <c r="BS73" s="139"/>
      <c r="BT73" s="139"/>
      <c r="BU73" s="140"/>
      <c r="BV73" s="140"/>
      <c r="BW73" s="140"/>
      <c r="BX73" s="140"/>
      <c r="BY73" s="140"/>
      <c r="BZ73" s="140"/>
      <c r="CA73" s="140"/>
      <c r="CB73" s="140"/>
      <c r="CC73" s="140"/>
      <c r="CD73" s="140"/>
      <c r="CE73" s="140"/>
      <c r="CF73" s="140"/>
      <c r="CG73" s="140"/>
      <c r="CH73" s="140"/>
      <c r="CI73" s="140"/>
      <c r="CJ73" s="140"/>
      <c r="CK73" s="140"/>
      <c r="CL73" s="140"/>
      <c r="CM73" s="140"/>
      <c r="CN73" s="140"/>
    </row>
    <row r="74" spans="2:92" ht="18" customHeight="1" x14ac:dyDescent="0.25">
      <c r="B74" s="134"/>
      <c r="C74" s="134"/>
      <c r="D74" s="134"/>
      <c r="E74" s="134"/>
      <c r="F74" s="134"/>
      <c r="G74" s="134"/>
      <c r="H74" s="134"/>
      <c r="I74" s="134"/>
      <c r="J74" s="134"/>
      <c r="K74" s="134"/>
      <c r="L74" s="134"/>
      <c r="M74" s="134"/>
      <c r="N74" s="134"/>
      <c r="O74" s="134"/>
      <c r="P74" s="134"/>
      <c r="Q74" s="134"/>
      <c r="R74" s="134"/>
      <c r="S74" s="201" t="b">
        <v>1</v>
      </c>
      <c r="T74" s="202" t="b">
        <v>1</v>
      </c>
      <c r="U74" s="203" t="b">
        <v>1</v>
      </c>
      <c r="V74" s="135"/>
      <c r="W74" s="135"/>
      <c r="X74" s="135"/>
      <c r="Y74" s="135"/>
      <c r="Z74" s="136" t="str">
        <f t="shared" si="0"/>
        <v/>
      </c>
      <c r="AA74" s="136"/>
      <c r="AB74" s="136"/>
      <c r="AC74" s="136"/>
      <c r="AD74" s="136"/>
      <c r="AE74" s="136"/>
      <c r="AF74" s="136"/>
      <c r="AG74" s="136"/>
      <c r="AH74" s="136"/>
      <c r="AI74" s="137"/>
      <c r="AJ74" s="137"/>
      <c r="AK74" s="137"/>
      <c r="AL74" s="137"/>
      <c r="AM74" s="137"/>
      <c r="AN74" s="137"/>
      <c r="AO74" s="137"/>
      <c r="AP74" s="136" t="str">
        <f t="shared" si="2"/>
        <v/>
      </c>
      <c r="AQ74" s="136"/>
      <c r="AR74" s="136"/>
      <c r="AS74" s="136"/>
      <c r="AT74" s="136"/>
      <c r="AU74" s="136"/>
      <c r="AV74" s="136"/>
      <c r="AW74" s="137"/>
      <c r="AX74" s="137"/>
      <c r="AY74" s="137"/>
      <c r="AZ74" s="137"/>
      <c r="BA74" s="137"/>
      <c r="BB74" s="137"/>
      <c r="BC74" s="137"/>
      <c r="BD74" s="138"/>
      <c r="BE74" s="138"/>
      <c r="BF74" s="138"/>
      <c r="BG74" s="138"/>
      <c r="BH74" s="138"/>
      <c r="BI74" s="138"/>
      <c r="BJ74" s="138"/>
      <c r="BK74" s="138"/>
      <c r="BL74" s="138"/>
      <c r="BM74" s="139"/>
      <c r="BN74" s="139"/>
      <c r="BO74" s="139"/>
      <c r="BP74" s="139"/>
      <c r="BQ74" s="139"/>
      <c r="BR74" s="139"/>
      <c r="BS74" s="139"/>
      <c r="BT74" s="139"/>
      <c r="BU74" s="140"/>
      <c r="BV74" s="140"/>
      <c r="BW74" s="140"/>
      <c r="BX74" s="140"/>
      <c r="BY74" s="140"/>
      <c r="BZ74" s="140"/>
      <c r="CA74" s="140"/>
      <c r="CB74" s="140"/>
      <c r="CC74" s="140"/>
      <c r="CD74" s="140"/>
      <c r="CE74" s="140"/>
      <c r="CF74" s="140"/>
      <c r="CG74" s="140"/>
      <c r="CH74" s="140"/>
      <c r="CI74" s="140"/>
      <c r="CJ74" s="140"/>
      <c r="CK74" s="140"/>
      <c r="CL74" s="140"/>
      <c r="CM74" s="140"/>
      <c r="CN74" s="140"/>
    </row>
    <row r="75" spans="2:92" ht="18" customHeight="1" x14ac:dyDescent="0.25">
      <c r="B75" s="134"/>
      <c r="C75" s="134"/>
      <c r="D75" s="134"/>
      <c r="E75" s="134"/>
      <c r="F75" s="134"/>
      <c r="G75" s="134"/>
      <c r="H75" s="134"/>
      <c r="I75" s="134"/>
      <c r="J75" s="134"/>
      <c r="K75" s="134"/>
      <c r="L75" s="134"/>
      <c r="M75" s="134"/>
      <c r="N75" s="134"/>
      <c r="O75" s="134"/>
      <c r="P75" s="134"/>
      <c r="Q75" s="134"/>
      <c r="R75" s="134"/>
      <c r="S75" s="201" t="b">
        <v>1</v>
      </c>
      <c r="T75" s="202" t="b">
        <v>1</v>
      </c>
      <c r="U75" s="203" t="b">
        <v>1</v>
      </c>
      <c r="V75" s="135"/>
      <c r="W75" s="135"/>
      <c r="X75" s="135"/>
      <c r="Y75" s="135"/>
      <c r="Z75" s="136" t="str">
        <f t="shared" si="0"/>
        <v/>
      </c>
      <c r="AA75" s="136"/>
      <c r="AB75" s="136"/>
      <c r="AC75" s="136"/>
      <c r="AD75" s="136"/>
      <c r="AE75" s="136"/>
      <c r="AF75" s="136"/>
      <c r="AG75" s="136"/>
      <c r="AH75" s="136"/>
      <c r="AI75" s="137"/>
      <c r="AJ75" s="137"/>
      <c r="AK75" s="137"/>
      <c r="AL75" s="137"/>
      <c r="AM75" s="137"/>
      <c r="AN75" s="137"/>
      <c r="AO75" s="137"/>
      <c r="AP75" s="136" t="str">
        <f t="shared" si="2"/>
        <v/>
      </c>
      <c r="AQ75" s="136"/>
      <c r="AR75" s="136"/>
      <c r="AS75" s="136"/>
      <c r="AT75" s="136"/>
      <c r="AU75" s="136"/>
      <c r="AV75" s="136"/>
      <c r="AW75" s="137"/>
      <c r="AX75" s="137"/>
      <c r="AY75" s="137"/>
      <c r="AZ75" s="137"/>
      <c r="BA75" s="137"/>
      <c r="BB75" s="137"/>
      <c r="BC75" s="137"/>
      <c r="BD75" s="138"/>
      <c r="BE75" s="138"/>
      <c r="BF75" s="138"/>
      <c r="BG75" s="138"/>
      <c r="BH75" s="138"/>
      <c r="BI75" s="138"/>
      <c r="BJ75" s="138"/>
      <c r="BK75" s="138"/>
      <c r="BL75" s="138"/>
      <c r="BM75" s="139"/>
      <c r="BN75" s="139"/>
      <c r="BO75" s="139"/>
      <c r="BP75" s="139"/>
      <c r="BQ75" s="139"/>
      <c r="BR75" s="139"/>
      <c r="BS75" s="139"/>
      <c r="BT75" s="139"/>
      <c r="BU75" s="140"/>
      <c r="BV75" s="140"/>
      <c r="BW75" s="140"/>
      <c r="BX75" s="140"/>
      <c r="BY75" s="140"/>
      <c r="BZ75" s="140"/>
      <c r="CA75" s="140"/>
      <c r="CB75" s="140"/>
      <c r="CC75" s="140"/>
      <c r="CD75" s="140"/>
      <c r="CE75" s="140"/>
      <c r="CF75" s="140"/>
      <c r="CG75" s="140"/>
      <c r="CH75" s="140"/>
      <c r="CI75" s="140"/>
      <c r="CJ75" s="140"/>
      <c r="CK75" s="140"/>
      <c r="CL75" s="140"/>
      <c r="CM75" s="140"/>
      <c r="CN75" s="140"/>
    </row>
    <row r="76" spans="2:92" ht="18" customHeight="1" x14ac:dyDescent="0.25">
      <c r="B76" s="134"/>
      <c r="C76" s="134"/>
      <c r="D76" s="134"/>
      <c r="E76" s="134"/>
      <c r="F76" s="134"/>
      <c r="G76" s="134"/>
      <c r="H76" s="134"/>
      <c r="I76" s="134"/>
      <c r="J76" s="134"/>
      <c r="K76" s="134"/>
      <c r="L76" s="134"/>
      <c r="M76" s="134"/>
      <c r="N76" s="134"/>
      <c r="O76" s="134"/>
      <c r="P76" s="134"/>
      <c r="Q76" s="134"/>
      <c r="R76" s="134"/>
      <c r="S76" s="201" t="b">
        <v>1</v>
      </c>
      <c r="T76" s="202" t="b">
        <v>1</v>
      </c>
      <c r="U76" s="203" t="b">
        <v>1</v>
      </c>
      <c r="V76" s="135"/>
      <c r="W76" s="135"/>
      <c r="X76" s="135"/>
      <c r="Y76" s="135"/>
      <c r="Z76" s="136" t="str">
        <f t="shared" si="0"/>
        <v/>
      </c>
      <c r="AA76" s="136"/>
      <c r="AB76" s="136"/>
      <c r="AC76" s="136"/>
      <c r="AD76" s="136"/>
      <c r="AE76" s="136"/>
      <c r="AF76" s="136"/>
      <c r="AG76" s="136"/>
      <c r="AH76" s="136"/>
      <c r="AI76" s="137"/>
      <c r="AJ76" s="137"/>
      <c r="AK76" s="137"/>
      <c r="AL76" s="137"/>
      <c r="AM76" s="137"/>
      <c r="AN76" s="137"/>
      <c r="AO76" s="137"/>
      <c r="AP76" s="136" t="str">
        <f t="shared" si="2"/>
        <v/>
      </c>
      <c r="AQ76" s="136"/>
      <c r="AR76" s="136"/>
      <c r="AS76" s="136"/>
      <c r="AT76" s="136"/>
      <c r="AU76" s="136"/>
      <c r="AV76" s="136"/>
      <c r="AW76" s="137"/>
      <c r="AX76" s="137"/>
      <c r="AY76" s="137"/>
      <c r="AZ76" s="137"/>
      <c r="BA76" s="137"/>
      <c r="BB76" s="137"/>
      <c r="BC76" s="137"/>
      <c r="BD76" s="138"/>
      <c r="BE76" s="138"/>
      <c r="BF76" s="138"/>
      <c r="BG76" s="138"/>
      <c r="BH76" s="138"/>
      <c r="BI76" s="138"/>
      <c r="BJ76" s="138"/>
      <c r="BK76" s="138"/>
      <c r="BL76" s="138"/>
      <c r="BM76" s="139"/>
      <c r="BN76" s="139"/>
      <c r="BO76" s="139"/>
      <c r="BP76" s="139"/>
      <c r="BQ76" s="139"/>
      <c r="BR76" s="139"/>
      <c r="BS76" s="139"/>
      <c r="BT76" s="139"/>
      <c r="BU76" s="140"/>
      <c r="BV76" s="140"/>
      <c r="BW76" s="140"/>
      <c r="BX76" s="140"/>
      <c r="BY76" s="140"/>
      <c r="BZ76" s="140"/>
      <c r="CA76" s="140"/>
      <c r="CB76" s="140"/>
      <c r="CC76" s="140"/>
      <c r="CD76" s="140"/>
      <c r="CE76" s="140"/>
      <c r="CF76" s="140"/>
      <c r="CG76" s="140"/>
      <c r="CH76" s="140"/>
      <c r="CI76" s="140"/>
      <c r="CJ76" s="140"/>
      <c r="CK76" s="140"/>
      <c r="CL76" s="140"/>
      <c r="CM76" s="140"/>
      <c r="CN76" s="140"/>
    </row>
    <row r="77" spans="2:92" ht="18" customHeight="1" x14ac:dyDescent="0.25">
      <c r="B77" s="134"/>
      <c r="C77" s="134"/>
      <c r="D77" s="134"/>
      <c r="E77" s="134"/>
      <c r="F77" s="134"/>
      <c r="G77" s="134"/>
      <c r="H77" s="134"/>
      <c r="I77" s="134"/>
      <c r="J77" s="134"/>
      <c r="K77" s="134"/>
      <c r="L77" s="134"/>
      <c r="M77" s="134"/>
      <c r="N77" s="134"/>
      <c r="O77" s="134"/>
      <c r="P77" s="134"/>
      <c r="Q77" s="134"/>
      <c r="R77" s="134"/>
      <c r="S77" s="201" t="b">
        <v>1</v>
      </c>
      <c r="T77" s="202" t="b">
        <v>1</v>
      </c>
      <c r="U77" s="203" t="b">
        <v>1</v>
      </c>
      <c r="V77" s="135"/>
      <c r="W77" s="135"/>
      <c r="X77" s="135"/>
      <c r="Y77" s="135"/>
      <c r="Z77" s="136" t="str">
        <f t="shared" si="0"/>
        <v/>
      </c>
      <c r="AA77" s="136"/>
      <c r="AB77" s="136"/>
      <c r="AC77" s="136"/>
      <c r="AD77" s="136"/>
      <c r="AE77" s="136"/>
      <c r="AF77" s="136"/>
      <c r="AG77" s="136"/>
      <c r="AH77" s="136"/>
      <c r="AI77" s="137"/>
      <c r="AJ77" s="137"/>
      <c r="AK77" s="137"/>
      <c r="AL77" s="137"/>
      <c r="AM77" s="137"/>
      <c r="AN77" s="137"/>
      <c r="AO77" s="137"/>
      <c r="AP77" s="136" t="str">
        <f t="shared" si="2"/>
        <v/>
      </c>
      <c r="AQ77" s="136"/>
      <c r="AR77" s="136"/>
      <c r="AS77" s="136"/>
      <c r="AT77" s="136"/>
      <c r="AU77" s="136"/>
      <c r="AV77" s="136"/>
      <c r="AW77" s="137"/>
      <c r="AX77" s="137"/>
      <c r="AY77" s="137"/>
      <c r="AZ77" s="137"/>
      <c r="BA77" s="137"/>
      <c r="BB77" s="137"/>
      <c r="BC77" s="137"/>
      <c r="BD77" s="138"/>
      <c r="BE77" s="138"/>
      <c r="BF77" s="138"/>
      <c r="BG77" s="138"/>
      <c r="BH77" s="138"/>
      <c r="BI77" s="138"/>
      <c r="BJ77" s="138"/>
      <c r="BK77" s="138"/>
      <c r="BL77" s="138"/>
      <c r="BM77" s="139"/>
      <c r="BN77" s="139"/>
      <c r="BO77" s="139"/>
      <c r="BP77" s="139"/>
      <c r="BQ77" s="139"/>
      <c r="BR77" s="139"/>
      <c r="BS77" s="139"/>
      <c r="BT77" s="139"/>
      <c r="BU77" s="140"/>
      <c r="BV77" s="140"/>
      <c r="BW77" s="140"/>
      <c r="BX77" s="140"/>
      <c r="BY77" s="140"/>
      <c r="BZ77" s="140"/>
      <c r="CA77" s="140"/>
      <c r="CB77" s="140"/>
      <c r="CC77" s="140"/>
      <c r="CD77" s="140"/>
      <c r="CE77" s="140"/>
      <c r="CF77" s="140"/>
      <c r="CG77" s="140"/>
      <c r="CH77" s="140"/>
      <c r="CI77" s="140"/>
      <c r="CJ77" s="140"/>
      <c r="CK77" s="140"/>
      <c r="CL77" s="140"/>
      <c r="CM77" s="140"/>
      <c r="CN77" s="140"/>
    </row>
    <row r="78" spans="2:92" ht="18" customHeight="1" x14ac:dyDescent="0.25">
      <c r="B78" s="134"/>
      <c r="C78" s="134"/>
      <c r="D78" s="134"/>
      <c r="E78" s="134"/>
      <c r="F78" s="134"/>
      <c r="G78" s="134"/>
      <c r="H78" s="134"/>
      <c r="I78" s="134"/>
      <c r="J78" s="134"/>
      <c r="K78" s="134"/>
      <c r="L78" s="134"/>
      <c r="M78" s="134"/>
      <c r="N78" s="134"/>
      <c r="O78" s="134"/>
      <c r="P78" s="134"/>
      <c r="Q78" s="134"/>
      <c r="R78" s="134"/>
      <c r="S78" s="201" t="b">
        <v>1</v>
      </c>
      <c r="T78" s="202" t="b">
        <v>1</v>
      </c>
      <c r="U78" s="203" t="b">
        <v>1</v>
      </c>
      <c r="V78" s="135"/>
      <c r="W78" s="135"/>
      <c r="X78" s="135"/>
      <c r="Y78" s="135"/>
      <c r="Z78" s="136" t="str">
        <f t="shared" si="0"/>
        <v/>
      </c>
      <c r="AA78" s="136"/>
      <c r="AB78" s="136"/>
      <c r="AC78" s="136"/>
      <c r="AD78" s="136"/>
      <c r="AE78" s="136"/>
      <c r="AF78" s="136"/>
      <c r="AG78" s="136"/>
      <c r="AH78" s="136"/>
      <c r="AI78" s="137"/>
      <c r="AJ78" s="137"/>
      <c r="AK78" s="137"/>
      <c r="AL78" s="137"/>
      <c r="AM78" s="137"/>
      <c r="AN78" s="137"/>
      <c r="AO78" s="137"/>
      <c r="AP78" s="136" t="str">
        <f t="shared" si="2"/>
        <v/>
      </c>
      <c r="AQ78" s="136"/>
      <c r="AR78" s="136"/>
      <c r="AS78" s="136"/>
      <c r="AT78" s="136"/>
      <c r="AU78" s="136"/>
      <c r="AV78" s="136"/>
      <c r="AW78" s="137"/>
      <c r="AX78" s="137"/>
      <c r="AY78" s="137"/>
      <c r="AZ78" s="137"/>
      <c r="BA78" s="137"/>
      <c r="BB78" s="137"/>
      <c r="BC78" s="137"/>
      <c r="BD78" s="138"/>
      <c r="BE78" s="138"/>
      <c r="BF78" s="138"/>
      <c r="BG78" s="138"/>
      <c r="BH78" s="138"/>
      <c r="BI78" s="138"/>
      <c r="BJ78" s="138"/>
      <c r="BK78" s="138"/>
      <c r="BL78" s="138"/>
      <c r="BM78" s="139"/>
      <c r="BN78" s="139"/>
      <c r="BO78" s="139"/>
      <c r="BP78" s="139"/>
      <c r="BQ78" s="139"/>
      <c r="BR78" s="139"/>
      <c r="BS78" s="139"/>
      <c r="BT78" s="139"/>
      <c r="BU78" s="140"/>
      <c r="BV78" s="140"/>
      <c r="BW78" s="140"/>
      <c r="BX78" s="140"/>
      <c r="BY78" s="140"/>
      <c r="BZ78" s="140"/>
      <c r="CA78" s="140"/>
      <c r="CB78" s="140"/>
      <c r="CC78" s="140"/>
      <c r="CD78" s="140"/>
      <c r="CE78" s="140"/>
      <c r="CF78" s="140"/>
      <c r="CG78" s="140"/>
      <c r="CH78" s="140"/>
      <c r="CI78" s="140"/>
      <c r="CJ78" s="140"/>
      <c r="CK78" s="140"/>
      <c r="CL78" s="140"/>
      <c r="CM78" s="140"/>
      <c r="CN78" s="140"/>
    </row>
    <row r="79" spans="2:92" ht="18" customHeight="1" x14ac:dyDescent="0.25">
      <c r="B79" s="134"/>
      <c r="C79" s="134"/>
      <c r="D79" s="134"/>
      <c r="E79" s="134"/>
      <c r="F79" s="134"/>
      <c r="G79" s="134"/>
      <c r="H79" s="134"/>
      <c r="I79" s="134"/>
      <c r="J79" s="134"/>
      <c r="K79" s="134"/>
      <c r="L79" s="134"/>
      <c r="M79" s="134"/>
      <c r="N79" s="134"/>
      <c r="O79" s="134"/>
      <c r="P79" s="134"/>
      <c r="Q79" s="134"/>
      <c r="R79" s="134"/>
      <c r="S79" s="201" t="b">
        <v>1</v>
      </c>
      <c r="T79" s="202" t="b">
        <v>1</v>
      </c>
      <c r="U79" s="203" t="b">
        <v>1</v>
      </c>
      <c r="V79" s="135"/>
      <c r="W79" s="135"/>
      <c r="X79" s="135"/>
      <c r="Y79" s="135"/>
      <c r="Z79" s="136" t="str">
        <f t="shared" si="0"/>
        <v/>
      </c>
      <c r="AA79" s="136"/>
      <c r="AB79" s="136"/>
      <c r="AC79" s="136"/>
      <c r="AD79" s="136"/>
      <c r="AE79" s="136"/>
      <c r="AF79" s="136"/>
      <c r="AG79" s="136"/>
      <c r="AH79" s="136"/>
      <c r="AI79" s="137"/>
      <c r="AJ79" s="137"/>
      <c r="AK79" s="137"/>
      <c r="AL79" s="137"/>
      <c r="AM79" s="137"/>
      <c r="AN79" s="137"/>
      <c r="AO79" s="137"/>
      <c r="AP79" s="136" t="str">
        <f t="shared" si="2"/>
        <v/>
      </c>
      <c r="AQ79" s="136"/>
      <c r="AR79" s="136"/>
      <c r="AS79" s="136"/>
      <c r="AT79" s="136"/>
      <c r="AU79" s="136"/>
      <c r="AV79" s="136"/>
      <c r="AW79" s="137"/>
      <c r="AX79" s="137"/>
      <c r="AY79" s="137"/>
      <c r="AZ79" s="137"/>
      <c r="BA79" s="137"/>
      <c r="BB79" s="137"/>
      <c r="BC79" s="137"/>
      <c r="BD79" s="138"/>
      <c r="BE79" s="138"/>
      <c r="BF79" s="138"/>
      <c r="BG79" s="138"/>
      <c r="BH79" s="138"/>
      <c r="BI79" s="138"/>
      <c r="BJ79" s="138"/>
      <c r="BK79" s="138"/>
      <c r="BL79" s="138"/>
      <c r="BM79" s="139"/>
      <c r="BN79" s="139"/>
      <c r="BO79" s="139"/>
      <c r="BP79" s="139"/>
      <c r="BQ79" s="139"/>
      <c r="BR79" s="139"/>
      <c r="BS79" s="139"/>
      <c r="BT79" s="139"/>
      <c r="BU79" s="140"/>
      <c r="BV79" s="140"/>
      <c r="BW79" s="140"/>
      <c r="BX79" s="140"/>
      <c r="BY79" s="140"/>
      <c r="BZ79" s="140"/>
      <c r="CA79" s="140"/>
      <c r="CB79" s="140"/>
      <c r="CC79" s="140"/>
      <c r="CD79" s="140"/>
      <c r="CE79" s="140"/>
      <c r="CF79" s="140"/>
      <c r="CG79" s="140"/>
      <c r="CH79" s="140"/>
      <c r="CI79" s="140"/>
      <c r="CJ79" s="140"/>
      <c r="CK79" s="140"/>
      <c r="CL79" s="140"/>
      <c r="CM79" s="140"/>
      <c r="CN79" s="140"/>
    </row>
    <row r="80" spans="2:92" ht="18" customHeight="1" x14ac:dyDescent="0.25">
      <c r="B80" s="134"/>
      <c r="C80" s="134"/>
      <c r="D80" s="134"/>
      <c r="E80" s="134"/>
      <c r="F80" s="134"/>
      <c r="G80" s="134"/>
      <c r="H80" s="134"/>
      <c r="I80" s="134"/>
      <c r="J80" s="134"/>
      <c r="K80" s="134"/>
      <c r="L80" s="134"/>
      <c r="M80" s="134"/>
      <c r="N80" s="134"/>
      <c r="O80" s="134"/>
      <c r="P80" s="134"/>
      <c r="Q80" s="134"/>
      <c r="R80" s="134"/>
      <c r="S80" s="201" t="b">
        <v>1</v>
      </c>
      <c r="T80" s="202" t="b">
        <v>1</v>
      </c>
      <c r="U80" s="203" t="b">
        <v>1</v>
      </c>
      <c r="V80" s="135"/>
      <c r="W80" s="135"/>
      <c r="X80" s="135"/>
      <c r="Y80" s="135"/>
      <c r="Z80" s="136" t="str">
        <f t="shared" si="0"/>
        <v/>
      </c>
      <c r="AA80" s="136"/>
      <c r="AB80" s="136"/>
      <c r="AC80" s="136"/>
      <c r="AD80" s="136"/>
      <c r="AE80" s="136"/>
      <c r="AF80" s="136"/>
      <c r="AG80" s="136"/>
      <c r="AH80" s="136"/>
      <c r="AI80" s="137"/>
      <c r="AJ80" s="137"/>
      <c r="AK80" s="137"/>
      <c r="AL80" s="137"/>
      <c r="AM80" s="137"/>
      <c r="AN80" s="137"/>
      <c r="AO80" s="137"/>
      <c r="AP80" s="136" t="str">
        <f t="shared" si="2"/>
        <v/>
      </c>
      <c r="AQ80" s="136"/>
      <c r="AR80" s="136"/>
      <c r="AS80" s="136"/>
      <c r="AT80" s="136"/>
      <c r="AU80" s="136"/>
      <c r="AV80" s="136"/>
      <c r="AW80" s="137"/>
      <c r="AX80" s="137"/>
      <c r="AY80" s="137"/>
      <c r="AZ80" s="137"/>
      <c r="BA80" s="137"/>
      <c r="BB80" s="137"/>
      <c r="BC80" s="137"/>
      <c r="BD80" s="138"/>
      <c r="BE80" s="138"/>
      <c r="BF80" s="138"/>
      <c r="BG80" s="138"/>
      <c r="BH80" s="138"/>
      <c r="BI80" s="138"/>
      <c r="BJ80" s="138"/>
      <c r="BK80" s="138"/>
      <c r="BL80" s="138"/>
      <c r="BM80" s="139"/>
      <c r="BN80" s="139"/>
      <c r="BO80" s="139"/>
      <c r="BP80" s="139"/>
      <c r="BQ80" s="139"/>
      <c r="BR80" s="139"/>
      <c r="BS80" s="139"/>
      <c r="BT80" s="139"/>
      <c r="BU80" s="140"/>
      <c r="BV80" s="140"/>
      <c r="BW80" s="140"/>
      <c r="BX80" s="140"/>
      <c r="BY80" s="140"/>
      <c r="BZ80" s="140"/>
      <c r="CA80" s="140"/>
      <c r="CB80" s="140"/>
      <c r="CC80" s="140"/>
      <c r="CD80" s="140"/>
      <c r="CE80" s="140"/>
      <c r="CF80" s="140"/>
      <c r="CG80" s="140"/>
      <c r="CH80" s="140"/>
      <c r="CI80" s="140"/>
      <c r="CJ80" s="140"/>
      <c r="CK80" s="140"/>
      <c r="CL80" s="140"/>
      <c r="CM80" s="140"/>
      <c r="CN80" s="140"/>
    </row>
    <row r="81" spans="2:92" ht="18" customHeight="1" x14ac:dyDescent="0.25">
      <c r="B81" s="134"/>
      <c r="C81" s="134"/>
      <c r="D81" s="134"/>
      <c r="E81" s="134"/>
      <c r="F81" s="134"/>
      <c r="G81" s="134"/>
      <c r="H81" s="134"/>
      <c r="I81" s="134"/>
      <c r="J81" s="134"/>
      <c r="K81" s="134"/>
      <c r="L81" s="134"/>
      <c r="M81" s="134"/>
      <c r="N81" s="134"/>
      <c r="O81" s="134"/>
      <c r="P81" s="134"/>
      <c r="Q81" s="134"/>
      <c r="R81" s="134"/>
      <c r="S81" s="201" t="b">
        <v>1</v>
      </c>
      <c r="T81" s="202" t="b">
        <v>1</v>
      </c>
      <c r="U81" s="203" t="b">
        <v>1</v>
      </c>
      <c r="V81" s="135"/>
      <c r="W81" s="135"/>
      <c r="X81" s="135"/>
      <c r="Y81" s="135"/>
      <c r="Z81" s="136" t="str">
        <f t="shared" si="0"/>
        <v/>
      </c>
      <c r="AA81" s="136"/>
      <c r="AB81" s="136"/>
      <c r="AC81" s="136"/>
      <c r="AD81" s="136"/>
      <c r="AE81" s="136"/>
      <c r="AF81" s="136"/>
      <c r="AG81" s="136"/>
      <c r="AH81" s="136"/>
      <c r="AI81" s="137"/>
      <c r="AJ81" s="137"/>
      <c r="AK81" s="137"/>
      <c r="AL81" s="137"/>
      <c r="AM81" s="137"/>
      <c r="AN81" s="137"/>
      <c r="AO81" s="137"/>
      <c r="AP81" s="136" t="str">
        <f t="shared" si="2"/>
        <v/>
      </c>
      <c r="AQ81" s="136"/>
      <c r="AR81" s="136"/>
      <c r="AS81" s="136"/>
      <c r="AT81" s="136"/>
      <c r="AU81" s="136"/>
      <c r="AV81" s="136"/>
      <c r="AW81" s="137"/>
      <c r="AX81" s="137"/>
      <c r="AY81" s="137"/>
      <c r="AZ81" s="137"/>
      <c r="BA81" s="137"/>
      <c r="BB81" s="137"/>
      <c r="BC81" s="137"/>
      <c r="BD81" s="138"/>
      <c r="BE81" s="138"/>
      <c r="BF81" s="138"/>
      <c r="BG81" s="138"/>
      <c r="BH81" s="138"/>
      <c r="BI81" s="138"/>
      <c r="BJ81" s="138"/>
      <c r="BK81" s="138"/>
      <c r="BL81" s="138"/>
      <c r="BM81" s="139"/>
      <c r="BN81" s="139"/>
      <c r="BO81" s="139"/>
      <c r="BP81" s="139"/>
      <c r="BQ81" s="139"/>
      <c r="BR81" s="139"/>
      <c r="BS81" s="139"/>
      <c r="BT81" s="139"/>
      <c r="BU81" s="140"/>
      <c r="BV81" s="140"/>
      <c r="BW81" s="140"/>
      <c r="BX81" s="140"/>
      <c r="BY81" s="140"/>
      <c r="BZ81" s="140"/>
      <c r="CA81" s="140"/>
      <c r="CB81" s="140"/>
      <c r="CC81" s="140"/>
      <c r="CD81" s="140"/>
      <c r="CE81" s="140"/>
      <c r="CF81" s="140"/>
      <c r="CG81" s="140"/>
      <c r="CH81" s="140"/>
      <c r="CI81" s="140"/>
      <c r="CJ81" s="140"/>
      <c r="CK81" s="140"/>
      <c r="CL81" s="140"/>
      <c r="CM81" s="140"/>
      <c r="CN81" s="140"/>
    </row>
    <row r="83" spans="2:92" ht="15" customHeight="1" x14ac:dyDescent="0.25">
      <c r="B83" s="141" t="s">
        <v>97</v>
      </c>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c r="AA83" s="141"/>
      <c r="AB83" s="141"/>
      <c r="AC83" s="141"/>
      <c r="AD83" s="141"/>
      <c r="AE83" s="141"/>
      <c r="AF83" s="141"/>
      <c r="AG83" s="141"/>
      <c r="AH83" s="141"/>
      <c r="AI83" s="141"/>
      <c r="AJ83" s="141"/>
      <c r="AK83" s="141"/>
      <c r="AL83" s="141"/>
      <c r="AM83" s="141"/>
      <c r="AN83" s="141"/>
      <c r="AO83" s="141"/>
      <c r="AP83" s="141"/>
      <c r="AQ83" s="141"/>
      <c r="AR83" s="141"/>
      <c r="AS83" s="141"/>
      <c r="AT83" s="141"/>
      <c r="AU83" s="141"/>
      <c r="AV83" s="141"/>
      <c r="AW83" s="141"/>
      <c r="AX83" s="141"/>
      <c r="AY83" s="141"/>
      <c r="AZ83" s="141"/>
      <c r="BA83" s="141"/>
      <c r="BB83" s="141"/>
      <c r="BC83" s="141"/>
      <c r="BD83" s="141"/>
      <c r="BE83" s="141"/>
      <c r="BF83" s="141"/>
      <c r="BG83" s="141"/>
      <c r="BH83" s="141"/>
      <c r="BI83" s="141"/>
      <c r="BJ83" s="141"/>
      <c r="BK83" s="141"/>
      <c r="BL83" s="141"/>
      <c r="BM83" s="141"/>
      <c r="BN83" s="141"/>
      <c r="BO83" s="141"/>
      <c r="BP83" s="141"/>
      <c r="BQ83" s="141"/>
      <c r="BR83" s="141"/>
      <c r="BS83" s="141"/>
      <c r="BT83" s="141"/>
      <c r="BU83" s="141"/>
      <c r="BV83" s="141"/>
      <c r="BW83" s="141"/>
      <c r="BX83" s="141"/>
      <c r="BY83" s="141"/>
      <c r="BZ83" s="141"/>
      <c r="CA83" s="141"/>
      <c r="CB83" s="141"/>
      <c r="CC83" s="141"/>
      <c r="CD83" s="141"/>
      <c r="CE83" s="141"/>
      <c r="CF83" s="141"/>
      <c r="CG83" s="141"/>
      <c r="CH83" s="141"/>
      <c r="CI83" s="141"/>
      <c r="CJ83" s="141"/>
      <c r="CK83" s="141"/>
      <c r="CL83" s="141"/>
      <c r="CM83" s="141"/>
      <c r="CN83" s="141"/>
    </row>
    <row r="84" spans="2:92" ht="15" customHeight="1" x14ac:dyDescent="0.25">
      <c r="B84" s="142" t="s">
        <v>98</v>
      </c>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c r="AY84" s="142"/>
      <c r="AZ84" s="142"/>
      <c r="BA84" s="142"/>
      <c r="BB84" s="142"/>
      <c r="BC84" s="142"/>
      <c r="BD84" s="142"/>
      <c r="BE84" s="142"/>
      <c r="BF84" s="142"/>
      <c r="BG84" s="142"/>
      <c r="BH84" s="142"/>
      <c r="BI84" s="142"/>
      <c r="BJ84" s="142"/>
      <c r="BK84" s="142"/>
      <c r="BL84" s="142"/>
      <c r="BM84" s="142"/>
      <c r="BN84" s="142"/>
      <c r="BO84" s="142"/>
      <c r="BP84" s="142"/>
      <c r="BQ84" s="142"/>
      <c r="BR84" s="142"/>
      <c r="BS84" s="142"/>
      <c r="BT84" s="142"/>
      <c r="BU84" s="142"/>
      <c r="BV84" s="142"/>
      <c r="BW84" s="142"/>
      <c r="BX84" s="142"/>
      <c r="BY84" s="142"/>
      <c r="BZ84" s="142"/>
      <c r="CA84" s="142"/>
      <c r="CB84" s="142"/>
      <c r="CC84" s="142"/>
      <c r="CD84" s="142"/>
      <c r="CE84" s="142"/>
      <c r="CF84" s="142"/>
      <c r="CG84" s="142"/>
      <c r="CH84" s="142"/>
      <c r="CI84" s="142"/>
      <c r="CJ84" s="142"/>
      <c r="CK84" s="142"/>
      <c r="CL84" s="142"/>
      <c r="CM84" s="142"/>
      <c r="CN84" s="142"/>
    </row>
    <row r="85" spans="2:92" ht="15" customHeight="1" x14ac:dyDescent="0.25">
      <c r="B85" s="142" t="s">
        <v>152</v>
      </c>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c r="AY85" s="142"/>
      <c r="AZ85" s="142"/>
      <c r="BA85" s="142"/>
      <c r="BB85" s="142"/>
      <c r="BC85" s="142"/>
      <c r="BD85" s="142"/>
      <c r="BE85" s="142"/>
      <c r="BF85" s="142"/>
      <c r="BG85" s="142"/>
      <c r="BH85" s="142"/>
      <c r="BI85" s="142"/>
      <c r="BJ85" s="142"/>
      <c r="BK85" s="142"/>
      <c r="BL85" s="142"/>
      <c r="BM85" s="142"/>
      <c r="BN85" s="142"/>
      <c r="BO85" s="142"/>
      <c r="BP85" s="142"/>
      <c r="BQ85" s="142"/>
      <c r="BR85" s="142"/>
      <c r="BS85" s="142"/>
      <c r="BT85" s="142"/>
      <c r="BU85" s="142"/>
      <c r="BV85" s="142"/>
      <c r="BW85" s="142"/>
      <c r="BX85" s="142"/>
      <c r="BY85" s="142"/>
      <c r="BZ85" s="142"/>
      <c r="CA85" s="142"/>
      <c r="CB85" s="142"/>
      <c r="CC85" s="142"/>
      <c r="CD85" s="142"/>
      <c r="CE85" s="142"/>
      <c r="CF85" s="142"/>
      <c r="CG85" s="142"/>
      <c r="CH85" s="142"/>
      <c r="CI85" s="142"/>
      <c r="CJ85" s="142"/>
      <c r="CK85" s="142"/>
      <c r="CL85" s="142"/>
      <c r="CM85" s="142"/>
      <c r="CN85" s="142"/>
    </row>
    <row r="86" spans="2:92" ht="15" customHeight="1" x14ac:dyDescent="0.25">
      <c r="B86" s="142" t="s">
        <v>153</v>
      </c>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c r="AY86" s="142"/>
      <c r="AZ86" s="142"/>
      <c r="BA86" s="142"/>
      <c r="BB86" s="142"/>
      <c r="BC86" s="142"/>
      <c r="BD86" s="142"/>
      <c r="BE86" s="142"/>
      <c r="BF86" s="142"/>
      <c r="BG86" s="142"/>
      <c r="BH86" s="142"/>
      <c r="BI86" s="142"/>
      <c r="BJ86" s="142"/>
      <c r="BK86" s="142"/>
      <c r="BL86" s="142"/>
      <c r="BM86" s="142"/>
      <c r="BN86" s="142"/>
      <c r="BO86" s="142"/>
      <c r="BP86" s="142"/>
      <c r="BQ86" s="142"/>
      <c r="BR86" s="142"/>
      <c r="BS86" s="142"/>
      <c r="BT86" s="142"/>
      <c r="BU86" s="142"/>
      <c r="BV86" s="142"/>
      <c r="BW86" s="142"/>
      <c r="BX86" s="142"/>
      <c r="BY86" s="142"/>
      <c r="BZ86" s="142"/>
      <c r="CA86" s="142"/>
      <c r="CB86" s="142"/>
      <c r="CC86" s="142"/>
      <c r="CD86" s="142"/>
      <c r="CE86" s="142"/>
      <c r="CF86" s="142"/>
      <c r="CG86" s="142"/>
      <c r="CH86" s="142"/>
      <c r="CI86" s="142"/>
      <c r="CJ86" s="142"/>
      <c r="CK86" s="142"/>
      <c r="CL86" s="142"/>
      <c r="CM86" s="142"/>
      <c r="CN86" s="142"/>
    </row>
    <row r="87" spans="2:92" ht="15" customHeight="1" x14ac:dyDescent="0.25">
      <c r="B87" s="142" t="s">
        <v>101</v>
      </c>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c r="AT87" s="142"/>
      <c r="AU87" s="142"/>
      <c r="AV87" s="142"/>
      <c r="AW87" s="142"/>
      <c r="AX87" s="142"/>
      <c r="AY87" s="142"/>
      <c r="AZ87" s="142"/>
      <c r="BA87" s="142"/>
      <c r="BB87" s="142"/>
      <c r="BC87" s="142"/>
      <c r="BD87" s="142"/>
      <c r="BE87" s="142"/>
      <c r="BF87" s="142"/>
      <c r="BG87" s="142"/>
      <c r="BH87" s="142"/>
      <c r="BI87" s="142"/>
      <c r="BJ87" s="142"/>
      <c r="BK87" s="142"/>
      <c r="BL87" s="142"/>
      <c r="BM87" s="142"/>
      <c r="BN87" s="142"/>
      <c r="BO87" s="142"/>
      <c r="BP87" s="142"/>
      <c r="BQ87" s="142"/>
      <c r="BR87" s="142"/>
      <c r="BS87" s="142"/>
      <c r="BT87" s="142"/>
      <c r="BU87" s="142"/>
      <c r="BV87" s="142"/>
      <c r="BW87" s="142"/>
      <c r="BX87" s="142"/>
      <c r="BY87" s="142"/>
      <c r="BZ87" s="142"/>
      <c r="CA87" s="142"/>
      <c r="CB87" s="142"/>
      <c r="CC87" s="142"/>
      <c r="CD87" s="142"/>
      <c r="CE87" s="142"/>
      <c r="CF87" s="142"/>
      <c r="CG87" s="142"/>
      <c r="CH87" s="142"/>
      <c r="CI87" s="142"/>
      <c r="CJ87" s="142"/>
      <c r="CK87" s="142"/>
      <c r="CL87" s="142"/>
      <c r="CM87" s="142"/>
      <c r="CN87" s="142"/>
    </row>
    <row r="88" spans="2:92" ht="15" customHeight="1">
      <c r="B88" s="142" t="s">
        <v>157</v>
      </c>
    </row>
  </sheetData>
  <mergeCells count="740">
    <mergeCell ref="B83:CN83"/>
    <mergeCell ref="B84:CN84"/>
    <mergeCell ref="B85:CN85"/>
    <mergeCell ref="B86:CN86"/>
    <mergeCell ref="B87:CN87"/>
    <mergeCell ref="B88:CN88"/>
    <mergeCell ref="V81:Y81"/>
    <mergeCell ref="Z81:AH81"/>
    <mergeCell ref="AI81:AO81"/>
    <mergeCell ref="AP81:AV81"/>
    <mergeCell ref="AW81:BC81"/>
    <mergeCell ref="BD81:BL81"/>
    <mergeCell ref="BM81:BT81"/>
    <mergeCell ref="BU81:CN81"/>
    <mergeCell ref="V80:Y80"/>
    <mergeCell ref="Z80:AH80"/>
    <mergeCell ref="AI80:AO80"/>
    <mergeCell ref="AP80:AV80"/>
    <mergeCell ref="AW80:BC80"/>
    <mergeCell ref="BD80:BL80"/>
    <mergeCell ref="BM80:BT80"/>
    <mergeCell ref="BU80:CN80"/>
    <mergeCell ref="V79:Y79"/>
    <mergeCell ref="Z79:AH79"/>
    <mergeCell ref="AI79:AO79"/>
    <mergeCell ref="AP79:AV79"/>
    <mergeCell ref="AW79:BC79"/>
    <mergeCell ref="BD79:BL79"/>
    <mergeCell ref="BM79:BT79"/>
    <mergeCell ref="BU79:CN79"/>
    <mergeCell ref="V78:Y78"/>
    <mergeCell ref="Z78:AH78"/>
    <mergeCell ref="AI78:AO78"/>
    <mergeCell ref="AP78:AV78"/>
    <mergeCell ref="AW78:BC78"/>
    <mergeCell ref="BD78:BL78"/>
    <mergeCell ref="BM78:BT78"/>
    <mergeCell ref="BU78:CN78"/>
    <mergeCell ref="V77:Y77"/>
    <mergeCell ref="Z77:AH77"/>
    <mergeCell ref="AI77:AO77"/>
    <mergeCell ref="AP77:AV77"/>
    <mergeCell ref="AW77:BC77"/>
    <mergeCell ref="BD77:BL77"/>
    <mergeCell ref="BM77:BT77"/>
    <mergeCell ref="BU77:CN77"/>
    <mergeCell ref="V76:Y76"/>
    <mergeCell ref="Z76:AH76"/>
    <mergeCell ref="AI76:AO76"/>
    <mergeCell ref="AP76:AV76"/>
    <mergeCell ref="AW76:BC76"/>
    <mergeCell ref="BD76:BL76"/>
    <mergeCell ref="BM76:BT76"/>
    <mergeCell ref="BU76:CN76"/>
    <mergeCell ref="V75:Y75"/>
    <mergeCell ref="Z75:AH75"/>
    <mergeCell ref="AI75:AO75"/>
    <mergeCell ref="AP75:AV75"/>
    <mergeCell ref="AW75:BC75"/>
    <mergeCell ref="BD75:BL75"/>
    <mergeCell ref="BM75:BT75"/>
    <mergeCell ref="BU75:CN75"/>
    <mergeCell ref="V74:Y74"/>
    <mergeCell ref="Z74:AH74"/>
    <mergeCell ref="AI74:AO74"/>
    <mergeCell ref="AP74:AV74"/>
    <mergeCell ref="AW74:BC74"/>
    <mergeCell ref="BD74:BL74"/>
    <mergeCell ref="BM74:BT74"/>
    <mergeCell ref="BU74:CN74"/>
    <mergeCell ref="V73:Y73"/>
    <mergeCell ref="Z73:AH73"/>
    <mergeCell ref="AI73:AO73"/>
    <mergeCell ref="AP73:AV73"/>
    <mergeCell ref="AW73:BC73"/>
    <mergeCell ref="BD73:BL73"/>
    <mergeCell ref="BM73:BT73"/>
    <mergeCell ref="BU73:CN73"/>
    <mergeCell ref="V72:Y72"/>
    <mergeCell ref="Z72:AH72"/>
    <mergeCell ref="AI72:AO72"/>
    <mergeCell ref="AP72:AV72"/>
    <mergeCell ref="AW72:BC72"/>
    <mergeCell ref="BD72:BL72"/>
    <mergeCell ref="BM72:BT72"/>
    <mergeCell ref="BU72:CN72"/>
    <mergeCell ref="V71:Y71"/>
    <mergeCell ref="Z71:AH71"/>
    <mergeCell ref="AI71:AO71"/>
    <mergeCell ref="AP71:AV71"/>
    <mergeCell ref="AW71:BC71"/>
    <mergeCell ref="BD71:BL71"/>
    <mergeCell ref="BM71:BT71"/>
    <mergeCell ref="BU71:CN71"/>
    <mergeCell ref="V70:Y70"/>
    <mergeCell ref="Z70:AH70"/>
    <mergeCell ref="AI70:AO70"/>
    <mergeCell ref="AP70:AV70"/>
    <mergeCell ref="AW70:BC70"/>
    <mergeCell ref="BD70:BL70"/>
    <mergeCell ref="BM70:BT70"/>
    <mergeCell ref="BU70:CN70"/>
    <mergeCell ref="V69:Y69"/>
    <mergeCell ref="Z69:AH69"/>
    <mergeCell ref="AI69:AO69"/>
    <mergeCell ref="AP69:AV69"/>
    <mergeCell ref="AW69:BC69"/>
    <mergeCell ref="BD69:BL69"/>
    <mergeCell ref="BM69:BT69"/>
    <mergeCell ref="BU69:CN69"/>
    <mergeCell ref="V68:Y68"/>
    <mergeCell ref="Z68:AH68"/>
    <mergeCell ref="AI68:AO68"/>
    <mergeCell ref="AP68:AV68"/>
    <mergeCell ref="AW68:BC68"/>
    <mergeCell ref="BD68:BL68"/>
    <mergeCell ref="BM68:BT68"/>
    <mergeCell ref="BU68:CN68"/>
    <mergeCell ref="V67:Y67"/>
    <mergeCell ref="Z67:AH67"/>
    <mergeCell ref="AI67:AO67"/>
    <mergeCell ref="AP67:AV67"/>
    <mergeCell ref="AW67:BC67"/>
    <mergeCell ref="BD67:BL67"/>
    <mergeCell ref="BM67:BT67"/>
    <mergeCell ref="BU67:CN67"/>
    <mergeCell ref="V66:Y66"/>
    <mergeCell ref="Z66:AH66"/>
    <mergeCell ref="AI66:AO66"/>
    <mergeCell ref="AP66:AV66"/>
    <mergeCell ref="AW66:BC66"/>
    <mergeCell ref="BD66:BL66"/>
    <mergeCell ref="BM66:BT66"/>
    <mergeCell ref="BU66:CN66"/>
    <mergeCell ref="V65:Y65"/>
    <mergeCell ref="Z65:AH65"/>
    <mergeCell ref="AI65:AO65"/>
    <mergeCell ref="AP65:AV65"/>
    <mergeCell ref="AW65:BC65"/>
    <mergeCell ref="BD65:BL65"/>
    <mergeCell ref="BM65:BT65"/>
    <mergeCell ref="BU65:CN65"/>
    <mergeCell ref="V64:Y64"/>
    <mergeCell ref="Z64:AH64"/>
    <mergeCell ref="AI64:AO64"/>
    <mergeCell ref="AP64:AV64"/>
    <mergeCell ref="AW64:BC64"/>
    <mergeCell ref="BD64:BL64"/>
    <mergeCell ref="BM64:BT64"/>
    <mergeCell ref="BU64:CN64"/>
    <mergeCell ref="V63:Y63"/>
    <mergeCell ref="Z63:AH63"/>
    <mergeCell ref="AI63:AO63"/>
    <mergeCell ref="AP63:AV63"/>
    <mergeCell ref="AW63:BC63"/>
    <mergeCell ref="BD63:BL63"/>
    <mergeCell ref="BM63:BT63"/>
    <mergeCell ref="BU63:CN63"/>
    <mergeCell ref="V62:Y62"/>
    <mergeCell ref="Z62:AH62"/>
    <mergeCell ref="AI62:AO62"/>
    <mergeCell ref="AP62:AV62"/>
    <mergeCell ref="AW62:BC62"/>
    <mergeCell ref="BD62:BL62"/>
    <mergeCell ref="BM62:BT62"/>
    <mergeCell ref="BU62:CN62"/>
    <mergeCell ref="BS57:CN57"/>
    <mergeCell ref="B60:AJ60"/>
    <mergeCell ref="AK60:CN60"/>
    <mergeCell ref="V61:Y61"/>
    <mergeCell ref="Z61:AH61"/>
    <mergeCell ref="AI61:AO61"/>
    <mergeCell ref="AP61:AV61"/>
    <mergeCell ref="AW61:BC61"/>
    <mergeCell ref="BD61:BL61"/>
    <mergeCell ref="BM61:BT61"/>
    <mergeCell ref="BU61:CN61"/>
    <mergeCell ref="BT53:BV53"/>
    <mergeCell ref="BW53:BY53"/>
    <mergeCell ref="BZ53:CB53"/>
    <mergeCell ref="CC53:CE53"/>
    <mergeCell ref="CF53:CH53"/>
    <mergeCell ref="CI53:CK53"/>
    <mergeCell ref="CL53:CN53"/>
    <mergeCell ref="BT55:BV55"/>
    <mergeCell ref="BW55:BY55"/>
    <mergeCell ref="BZ55:CB55"/>
    <mergeCell ref="CC55:CE55"/>
    <mergeCell ref="CF55:CH55"/>
    <mergeCell ref="CI55:CK55"/>
    <mergeCell ref="CL55:CN55"/>
    <mergeCell ref="BW49:BY49"/>
    <mergeCell ref="BZ49:CB49"/>
    <mergeCell ref="CC49:CE49"/>
    <mergeCell ref="CF49:CH49"/>
    <mergeCell ref="CI49:CK49"/>
    <mergeCell ref="CL49:CN49"/>
    <mergeCell ref="BT51:BV51"/>
    <mergeCell ref="BW51:BY51"/>
    <mergeCell ref="BZ51:CB51"/>
    <mergeCell ref="CC51:CE51"/>
    <mergeCell ref="CF51:CH51"/>
    <mergeCell ref="CI51:CK51"/>
    <mergeCell ref="CL51:CN51"/>
    <mergeCell ref="AV57:BQ57"/>
    <mergeCell ref="BS43:CN43"/>
    <mergeCell ref="BT45:BV45"/>
    <mergeCell ref="BW45:BY45"/>
    <mergeCell ref="BZ45:CB45"/>
    <mergeCell ref="CC45:CE45"/>
    <mergeCell ref="CF45:CH45"/>
    <mergeCell ref="CI45:CK45"/>
    <mergeCell ref="CL45:CN45"/>
    <mergeCell ref="BT47:BV47"/>
    <mergeCell ref="BW47:BY47"/>
    <mergeCell ref="BZ47:CB47"/>
    <mergeCell ref="CC47:CE47"/>
    <mergeCell ref="CF47:CH47"/>
    <mergeCell ref="CI47:CK47"/>
    <mergeCell ref="CL47:CN47"/>
    <mergeCell ref="BT49:BV49"/>
    <mergeCell ref="AW53:AY53"/>
    <mergeCell ref="AZ53:BB53"/>
    <mergeCell ref="BC53:BE53"/>
    <mergeCell ref="BF53:BH53"/>
    <mergeCell ref="BI53:BK53"/>
    <mergeCell ref="BL53:BN53"/>
    <mergeCell ref="BO53:BQ53"/>
    <mergeCell ref="AW55:AY55"/>
    <mergeCell ref="AZ55:BB55"/>
    <mergeCell ref="BC55:BE55"/>
    <mergeCell ref="BF55:BH55"/>
    <mergeCell ref="BI55:BK55"/>
    <mergeCell ref="BL55:BN55"/>
    <mergeCell ref="BO55:BQ55"/>
    <mergeCell ref="AZ49:BB49"/>
    <mergeCell ref="BC49:BE49"/>
    <mergeCell ref="BF49:BH49"/>
    <mergeCell ref="BI49:BK49"/>
    <mergeCell ref="BL49:BN49"/>
    <mergeCell ref="BO49:BQ49"/>
    <mergeCell ref="AW51:AY51"/>
    <mergeCell ref="AZ51:BB51"/>
    <mergeCell ref="BC51:BE51"/>
    <mergeCell ref="BF51:BH51"/>
    <mergeCell ref="BI51:BK51"/>
    <mergeCell ref="BL51:BN51"/>
    <mergeCell ref="BO51:BQ51"/>
    <mergeCell ref="Y57:AT57"/>
    <mergeCell ref="AV43:BQ43"/>
    <mergeCell ref="AW45:AY45"/>
    <mergeCell ref="AZ45:BB45"/>
    <mergeCell ref="BC45:BE45"/>
    <mergeCell ref="BF45:BH45"/>
    <mergeCell ref="BI45:BK45"/>
    <mergeCell ref="BL45:BN45"/>
    <mergeCell ref="BO45:BQ45"/>
    <mergeCell ref="AW47:AY47"/>
    <mergeCell ref="AZ47:BB47"/>
    <mergeCell ref="BC47:BE47"/>
    <mergeCell ref="BF47:BH47"/>
    <mergeCell ref="BI47:BK47"/>
    <mergeCell ref="BL47:BN47"/>
    <mergeCell ref="BO47:BQ47"/>
    <mergeCell ref="AW49:AY49"/>
    <mergeCell ref="Z53:AB53"/>
    <mergeCell ref="AC53:AE53"/>
    <mergeCell ref="AF53:AH53"/>
    <mergeCell ref="AI53:AK53"/>
    <mergeCell ref="AL53:AN53"/>
    <mergeCell ref="AO53:AQ53"/>
    <mergeCell ref="AR53:AT53"/>
    <mergeCell ref="Z55:AB55"/>
    <mergeCell ref="AC55:AE55"/>
    <mergeCell ref="AF55:AH55"/>
    <mergeCell ref="AI55:AK55"/>
    <mergeCell ref="AL55:AN55"/>
    <mergeCell ref="AO55:AQ55"/>
    <mergeCell ref="AR55:AT55"/>
    <mergeCell ref="AC49:AE49"/>
    <mergeCell ref="AF49:AH49"/>
    <mergeCell ref="AI49:AK49"/>
    <mergeCell ref="AL49:AN49"/>
    <mergeCell ref="AO49:AQ49"/>
    <mergeCell ref="AR49:AT49"/>
    <mergeCell ref="Z51:AB51"/>
    <mergeCell ref="AC51:AE51"/>
    <mergeCell ref="AF51:AH51"/>
    <mergeCell ref="AI51:AK51"/>
    <mergeCell ref="AL51:AN51"/>
    <mergeCell ref="AO51:AQ51"/>
    <mergeCell ref="AR51:AT51"/>
    <mergeCell ref="B57:W57"/>
    <mergeCell ref="Y43:AT43"/>
    <mergeCell ref="Z45:AB45"/>
    <mergeCell ref="AC45:AE45"/>
    <mergeCell ref="AF45:AH45"/>
    <mergeCell ref="AI45:AK45"/>
    <mergeCell ref="AL45:AN45"/>
    <mergeCell ref="AO45:AQ45"/>
    <mergeCell ref="AR45:AT45"/>
    <mergeCell ref="Z47:AB47"/>
    <mergeCell ref="AC47:AE47"/>
    <mergeCell ref="AF47:AH47"/>
    <mergeCell ref="AI47:AK47"/>
    <mergeCell ref="AL47:AN47"/>
    <mergeCell ref="AO47:AQ47"/>
    <mergeCell ref="AR47:AT47"/>
    <mergeCell ref="Z49:AB49"/>
    <mergeCell ref="C53:E53"/>
    <mergeCell ref="F53:H53"/>
    <mergeCell ref="I53:K53"/>
    <mergeCell ref="L53:N53"/>
    <mergeCell ref="O53:Q53"/>
    <mergeCell ref="R53:T53"/>
    <mergeCell ref="U53:W53"/>
    <mergeCell ref="C55:E55"/>
    <mergeCell ref="F55:H55"/>
    <mergeCell ref="I55:K55"/>
    <mergeCell ref="L55:N55"/>
    <mergeCell ref="O55:Q55"/>
    <mergeCell ref="R55:T55"/>
    <mergeCell ref="U55:W55"/>
    <mergeCell ref="C49:E49"/>
    <mergeCell ref="F49:H49"/>
    <mergeCell ref="I49:K49"/>
    <mergeCell ref="L49:N49"/>
    <mergeCell ref="O49:Q49"/>
    <mergeCell ref="R49:T49"/>
    <mergeCell ref="U49:W49"/>
    <mergeCell ref="C51:E51"/>
    <mergeCell ref="F51:H51"/>
    <mergeCell ref="I51:K51"/>
    <mergeCell ref="L51:N51"/>
    <mergeCell ref="O51:Q51"/>
    <mergeCell ref="R51:T51"/>
    <mergeCell ref="U51:W51"/>
    <mergeCell ref="C45:E45"/>
    <mergeCell ref="F45:H45"/>
    <mergeCell ref="I45:K45"/>
    <mergeCell ref="L45:N45"/>
    <mergeCell ref="O45:Q45"/>
    <mergeCell ref="R45:T45"/>
    <mergeCell ref="U45:W45"/>
    <mergeCell ref="C47:E47"/>
    <mergeCell ref="F47:H47"/>
    <mergeCell ref="I47:K47"/>
    <mergeCell ref="L47:N47"/>
    <mergeCell ref="O47:Q47"/>
    <mergeCell ref="R47:T47"/>
    <mergeCell ref="U47:W47"/>
    <mergeCell ref="BS41:CN41"/>
    <mergeCell ref="B43:W43"/>
    <mergeCell ref="BT37:BV37"/>
    <mergeCell ref="BW37:BY37"/>
    <mergeCell ref="BZ37:CB37"/>
    <mergeCell ref="CC37:CE37"/>
    <mergeCell ref="CF37:CH37"/>
    <mergeCell ref="CI37:CK37"/>
    <mergeCell ref="CL37:CN37"/>
    <mergeCell ref="BT39:BV39"/>
    <mergeCell ref="BW39:BY39"/>
    <mergeCell ref="BZ39:CB39"/>
    <mergeCell ref="CC39:CE39"/>
    <mergeCell ref="CF39:CH39"/>
    <mergeCell ref="CI39:CK39"/>
    <mergeCell ref="CL39:CN39"/>
    <mergeCell ref="BW33:BY33"/>
    <mergeCell ref="BZ33:CB33"/>
    <mergeCell ref="CC33:CE33"/>
    <mergeCell ref="CF33:CH33"/>
    <mergeCell ref="CI33:CK33"/>
    <mergeCell ref="CL33:CN33"/>
    <mergeCell ref="BT35:BV35"/>
    <mergeCell ref="BW35:BY35"/>
    <mergeCell ref="BZ35:CB35"/>
    <mergeCell ref="CC35:CE35"/>
    <mergeCell ref="CF35:CH35"/>
    <mergeCell ref="CI35:CK35"/>
    <mergeCell ref="CL35:CN35"/>
    <mergeCell ref="AV41:BQ41"/>
    <mergeCell ref="BS27:CN27"/>
    <mergeCell ref="BT29:BV29"/>
    <mergeCell ref="BW29:BY29"/>
    <mergeCell ref="BZ29:CB29"/>
    <mergeCell ref="CC29:CE29"/>
    <mergeCell ref="CF29:CH29"/>
    <mergeCell ref="CI29:CK29"/>
    <mergeCell ref="CL29:CN29"/>
    <mergeCell ref="BT31:BV31"/>
    <mergeCell ref="BW31:BY31"/>
    <mergeCell ref="BZ31:CB31"/>
    <mergeCell ref="CC31:CE31"/>
    <mergeCell ref="CF31:CH31"/>
    <mergeCell ref="CI31:CK31"/>
    <mergeCell ref="CL31:CN31"/>
    <mergeCell ref="BT33:BV33"/>
    <mergeCell ref="AW37:AY37"/>
    <mergeCell ref="AZ37:BB37"/>
    <mergeCell ref="BC37:BE37"/>
    <mergeCell ref="BF37:BH37"/>
    <mergeCell ref="BI37:BK37"/>
    <mergeCell ref="BL37:BN37"/>
    <mergeCell ref="BO37:BQ37"/>
    <mergeCell ref="AW39:AY39"/>
    <mergeCell ref="AZ39:BB39"/>
    <mergeCell ref="BC39:BE39"/>
    <mergeCell ref="BF39:BH39"/>
    <mergeCell ref="BI39:BK39"/>
    <mergeCell ref="BL39:BN39"/>
    <mergeCell ref="BO39:BQ39"/>
    <mergeCell ref="AZ33:BB33"/>
    <mergeCell ref="BC33:BE33"/>
    <mergeCell ref="BF33:BH33"/>
    <mergeCell ref="BI33:BK33"/>
    <mergeCell ref="BL33:BN33"/>
    <mergeCell ref="BO33:BQ33"/>
    <mergeCell ref="AW35:AY35"/>
    <mergeCell ref="AZ35:BB35"/>
    <mergeCell ref="BC35:BE35"/>
    <mergeCell ref="BF35:BH35"/>
    <mergeCell ref="BI35:BK35"/>
    <mergeCell ref="BL35:BN35"/>
    <mergeCell ref="BO35:BQ35"/>
    <mergeCell ref="Y41:AT41"/>
    <mergeCell ref="AV27:BQ27"/>
    <mergeCell ref="AW29:AY29"/>
    <mergeCell ref="AZ29:BB29"/>
    <mergeCell ref="BC29:BE29"/>
    <mergeCell ref="BF29:BH29"/>
    <mergeCell ref="BI29:BK29"/>
    <mergeCell ref="BL29:BN29"/>
    <mergeCell ref="BO29:BQ29"/>
    <mergeCell ref="AW31:AY31"/>
    <mergeCell ref="AZ31:BB31"/>
    <mergeCell ref="BC31:BE31"/>
    <mergeCell ref="BF31:BH31"/>
    <mergeCell ref="BI31:BK31"/>
    <mergeCell ref="BL31:BN31"/>
    <mergeCell ref="BO31:BQ31"/>
    <mergeCell ref="AW33:AY33"/>
    <mergeCell ref="Z37:AB37"/>
    <mergeCell ref="AC37:AE37"/>
    <mergeCell ref="AF37:AH37"/>
    <mergeCell ref="AI37:AK37"/>
    <mergeCell ref="AL37:AN37"/>
    <mergeCell ref="AO37:AQ37"/>
    <mergeCell ref="AR37:AT37"/>
    <mergeCell ref="Z39:AB39"/>
    <mergeCell ref="AC39:AE39"/>
    <mergeCell ref="AF39:AH39"/>
    <mergeCell ref="AI39:AK39"/>
    <mergeCell ref="AL39:AN39"/>
    <mergeCell ref="AO39:AQ39"/>
    <mergeCell ref="AR39:AT39"/>
    <mergeCell ref="AC33:AE33"/>
    <mergeCell ref="AF33:AH33"/>
    <mergeCell ref="AI33:AK33"/>
    <mergeCell ref="AL33:AN33"/>
    <mergeCell ref="AO33:AQ33"/>
    <mergeCell ref="AR33:AT33"/>
    <mergeCell ref="Z35:AB35"/>
    <mergeCell ref="AC35:AE35"/>
    <mergeCell ref="AF35:AH35"/>
    <mergeCell ref="AI35:AK35"/>
    <mergeCell ref="AL35:AN35"/>
    <mergeCell ref="AO35:AQ35"/>
    <mergeCell ref="AR35:AT35"/>
    <mergeCell ref="B41:W41"/>
    <mergeCell ref="Y27:AT27"/>
    <mergeCell ref="Z29:AB29"/>
    <mergeCell ref="AC29:AE29"/>
    <mergeCell ref="AF29:AH29"/>
    <mergeCell ref="AI29:AK29"/>
    <mergeCell ref="AL29:AN29"/>
    <mergeCell ref="AO29:AQ29"/>
    <mergeCell ref="AR29:AT29"/>
    <mergeCell ref="Z31:AB31"/>
    <mergeCell ref="AC31:AE31"/>
    <mergeCell ref="AF31:AH31"/>
    <mergeCell ref="AI31:AK31"/>
    <mergeCell ref="AL31:AN31"/>
    <mergeCell ref="AO31:AQ31"/>
    <mergeCell ref="AR31:AT31"/>
    <mergeCell ref="Z33:AB33"/>
    <mergeCell ref="C37:E37"/>
    <mergeCell ref="F37:H37"/>
    <mergeCell ref="I37:K37"/>
    <mergeCell ref="L37:N37"/>
    <mergeCell ref="O37:Q37"/>
    <mergeCell ref="R37:T37"/>
    <mergeCell ref="U37:W37"/>
    <mergeCell ref="C39:E39"/>
    <mergeCell ref="F39:H39"/>
    <mergeCell ref="I39:K39"/>
    <mergeCell ref="L39:N39"/>
    <mergeCell ref="O39:Q39"/>
    <mergeCell ref="R39:T39"/>
    <mergeCell ref="U39:W39"/>
    <mergeCell ref="C33:E33"/>
    <mergeCell ref="F33:H33"/>
    <mergeCell ref="I33:K33"/>
    <mergeCell ref="L33:N33"/>
    <mergeCell ref="O33:Q33"/>
    <mergeCell ref="R33:T33"/>
    <mergeCell ref="U33:W33"/>
    <mergeCell ref="C35:E35"/>
    <mergeCell ref="F35:H35"/>
    <mergeCell ref="I35:K35"/>
    <mergeCell ref="L35:N35"/>
    <mergeCell ref="O35:Q35"/>
    <mergeCell ref="R35:T35"/>
    <mergeCell ref="U35:W35"/>
    <mergeCell ref="C29:E29"/>
    <mergeCell ref="F29:H29"/>
    <mergeCell ref="I29:K29"/>
    <mergeCell ref="L29:N29"/>
    <mergeCell ref="O29:Q29"/>
    <mergeCell ref="R29:T29"/>
    <mergeCell ref="U29:W29"/>
    <mergeCell ref="C31:E31"/>
    <mergeCell ref="F31:H31"/>
    <mergeCell ref="I31:K31"/>
    <mergeCell ref="L31:N31"/>
    <mergeCell ref="O31:Q31"/>
    <mergeCell ref="R31:T31"/>
    <mergeCell ref="U31:W31"/>
    <mergeCell ref="BS25:CN25"/>
    <mergeCell ref="B27:W27"/>
    <mergeCell ref="BT21:BV21"/>
    <mergeCell ref="BW21:BY21"/>
    <mergeCell ref="BZ21:CB21"/>
    <mergeCell ref="CC21:CE21"/>
    <mergeCell ref="CF21:CH21"/>
    <mergeCell ref="CI21:CK21"/>
    <mergeCell ref="CL21:CN21"/>
    <mergeCell ref="BT23:BV23"/>
    <mergeCell ref="BW23:BY23"/>
    <mergeCell ref="BZ23:CB23"/>
    <mergeCell ref="CC23:CE23"/>
    <mergeCell ref="CF23:CH23"/>
    <mergeCell ref="CI23:CK23"/>
    <mergeCell ref="CL23:CN23"/>
    <mergeCell ref="BW17:BY17"/>
    <mergeCell ref="BZ17:CB17"/>
    <mergeCell ref="CC17:CE17"/>
    <mergeCell ref="CF17:CH17"/>
    <mergeCell ref="CI17:CK17"/>
    <mergeCell ref="CL17:CN17"/>
    <mergeCell ref="BT19:BV19"/>
    <mergeCell ref="BW19:BY19"/>
    <mergeCell ref="BZ19:CB19"/>
    <mergeCell ref="CC19:CE19"/>
    <mergeCell ref="CF19:CH19"/>
    <mergeCell ref="CI19:CK19"/>
    <mergeCell ref="CL19:CN19"/>
    <mergeCell ref="AV25:BQ25"/>
    <mergeCell ref="BS11:CN11"/>
    <mergeCell ref="BT13:BV13"/>
    <mergeCell ref="BW13:BY13"/>
    <mergeCell ref="BZ13:CB13"/>
    <mergeCell ref="CC13:CE13"/>
    <mergeCell ref="CF13:CH13"/>
    <mergeCell ref="CI13:CK13"/>
    <mergeCell ref="CL13:CN13"/>
    <mergeCell ref="BT15:BV15"/>
    <mergeCell ref="BW15:BY15"/>
    <mergeCell ref="BZ15:CB15"/>
    <mergeCell ref="CC15:CE15"/>
    <mergeCell ref="CF15:CH15"/>
    <mergeCell ref="CI15:CK15"/>
    <mergeCell ref="CL15:CN15"/>
    <mergeCell ref="BT17:BV17"/>
    <mergeCell ref="AW21:AY21"/>
    <mergeCell ref="AZ21:BB21"/>
    <mergeCell ref="BC21:BE21"/>
    <mergeCell ref="BF21:BH21"/>
    <mergeCell ref="BI21:BK21"/>
    <mergeCell ref="BL21:BN21"/>
    <mergeCell ref="BO21:BQ21"/>
    <mergeCell ref="AW23:AY23"/>
    <mergeCell ref="AZ23:BB23"/>
    <mergeCell ref="BC23:BE23"/>
    <mergeCell ref="BF23:BH23"/>
    <mergeCell ref="BI23:BK23"/>
    <mergeCell ref="BL23:BN23"/>
    <mergeCell ref="BO23:BQ23"/>
    <mergeCell ref="AZ17:BB17"/>
    <mergeCell ref="BC17:BE17"/>
    <mergeCell ref="BF17:BH17"/>
    <mergeCell ref="BI17:BK17"/>
    <mergeCell ref="BL17:BN17"/>
    <mergeCell ref="BO17:BQ17"/>
    <mergeCell ref="AW19:AY19"/>
    <mergeCell ref="AZ19:BB19"/>
    <mergeCell ref="BC19:BE19"/>
    <mergeCell ref="BF19:BH19"/>
    <mergeCell ref="BI19:BK19"/>
    <mergeCell ref="BL19:BN19"/>
    <mergeCell ref="BO19:BQ19"/>
    <mergeCell ref="Y25:AT25"/>
    <mergeCell ref="AV11:BQ11"/>
    <mergeCell ref="AW13:AY13"/>
    <mergeCell ref="AZ13:BB13"/>
    <mergeCell ref="BC13:BE13"/>
    <mergeCell ref="BF13:BH13"/>
    <mergeCell ref="BI13:BK13"/>
    <mergeCell ref="BL13:BN13"/>
    <mergeCell ref="BO13:BQ13"/>
    <mergeCell ref="AW15:AY15"/>
    <mergeCell ref="AZ15:BB15"/>
    <mergeCell ref="BC15:BE15"/>
    <mergeCell ref="BF15:BH15"/>
    <mergeCell ref="BI15:BK15"/>
    <mergeCell ref="BL15:BN15"/>
    <mergeCell ref="BO15:BQ15"/>
    <mergeCell ref="AW17:AY17"/>
    <mergeCell ref="Z21:AB21"/>
    <mergeCell ref="AC21:AE21"/>
    <mergeCell ref="AF21:AH21"/>
    <mergeCell ref="AI21:AK21"/>
    <mergeCell ref="AL21:AN21"/>
    <mergeCell ref="AO21:AQ21"/>
    <mergeCell ref="AR21:AT21"/>
    <mergeCell ref="Z23:AB23"/>
    <mergeCell ref="AC23:AE23"/>
    <mergeCell ref="AF23:AH23"/>
    <mergeCell ref="AI23:AK23"/>
    <mergeCell ref="AL23:AN23"/>
    <mergeCell ref="AO23:AQ23"/>
    <mergeCell ref="AR23:AT23"/>
    <mergeCell ref="AC17:AE17"/>
    <mergeCell ref="AF17:AH17"/>
    <mergeCell ref="AI17:AK17"/>
    <mergeCell ref="AL17:AN17"/>
    <mergeCell ref="AO17:AQ17"/>
    <mergeCell ref="AR17:AT17"/>
    <mergeCell ref="Z19:AB19"/>
    <mergeCell ref="AC19:AE19"/>
    <mergeCell ref="AF19:AH19"/>
    <mergeCell ref="AI19:AK19"/>
    <mergeCell ref="AL19:AN19"/>
    <mergeCell ref="AO19:AQ19"/>
    <mergeCell ref="AR19:AT19"/>
    <mergeCell ref="B25:W25"/>
    <mergeCell ref="Y11:AT11"/>
    <mergeCell ref="Z13:AB13"/>
    <mergeCell ref="AC13:AE13"/>
    <mergeCell ref="AF13:AH13"/>
    <mergeCell ref="AI13:AK13"/>
    <mergeCell ref="AL13:AN13"/>
    <mergeCell ref="AO13:AQ13"/>
    <mergeCell ref="AR13:AT13"/>
    <mergeCell ref="Z15:AB15"/>
    <mergeCell ref="AC15:AE15"/>
    <mergeCell ref="AF15:AH15"/>
    <mergeCell ref="AI15:AK15"/>
    <mergeCell ref="AL15:AN15"/>
    <mergeCell ref="AO15:AQ15"/>
    <mergeCell ref="AR15:AT15"/>
    <mergeCell ref="Z17:AB17"/>
    <mergeCell ref="C21:E21"/>
    <mergeCell ref="F21:H21"/>
    <mergeCell ref="I21:K21"/>
    <mergeCell ref="L21:N21"/>
    <mergeCell ref="O21:Q21"/>
    <mergeCell ref="R21:T21"/>
    <mergeCell ref="U21:W21"/>
    <mergeCell ref="C23:E23"/>
    <mergeCell ref="F23:H23"/>
    <mergeCell ref="I23:K23"/>
    <mergeCell ref="L23:N23"/>
    <mergeCell ref="O23:Q23"/>
    <mergeCell ref="R23:T23"/>
    <mergeCell ref="U23:W23"/>
    <mergeCell ref="C17:E17"/>
    <mergeCell ref="F17:H17"/>
    <mergeCell ref="I17:K17"/>
    <mergeCell ref="L17:N17"/>
    <mergeCell ref="O17:Q17"/>
    <mergeCell ref="R17:T17"/>
    <mergeCell ref="U17:W17"/>
    <mergeCell ref="C19:E19"/>
    <mergeCell ref="F19:H19"/>
    <mergeCell ref="I19:K19"/>
    <mergeCell ref="L19:N19"/>
    <mergeCell ref="O19:Q19"/>
    <mergeCell ref="R19:T19"/>
    <mergeCell ref="U19:W19"/>
    <mergeCell ref="C13:E13"/>
    <mergeCell ref="F13:H13"/>
    <mergeCell ref="I13:K13"/>
    <mergeCell ref="L13:N13"/>
    <mergeCell ref="O13:Q13"/>
    <mergeCell ref="R13:T13"/>
    <mergeCell ref="U13:W13"/>
    <mergeCell ref="C15:E15"/>
    <mergeCell ref="F15:H15"/>
    <mergeCell ref="I15:K15"/>
    <mergeCell ref="L15:N15"/>
    <mergeCell ref="O15:Q15"/>
    <mergeCell ref="R15:T15"/>
    <mergeCell ref="U15:W15"/>
    <mergeCell ref="B9:CN9"/>
    <mergeCell ref="B11:W11"/>
    <mergeCell ref="Q2:CN2"/>
    <mergeCell ref="B4:V4"/>
    <mergeCell ref="W4:AA4"/>
    <mergeCell ref="B7:AC7"/>
    <mergeCell ref="AE4:BQ4"/>
    <mergeCell ref="AE5:BQ5"/>
    <mergeCell ref="AE6:BQ6"/>
    <mergeCell ref="BV4:CN4"/>
    <mergeCell ref="BV5:CN5"/>
    <mergeCell ref="BV6:CN6"/>
    <mergeCell ref="BT7:BU7"/>
    <mergeCell ref="BV7:CB7"/>
    <mergeCell ref="CD7:CE7"/>
    <mergeCell ref="CF7:CN7"/>
    <mergeCell ref="B61:R61"/>
    <mergeCell ref="B62:R62"/>
    <mergeCell ref="B63:R63"/>
    <mergeCell ref="B64:R64"/>
    <mergeCell ref="B65:R65"/>
    <mergeCell ref="B66:R66"/>
    <mergeCell ref="B67:R67"/>
    <mergeCell ref="B68:R68"/>
    <mergeCell ref="B69:R69"/>
    <mergeCell ref="B70:R70"/>
    <mergeCell ref="B71:R71"/>
    <mergeCell ref="B72:R72"/>
    <mergeCell ref="B73:R73"/>
    <mergeCell ref="B74:R74"/>
    <mergeCell ref="B75:R75"/>
    <mergeCell ref="B76:R76"/>
    <mergeCell ref="B77:R77"/>
    <mergeCell ref="B78:R78"/>
    <mergeCell ref="B79:R79"/>
    <mergeCell ref="B80:R80"/>
    <mergeCell ref="B81:R81"/>
  </mergeCells>
  <conditionalFormatting sqref="C13 F13 I13 L13 O13 R13 U13 C15 F15 I15 L15 O15 R15 U15 C17 F17 I17 L17 O17 R17 U17 C19 F19 I19 L19 O19 R19 U19 C21 F21 I21 L21 O21 R21 U21 C23 F23 I23 L23 O23 R23 U23">
    <cfRule type="expression" dxfId="136" priority="1">
      <formula>AND(ISNUMBER(C13),DATE(Planungsjahr,1,C13)=TODAY())</formula>
    </cfRule>
  </conditionalFormatting>
  <conditionalFormatting sqref="C12 F12 I12 L12 O12 R12 U12 C14 F14 I14 L14 O14 R14 U14 C16 F16 I16 L16 O16 R16 U16 C18 F18 I18 L18 O18 R18 U18 C20 F20 I20 L20 O20 R20 U20 C22 F22 I22 L22 O22 R22 U22">
    <cfRule type="expression" dxfId="137" priority="2">
      <formula>AND(ISNUMBER(C13),DATE(Planungsjahr,1,C13)=TODAY())</formula>
    </cfRule>
  </conditionalFormatting>
  <conditionalFormatting sqref="D12 G12 J12 M12 P12 S12 V12 D14 G14 J14 M14 P14 S14 V14 D16 G16 J16 M16 P16 S16 V16 D18 G18 J18 M18 P18 S18 V18 D20 G20 J20 M20 P20 S20 V20 D22 G22 J22 M22 P22 S22 V22">
    <cfRule type="expression" dxfId="137" priority="3">
      <formula>AND(ISNUMBER(C13),DATE(Planungsjahr,1,C13)=TODAY())</formula>
    </cfRule>
  </conditionalFormatting>
  <conditionalFormatting sqref="E12 H12 K12 N12 Q12 T12 W12 E14 H14 K14 N14 Q14 T14 W14 E16 H16 K16 N16 Q16 T16 W16 E18 H18 K18 N18 Q18 T18 W18 E20 H20 K20 N20 Q20 T20 W20 E22 H22 K22 N22 Q22 T22 W22">
    <cfRule type="expression" dxfId="137" priority="4">
      <formula>AND(ISNUMBER(C13),DATE(Planungsjahr,1,C13)=TODAY())</formula>
    </cfRule>
  </conditionalFormatting>
  <conditionalFormatting sqref="F13 I13 L13 O13 R13 U13 X13 F15 I15 L15 O15 R15 U15 X15 F17 I17 L17 O17 R17 U17 X17 F19 I19 L19 O19 R19 U19 X19 F21 I21 L21 O21 R21 U21 X21 F23 I23 L23 O23 R23 U23 X23">
    <cfRule type="expression" dxfId="138" priority="5">
      <formula>AND(ISNUMBER(C13),DATE(Planungsjahr,1,C13)=TODAY())</formula>
    </cfRule>
  </conditionalFormatting>
  <conditionalFormatting sqref="C14 F14 I14 L14 O14 R14 U14 C16 F16 I16 L16 O16 R16 U16 C18 F18 I18 L18 O18 R18 U18 C20 F20 I20 L20 O20 R20 U20 C22 F22 I22 L22 O22 R22 U22 C24 F24 I24 L24 O24 R24 U24">
    <cfRule type="expression" dxfId="139" priority="6">
      <formula>AND(ISNUMBER(C13),DATE(Planungsjahr,1,C13)=TODAY())</formula>
    </cfRule>
  </conditionalFormatting>
  <conditionalFormatting sqref="D14 G14 J14 M14 P14 S14 V14 D16 G16 J16 M16 P16 S16 V16 D18 G18 J18 M18 P18 S18 V18 D20 G20 J20 M20 P20 S20 V20 D22 G22 J22 M22 P22 S22 V22 D24 G24 J24 M24 P24 S24 V24">
    <cfRule type="expression" dxfId="140" priority="7">
      <formula>AND(ISNUMBER(C13),DATE(Planungsjahr,1,C13)=TODAY())</formula>
    </cfRule>
  </conditionalFormatting>
  <conditionalFormatting sqref="E14 H14 K14 N14 Q14 T14 W14 E16 H16 K16 N16 Q16 T16 W16 E18 H18 K18 N18 Q18 T18 W18 E20 H20 K20 N20 Q20 T20 W20 E22 H22 K22 N22 Q22 T22 W22 E24 H24 K24 N24 Q24 T24 W24">
    <cfRule type="expression" dxfId="141" priority="8">
      <formula>AND(ISNUMBER(C13),DATE(Planungsjahr,1,C13)=TODAY())</formula>
    </cfRule>
  </conditionalFormatting>
  <conditionalFormatting sqref="Z13 AC13 AF13 AI13 AL13 AO13 AR13 Z15 AC15 AF15 AI15 AL15 AO15 AR15 Z17 AC17 AF17 AI17 AL17 AO17 AR17 Z19 AC19 AF19 AI19 AL19 AO19 AR19 Z21 AC21 AF21 AI21 AL21 AO21 AR21 Z23 AC23 AF23 AI23 AL23 AO23 AR23">
    <cfRule type="expression" dxfId="136" priority="9">
      <formula>AND(ISNUMBER(Z13),DATE(Planungsjahr,2,Z13)=TODAY())</formula>
    </cfRule>
  </conditionalFormatting>
  <conditionalFormatting sqref="Z12 AC12 AF12 AI12 AL12 AO12 AR12 Z14 AC14 AF14 AI14 AL14 AO14 AR14 Z16 AC16 AF16 AI16 AL16 AO16 AR16 Z18 AC18 AF18 AI18 AL18 AO18 AR18 Z20 AC20 AF20 AI20 AL20 AO20 AR20 Z22 AC22 AF22 AI22 AL22 AO22 AR22">
    <cfRule type="expression" dxfId="137" priority="10">
      <formula>AND(ISNUMBER(Z13),DATE(Planungsjahr,2,Z13)=TODAY())</formula>
    </cfRule>
  </conditionalFormatting>
  <conditionalFormatting sqref="AA12 AD12 AG12 AJ12 AM12 AP12 AS12 AA14 AD14 AG14 AJ14 AM14 AP14 AS14 AA16 AD16 AG16 AJ16 AM16 AP16 AS16 AA18 AD18 AG18 AJ18 AM18 AP18 AS18 AA20 AD20 AG20 AJ20 AM20 AP20 AS20 AA22 AD22 AG22 AJ22 AM22 AP22 AS22">
    <cfRule type="expression" dxfId="137" priority="11">
      <formula>AND(ISNUMBER(Z13),DATE(Planungsjahr,2,Z13)=TODAY())</formula>
    </cfRule>
  </conditionalFormatting>
  <conditionalFormatting sqref="AB12 AE12 AH12 AK12 AN12 AQ12 AT12 AB14 AE14 AH14 AK14 AN14 AQ14 AT14 AB16 AE16 AH16 AK16 AN16 AQ16 AT16 AB18 AE18 AH18 AK18 AN18 AQ18 AT18 AB20 AE20 AH20 AK20 AN20 AQ20 AT20 AB22 AE22 AH22 AK22 AN22 AQ22 AT22">
    <cfRule type="expression" dxfId="137" priority="12">
      <formula>AND(ISNUMBER(Z13),DATE(Planungsjahr,2,Z13)=TODAY())</formula>
    </cfRule>
  </conditionalFormatting>
  <conditionalFormatting sqref="AC13 AF13 AI13 AL13 AO13 AR13 AU13 AC15 AF15 AI15 AL15 AO15 AR15 AU15 AC17 AF17 AI17 AL17 AO17 AR17 AU17 AC19 AF19 AI19 AL19 AO19 AR19 AU19 AC21 AF21 AI21 AL21 AO21 AR21 AU21 AC23 AF23 AI23 AL23 AO23 AR23 AU23">
    <cfRule type="expression" dxfId="138" priority="13">
      <formula>AND(ISNUMBER(Z13),DATE(Planungsjahr,2,Z13)=TODAY())</formula>
    </cfRule>
  </conditionalFormatting>
  <conditionalFormatting sqref="Z14 AC14 AF14 AI14 AL14 AO14 AR14 Z16 AC16 AF16 AI16 AL16 AO16 AR16 Z18 AC18 AF18 AI18 AL18 AO18 AR18 Z20 AC20 AF20 AI20 AL20 AO20 AR20 Z22 AC22 AF22 AI22 AL22 AO22 AR22 Z24 AC24 AF24 AI24 AL24 AO24 AR24">
    <cfRule type="expression" dxfId="139" priority="14">
      <formula>AND(ISNUMBER(Z13),DATE(Planungsjahr,2,Z13)=TODAY())</formula>
    </cfRule>
  </conditionalFormatting>
  <conditionalFormatting sqref="AA14 AD14 AG14 AJ14 AM14 AP14 AS14 AA16 AD16 AG16 AJ16 AM16 AP16 AS16 AA18 AD18 AG18 AJ18 AM18 AP18 AS18 AA20 AD20 AG20 AJ20 AM20 AP20 AS20 AA22 AD22 AG22 AJ22 AM22 AP22 AS22 AA24 AD24 AG24 AJ24 AM24 AP24 AS24">
    <cfRule type="expression" dxfId="140" priority="15">
      <formula>AND(ISNUMBER(Z13),DATE(Planungsjahr,2,Z13)=TODAY())</formula>
    </cfRule>
  </conditionalFormatting>
  <conditionalFormatting sqref="AB14 AE14 AH14 AK14 AN14 AQ14 AT14 AB16 AE16 AH16 AK16 AN16 AQ16 AT16 AB18 AE18 AH18 AK18 AN18 AQ18 AT18 AB20 AE20 AH20 AK20 AN20 AQ20 AT20 AB22 AE22 AH22 AK22 AN22 AQ22 AT22 AB24 AE24 AH24 AK24 AN24 AQ24 AT24">
    <cfRule type="expression" dxfId="141" priority="16">
      <formula>AND(ISNUMBER(Z13),DATE(Planungsjahr,2,Z13)=TODAY())</formula>
    </cfRule>
  </conditionalFormatting>
  <conditionalFormatting sqref="AW13 AZ13 BC13 BF13 BI13 BL13 BO13 AW15 AZ15 BC15 BF15 BI15 BL15 BO15 AW17 AZ17 BC17 BF17 BI17 BL17 BO17 AW19 AZ19 BC19 BF19 BI19 BL19 BO19 AW21 AZ21 BC21 BF21 BI21 BL21 BO21 AW23 AZ23 BC23 BF23 BI23 BL23 BO23">
    <cfRule type="expression" dxfId="136" priority="17">
      <formula>AND(ISNUMBER(AW13),DATE(Planungsjahr,3,AW13)=TODAY())</formula>
    </cfRule>
  </conditionalFormatting>
  <conditionalFormatting sqref="AW12 AZ12 BC12 BF12 BI12 BL12 BO12 AW14 AZ14 BC14 BF14 BI14 BL14 BO14 AW16 AZ16 BC16 BF16 BI16 BL16 BO16 AW18 AZ18 BC18 BF18 BI18 BL18 BO18 AW20 AZ20 BC20 BF20 BI20 BL20 BO20 AW22 AZ22 BC22 BF22 BI22 BL22 BO22">
    <cfRule type="expression" dxfId="137" priority="18">
      <formula>AND(ISNUMBER(AW13),DATE(Planungsjahr,3,AW13)=TODAY())</formula>
    </cfRule>
  </conditionalFormatting>
  <conditionalFormatting sqref="AX12 BA12 BD12 BG12 BJ12 BM12 BP12 AX14 BA14 BD14 BG14 BJ14 BM14 BP14 AX16 BA16 BD16 BG16 BJ16 BM16 BP16 AX18 BA18 BD18 BG18 BJ18 BM18 BP18 AX20 BA20 BD20 BG20 BJ20 BM20 BP20 AX22 BA22 BD22 BG22 BJ22 BM22 BP22">
    <cfRule type="expression" dxfId="137" priority="19">
      <formula>AND(ISNUMBER(AW13),DATE(Planungsjahr,3,AW13)=TODAY())</formula>
    </cfRule>
  </conditionalFormatting>
  <conditionalFormatting sqref="AY12 BB12 BE12 BH12 BK12 BN12 BQ12 AY14 BB14 BE14 BH14 BK14 BN14 BQ14 AY16 BB16 BE16 BH16 BK16 BN16 BQ16 AY18 BB18 BE18 BH18 BK18 BN18 BQ18 AY20 BB20 BE20 BH20 BK20 BN20 BQ20 AY22 BB22 BE22 BH22 BK22 BN22 BQ22">
    <cfRule type="expression" dxfId="137" priority="20">
      <formula>AND(ISNUMBER(AW13),DATE(Planungsjahr,3,AW13)=TODAY())</formula>
    </cfRule>
  </conditionalFormatting>
  <conditionalFormatting sqref="AZ13 BC13 BF13 BI13 BL13 BO13 BR13 AZ15 BC15 BF15 BI15 BL15 BO15 BR15 AZ17 BC17 BF17 BI17 BL17 BO17 BR17 AZ19 BC19 BF19 BI19 BL19 BO19 BR19 AZ21 BC21 BF21 BI21 BL21 BO21 BR21 AZ23 BC23 BF23 BI23 BL23 BO23 BR23">
    <cfRule type="expression" dxfId="138" priority="21">
      <formula>AND(ISNUMBER(AW13),DATE(Planungsjahr,3,AW13)=TODAY())</formula>
    </cfRule>
  </conditionalFormatting>
  <conditionalFormatting sqref="AW14 AZ14 BC14 BF14 BI14 BL14 BO14 AW16 AZ16 BC16 BF16 BI16 BL16 BO16 AW18 AZ18 BC18 BF18 BI18 BL18 BO18 AW20 AZ20 BC20 BF20 BI20 BL20 BO20 AW22 AZ22 BC22 BF22 BI22 BL22 BO22 AW24 AZ24 BC24 BF24 BI24 BL24 BO24">
    <cfRule type="expression" dxfId="139" priority="22">
      <formula>AND(ISNUMBER(AW13),DATE(Planungsjahr,3,AW13)=TODAY())</formula>
    </cfRule>
  </conditionalFormatting>
  <conditionalFormatting sqref="AX14 BA14 BD14 BG14 BJ14 BM14 BP14 AX16 BA16 BD16 BG16 BJ16 BM16 BP16 AX18 BA18 BD18 BG18 BJ18 BM18 BP18 AX20 BA20 BD20 BG20 BJ20 BM20 BP20 AX22 BA22 BD22 BG22 BJ22 BM22 BP22 AX24 BA24 BD24 BG24 BJ24 BM24 BP24">
    <cfRule type="expression" dxfId="140" priority="23">
      <formula>AND(ISNUMBER(AW13),DATE(Planungsjahr,3,AW13)=TODAY())</formula>
    </cfRule>
  </conditionalFormatting>
  <conditionalFormatting sqref="AY14 BB14 BE14 BH14 BK14 BN14 BQ14 AY16 BB16 BE16 BH16 BK16 BN16 BQ16 AY18 BB18 BE18 BH18 BK18 BN18 BQ18 AY20 BB20 BE20 BH20 BK20 BN20 BQ20 AY22 BB22 BE22 BH22 BK22 BN22 BQ22 AY24 BB24 BE24 BH24 BK24 BN24 BQ24">
    <cfRule type="expression" dxfId="141" priority="24">
      <formula>AND(ISNUMBER(AW13),DATE(Planungsjahr,3,AW13)=TODAY())</formula>
    </cfRule>
  </conditionalFormatting>
  <conditionalFormatting sqref="BT13 BW13 BZ13 CC13 CF13 CI13 CL13 BT15 BW15 BZ15 CC15 CF15 CI15 CL15 BT17 BW17 BZ17 CC17 CF17 CI17 CL17 BT19 BW19 BZ19 CC19 CF19 CI19 CL19 BT21 BW21 BZ21 CC21 CF21 CI21 CL21 BT23 BW23 BZ23 CC23 CF23 CI23 CL23">
    <cfRule type="expression" dxfId="136" priority="25">
      <formula>AND(ISNUMBER(BT13),DATE(Planungsjahr,4,BT13)=TODAY())</formula>
    </cfRule>
  </conditionalFormatting>
  <conditionalFormatting sqref="BT12 BW12 BZ12 CC12 CF12 CI12 CL12 BT14 BW14 BZ14 CC14 CF14 CI14 CL14 BT16 BW16 BZ16 CC16 CF16 CI16 CL16 BT18 BW18 BZ18 CC18 CF18 CI18 CL18 BT20 BW20 BZ20 CC20 CF20 CI20 CL20 BT22 BW22 BZ22 CC22 CF22 CI22 CL22">
    <cfRule type="expression" dxfId="137" priority="26">
      <formula>AND(ISNUMBER(BT13),DATE(Planungsjahr,4,BT13)=TODAY())</formula>
    </cfRule>
  </conditionalFormatting>
  <conditionalFormatting sqref="BU12 BX12 CA12 CD12 CG12 CJ12 CM12 BU14 BX14 CA14 CD14 CG14 CJ14 CM14 BU16 BX16 CA16 CD16 CG16 CJ16 CM16 BU18 BX18 CA18 CD18 CG18 CJ18 CM18 BU20 BX20 CA20 CD20 CG20 CJ20 CM20 BU22 BX22 CA22 CD22 CG22 CJ22 CM22">
    <cfRule type="expression" dxfId="137" priority="27">
      <formula>AND(ISNUMBER(BT13),DATE(Planungsjahr,4,BT13)=TODAY())</formula>
    </cfRule>
  </conditionalFormatting>
  <conditionalFormatting sqref="BV12 BY12 CB12 CE12 CH12 CK12 CN12 BV14 BY14 CB14 CE14 CH14 CK14 CN14 BV16 BY16 CB16 CE16 CH16 CK16 CN16 BV18 BY18 CB18 CE18 CH18 CK18 CN18 BV20 BY20 CB20 CE20 CH20 CK20 CN20 BV22 BY22 CB22 CE22 CH22 CK22 CN22">
    <cfRule type="expression" dxfId="137" priority="28">
      <formula>AND(ISNUMBER(BT13),DATE(Planungsjahr,4,BT13)=TODAY())</formula>
    </cfRule>
  </conditionalFormatting>
  <conditionalFormatting sqref="BW13 BZ13 CC13 CF13 CI13 CL13 CO13 BW15 BZ15 CC15 CF15 CI15 CL15 CO15 BW17 BZ17 CC17 CF17 CI17 CL17 CO17 BW19 BZ19 CC19 CF19 CI19 CL19 CO19 BW21 BZ21 CC21 CF21 CI21 CL21 CO21 BW23 BZ23 CC23 CF23 CI23 CL23 CO23">
    <cfRule type="expression" dxfId="138" priority="29">
      <formula>AND(ISNUMBER(BT13),DATE(Planungsjahr,4,BT13)=TODAY())</formula>
    </cfRule>
  </conditionalFormatting>
  <conditionalFormatting sqref="BT14 BW14 BZ14 CC14 CF14 CI14 CL14 BT16 BW16 BZ16 CC16 CF16 CI16 CL16 BT18 BW18 BZ18 CC18 CF18 CI18 CL18 BT20 BW20 BZ20 CC20 CF20 CI20 CL20 BT22 BW22 BZ22 CC22 CF22 CI22 CL22 BT24 BW24 BZ24 CC24 CF24 CI24 CL24">
    <cfRule type="expression" dxfId="139" priority="30">
      <formula>AND(ISNUMBER(BT13),DATE(Planungsjahr,4,BT13)=TODAY())</formula>
    </cfRule>
  </conditionalFormatting>
  <conditionalFormatting sqref="BU14 BX14 CA14 CD14 CG14 CJ14 CM14 BU16 BX16 CA16 CD16 CG16 CJ16 CM16 BU18 BX18 CA18 CD18 CG18 CJ18 CM18 BU20 BX20 CA20 CD20 CG20 CJ20 CM20 BU22 BX22 CA22 CD22 CG22 CJ22 CM22 BU24 BX24 CA24 CD24 CG24 CJ24 CM24">
    <cfRule type="expression" dxfId="140" priority="31">
      <formula>AND(ISNUMBER(BT13),DATE(Planungsjahr,4,BT13)=TODAY())</formula>
    </cfRule>
  </conditionalFormatting>
  <conditionalFormatting sqref="BV14 BY14 CB14 CE14 CH14 CK14 CN14 BV16 BY16 CB16 CE16 CH16 CK16 CN16 BV18 BY18 CB18 CE18 CH18 CK18 CN18 BV20 BY20 CB20 CE20 CH20 CK20 CN20 BV22 BY22 CB22 CE22 CH22 CK22 CN22 BV24 BY24 CB24 CE24 CH24 CK24 CN24">
    <cfRule type="expression" dxfId="141" priority="32">
      <formula>AND(ISNUMBER(BT13),DATE(Planungsjahr,4,BT13)=TODAY())</formula>
    </cfRule>
  </conditionalFormatting>
  <conditionalFormatting sqref="C29 F29 I29 L29 O29 R29 U29 C31 F31 I31 L31 O31 R31 U31 C33 F33 I33 L33 O33 R33 U33 C35 F35 I35 L35 O35 R35 U35 C37 F37 I37 L37 O37 R37 U37 C39 F39 I39 L39 O39 R39 U39">
    <cfRule type="expression" dxfId="136" priority="33">
      <formula>AND(ISNUMBER(C29),DATE(Planungsjahr,5,C29)=TODAY())</formula>
    </cfRule>
  </conditionalFormatting>
  <conditionalFormatting sqref="C28 F28 I28 L28 O28 R28 U28 C30 F30 I30 L30 O30 R30 U30 C32 F32 I32 L32 O32 R32 U32 C34 F34 I34 L34 O34 R34 U34 C36 F36 I36 L36 O36 R36 U36 C38 F38 I38 L38 O38 R38 U38">
    <cfRule type="expression" dxfId="137" priority="34">
      <formula>AND(ISNUMBER(C29),DATE(Planungsjahr,5,C29)=TODAY())</formula>
    </cfRule>
  </conditionalFormatting>
  <conditionalFormatting sqref="D28 G28 J28 M28 P28 S28 V28 D30 G30 J30 M30 P30 S30 V30 D32 G32 J32 M32 P32 S32 V32 D34 G34 J34 M34 P34 S34 V34 D36 G36 J36 M36 P36 S36 V36 D38 G38 J38 M38 P38 S38 V38">
    <cfRule type="expression" dxfId="137" priority="35">
      <formula>AND(ISNUMBER(C29),DATE(Planungsjahr,5,C29)=TODAY())</formula>
    </cfRule>
  </conditionalFormatting>
  <conditionalFormatting sqref="E28 H28 K28 N28 Q28 T28 W28 E30 H30 K30 N30 Q30 T30 W30 E32 H32 K32 N32 Q32 T32 W32 E34 H34 K34 N34 Q34 T34 W34 E36 H36 K36 N36 Q36 T36 W36 E38 H38 K38 N38 Q38 T38 W38">
    <cfRule type="expression" dxfId="137" priority="36">
      <formula>AND(ISNUMBER(C29),DATE(Planungsjahr,5,C29)=TODAY())</formula>
    </cfRule>
  </conditionalFormatting>
  <conditionalFormatting sqref="F29 I29 L29 O29 R29 U29 X29 F31 I31 L31 O31 R31 U31 X31 F33 I33 L33 O33 R33 U33 X33 F35 I35 L35 O35 R35 U35 X35 F37 I37 L37 O37 R37 U37 X37 F39 I39 L39 O39 R39 U39 X39">
    <cfRule type="expression" dxfId="138" priority="37">
      <formula>AND(ISNUMBER(C29),DATE(Planungsjahr,5,C29)=TODAY())</formula>
    </cfRule>
  </conditionalFormatting>
  <conditionalFormatting sqref="C30 F30 I30 L30 O30 R30 U30 C32 F32 I32 L32 O32 R32 U32 C34 F34 I34 L34 O34 R34 U34 C36 F36 I36 L36 O36 R36 U36 C38 F38 I38 L38 O38 R38 U38 C40 F40 I40 L40 O40 R40 U40">
    <cfRule type="expression" dxfId="139" priority="38">
      <formula>AND(ISNUMBER(C29),DATE(Planungsjahr,5,C29)=TODAY())</formula>
    </cfRule>
  </conditionalFormatting>
  <conditionalFormatting sqref="D30 G30 J30 M30 P30 S30 V30 D32 G32 J32 M32 P32 S32 V32 D34 G34 J34 M34 P34 S34 V34 D36 G36 J36 M36 P36 S36 V36 D38 G38 J38 M38 P38 S38 V38 D40 G40 J40 M40 P40 S40 V40">
    <cfRule type="expression" dxfId="140" priority="39">
      <formula>AND(ISNUMBER(C29),DATE(Planungsjahr,5,C29)=TODAY())</formula>
    </cfRule>
  </conditionalFormatting>
  <conditionalFormatting sqref="E30 H30 K30 N30 Q30 T30 W30 E32 H32 K32 N32 Q32 T32 W32 E34 H34 K34 N34 Q34 T34 W34 E36 H36 K36 N36 Q36 T36 W36 E38 H38 K38 N38 Q38 T38 W38 E40 H40 K40 N40 Q40 T40 W40">
    <cfRule type="expression" dxfId="141" priority="40">
      <formula>AND(ISNUMBER(C29),DATE(Planungsjahr,5,C29)=TODAY())</formula>
    </cfRule>
  </conditionalFormatting>
  <conditionalFormatting sqref="Z29 AC29 AF29 AI29 AL29 AO29 AR29 Z31 AC31 AF31 AI31 AL31 AO31 AR31 Z33 AC33 AF33 AI33 AL33 AO33 AR33 Z35 AC35 AF35 AI35 AL35 AO35 AR35 Z37 AC37 AF37 AI37 AL37 AO37 AR37 Z39 AC39 AF39 AI39 AL39 AO39 AR39">
    <cfRule type="expression" dxfId="136" priority="41">
      <formula>AND(ISNUMBER(Z29),DATE(Planungsjahr,6,Z29)=TODAY())</formula>
    </cfRule>
  </conditionalFormatting>
  <conditionalFormatting sqref="Z28 AC28 AF28 AI28 AL28 AO28 AR28 Z30 AC30 AF30 AI30 AL30 AO30 AR30 Z32 AC32 AF32 AI32 AL32 AO32 AR32 Z34 AC34 AF34 AI34 AL34 AO34 AR34 Z36 AC36 AF36 AI36 AL36 AO36 AR36 Z38 AC38 AF38 AI38 AL38 AO38 AR38">
    <cfRule type="expression" dxfId="137" priority="42">
      <formula>AND(ISNUMBER(Z29),DATE(Planungsjahr,6,Z29)=TODAY())</formula>
    </cfRule>
  </conditionalFormatting>
  <conditionalFormatting sqref="AA28 AD28 AG28 AJ28 AM28 AP28 AS28 AA30 AD30 AG30 AJ30 AM30 AP30 AS30 AA32 AD32 AG32 AJ32 AM32 AP32 AS32 AA34 AD34 AG34 AJ34 AM34 AP34 AS34 AA36 AD36 AG36 AJ36 AM36 AP36 AS36 AA38 AD38 AG38 AJ38 AM38 AP38 AS38">
    <cfRule type="expression" dxfId="137" priority="43">
      <formula>AND(ISNUMBER(Z29),DATE(Planungsjahr,6,Z29)=TODAY())</formula>
    </cfRule>
  </conditionalFormatting>
  <conditionalFormatting sqref="AB28 AE28 AH28 AK28 AN28 AQ28 AT28 AB30 AE30 AH30 AK30 AN30 AQ30 AT30 AB32 AE32 AH32 AK32 AN32 AQ32 AT32 AB34 AE34 AH34 AK34 AN34 AQ34 AT34 AB36 AE36 AH36 AK36 AN36 AQ36 AT36 AB38 AE38 AH38 AK38 AN38 AQ38 AT38">
    <cfRule type="expression" dxfId="137" priority="44">
      <formula>AND(ISNUMBER(Z29),DATE(Planungsjahr,6,Z29)=TODAY())</formula>
    </cfRule>
  </conditionalFormatting>
  <conditionalFormatting sqref="AC29 AF29 AI29 AL29 AO29 AR29 AU29 AC31 AF31 AI31 AL31 AO31 AR31 AU31 AC33 AF33 AI33 AL33 AO33 AR33 AU33 AC35 AF35 AI35 AL35 AO35 AR35 AU35 AC37 AF37 AI37 AL37 AO37 AR37 AU37 AC39 AF39 AI39 AL39 AO39 AR39 AU39">
    <cfRule type="expression" dxfId="138" priority="45">
      <formula>AND(ISNUMBER(Z29),DATE(Planungsjahr,6,Z29)=TODAY())</formula>
    </cfRule>
  </conditionalFormatting>
  <conditionalFormatting sqref="Z30 AC30 AF30 AI30 AL30 AO30 AR30 Z32 AC32 AF32 AI32 AL32 AO32 AR32 Z34 AC34 AF34 AI34 AL34 AO34 AR34 Z36 AC36 AF36 AI36 AL36 AO36 AR36 Z38 AC38 AF38 AI38 AL38 AO38 AR38 Z40 AC40 AF40 AI40 AL40 AO40 AR40">
    <cfRule type="expression" dxfId="139" priority="46">
      <formula>AND(ISNUMBER(Z29),DATE(Planungsjahr,6,Z29)=TODAY())</formula>
    </cfRule>
  </conditionalFormatting>
  <conditionalFormatting sqref="AA30 AD30 AG30 AJ30 AM30 AP30 AS30 AA32 AD32 AG32 AJ32 AM32 AP32 AS32 AA34 AD34 AG34 AJ34 AM34 AP34 AS34 AA36 AD36 AG36 AJ36 AM36 AP36 AS36 AA38 AD38 AG38 AJ38 AM38 AP38 AS38 AA40 AD40 AG40 AJ40 AM40 AP40 AS40">
    <cfRule type="expression" dxfId="140" priority="47">
      <formula>AND(ISNUMBER(Z29),DATE(Planungsjahr,6,Z29)=TODAY())</formula>
    </cfRule>
  </conditionalFormatting>
  <conditionalFormatting sqref="AB30 AE30 AH30 AK30 AN30 AQ30 AT30 AB32 AE32 AH32 AK32 AN32 AQ32 AT32 AB34 AE34 AH34 AK34 AN34 AQ34 AT34 AB36 AE36 AH36 AK36 AN36 AQ36 AT36 AB38 AE38 AH38 AK38 AN38 AQ38 AT38 AB40 AE40 AH40 AK40 AN40 AQ40 AT40">
    <cfRule type="expression" dxfId="141" priority="48">
      <formula>AND(ISNUMBER(Z29),DATE(Planungsjahr,6,Z29)=TODAY())</formula>
    </cfRule>
  </conditionalFormatting>
  <conditionalFormatting sqref="AW29 AZ29 BC29 BF29 BI29 BL29 BO29 AW31 AZ31 BC31 BF31 BI31 BL31 BO31 AW33 AZ33 BC33 BF33 BI33 BL33 BO33 AW35 AZ35 BC35 BF35 BI35 BL35 BO35 AW37 AZ37 BC37 BF37 BI37 BL37 BO37 AW39 AZ39 BC39 BF39 BI39 BL39 BO39">
    <cfRule type="expression" dxfId="136" priority="49">
      <formula>AND(ISNUMBER(AW29),DATE(Planungsjahr,7,AW29)=TODAY())</formula>
    </cfRule>
  </conditionalFormatting>
  <conditionalFormatting sqref="AW28 AZ28 BC28 BF28 BI28 BL28 BO28 AW30 AZ30 BC30 BF30 BI30 BL30 BO30 AW32 AZ32 BC32 BF32 BI32 BL32 BO32 AW34 AZ34 BC34 BF34 BI34 BL34 BO34 AW36 AZ36 BC36 BF36 BI36 BL36 BO36 AW38 AZ38 BC38 BF38 BI38 BL38 BO38">
    <cfRule type="expression" dxfId="137" priority="50">
      <formula>AND(ISNUMBER(AW29),DATE(Planungsjahr,7,AW29)=TODAY())</formula>
    </cfRule>
  </conditionalFormatting>
  <conditionalFormatting sqref="AX28 BA28 BD28 BG28 BJ28 BM28 BP28 AX30 BA30 BD30 BG30 BJ30 BM30 BP30 AX32 BA32 BD32 BG32 BJ32 BM32 BP32 AX34 BA34 BD34 BG34 BJ34 BM34 BP34 AX36 BA36 BD36 BG36 BJ36 BM36 BP36 AX38 BA38 BD38 BG38 BJ38 BM38 BP38">
    <cfRule type="expression" dxfId="137" priority="51">
      <formula>AND(ISNUMBER(AW29),DATE(Planungsjahr,7,AW29)=TODAY())</formula>
    </cfRule>
  </conditionalFormatting>
  <conditionalFormatting sqref="AY28 BB28 BE28 BH28 BK28 BN28 BQ28 AY30 BB30 BE30 BH30 BK30 BN30 BQ30 AY32 BB32 BE32 BH32 BK32 BN32 BQ32 AY34 BB34 BE34 BH34 BK34 BN34 BQ34 AY36 BB36 BE36 BH36 BK36 BN36 BQ36 AY38 BB38 BE38 BH38 BK38 BN38 BQ38">
    <cfRule type="expression" dxfId="137" priority="52">
      <formula>AND(ISNUMBER(AW29),DATE(Planungsjahr,7,AW29)=TODAY())</formula>
    </cfRule>
  </conditionalFormatting>
  <conditionalFormatting sqref="AZ29 BC29 BF29 BI29 BL29 BO29 BR29 AZ31 BC31 BF31 BI31 BL31 BO31 BR31 AZ33 BC33 BF33 BI33 BL33 BO33 BR33 AZ35 BC35 BF35 BI35 BL35 BO35 BR35 AZ37 BC37 BF37 BI37 BL37 BO37 BR37 AZ39 BC39 BF39 BI39 BL39 BO39 BR39">
    <cfRule type="expression" dxfId="138" priority="53">
      <formula>AND(ISNUMBER(AW29),DATE(Planungsjahr,7,AW29)=TODAY())</formula>
    </cfRule>
  </conditionalFormatting>
  <conditionalFormatting sqref="AW30 AZ30 BC30 BF30 BI30 BL30 BO30 AW32 AZ32 BC32 BF32 BI32 BL32 BO32 AW34 AZ34 BC34 BF34 BI34 BL34 BO34 AW36 AZ36 BC36 BF36 BI36 BL36 BO36 AW38 AZ38 BC38 BF38 BI38 BL38 BO38 AW40 AZ40 BC40 BF40 BI40 BL40 BO40">
    <cfRule type="expression" dxfId="139" priority="54">
      <formula>AND(ISNUMBER(AW29),DATE(Planungsjahr,7,AW29)=TODAY())</formula>
    </cfRule>
  </conditionalFormatting>
  <conditionalFormatting sqref="AX30 BA30 BD30 BG30 BJ30 BM30 BP30 AX32 BA32 BD32 BG32 BJ32 BM32 BP32 AX34 BA34 BD34 BG34 BJ34 BM34 BP34 AX36 BA36 BD36 BG36 BJ36 BM36 BP36 AX38 BA38 BD38 BG38 BJ38 BM38 BP38 AX40 BA40 BD40 BG40 BJ40 BM40 BP40">
    <cfRule type="expression" dxfId="140" priority="55">
      <formula>AND(ISNUMBER(AW29),DATE(Planungsjahr,7,AW29)=TODAY())</formula>
    </cfRule>
  </conditionalFormatting>
  <conditionalFormatting sqref="AY30 BB30 BE30 BH30 BK30 BN30 BQ30 AY32 BB32 BE32 BH32 BK32 BN32 BQ32 AY34 BB34 BE34 BH34 BK34 BN34 BQ34 AY36 BB36 BE36 BH36 BK36 BN36 BQ36 AY38 BB38 BE38 BH38 BK38 BN38 BQ38 AY40 BB40 BE40 BH40 BK40 BN40 BQ40">
    <cfRule type="expression" dxfId="141" priority="56">
      <formula>AND(ISNUMBER(AW29),DATE(Planungsjahr,7,AW29)=TODAY())</formula>
    </cfRule>
  </conditionalFormatting>
  <conditionalFormatting sqref="BT29 BW29 BZ29 CC29 CF29 CI29 CL29 BT31 BW31 BZ31 CC31 CF31 CI31 CL31 BT33 BW33 BZ33 CC33 CF33 CI33 CL33 BT35 BW35 BZ35 CC35 CF35 CI35 CL35 BT37 BW37 BZ37 CC37 CF37 CI37 CL37 BT39 BW39 BZ39 CC39 CF39 CI39 CL39">
    <cfRule type="expression" dxfId="136" priority="57">
      <formula>AND(ISNUMBER(BT29),DATE(Planungsjahr,8,BT29)=TODAY())</formula>
    </cfRule>
  </conditionalFormatting>
  <conditionalFormatting sqref="BT28 BW28 BZ28 CC28 CF28 CI28 CL28 BT30 BW30 BZ30 CC30 CF30 CI30 CL30 BT32 BW32 BZ32 CC32 CF32 CI32 CL32 BT34 BW34 BZ34 CC34 CF34 CI34 CL34 BT36 BW36 BZ36 CC36 CF36 CI36 CL36 BT38 BW38 BZ38 CC38 CF38 CI38 CL38">
    <cfRule type="expression" dxfId="137" priority="58">
      <formula>AND(ISNUMBER(BT29),DATE(Planungsjahr,8,BT29)=TODAY())</formula>
    </cfRule>
  </conditionalFormatting>
  <conditionalFormatting sqref="BU28 BX28 CA28 CD28 CG28 CJ28 CM28 BU30 BX30 CA30 CD30 CG30 CJ30 CM30 BU32 BX32 CA32 CD32 CG32 CJ32 CM32 BU34 BX34 CA34 CD34 CG34 CJ34 CM34 BU36 BX36 CA36 CD36 CG36 CJ36 CM36 BU38 BX38 CA38 CD38 CG38 CJ38 CM38">
    <cfRule type="expression" dxfId="137" priority="59">
      <formula>AND(ISNUMBER(BT29),DATE(Planungsjahr,8,BT29)=TODAY())</formula>
    </cfRule>
  </conditionalFormatting>
  <conditionalFormatting sqref="BV28 BY28 CB28 CE28 CH28 CK28 CN28 BV30 BY30 CB30 CE30 CH30 CK30 CN30 BV32 BY32 CB32 CE32 CH32 CK32 CN32 BV34 BY34 CB34 CE34 CH34 CK34 CN34 BV36 BY36 CB36 CE36 CH36 CK36 CN36 BV38 BY38 CB38 CE38 CH38 CK38 CN38">
    <cfRule type="expression" dxfId="137" priority="60">
      <formula>AND(ISNUMBER(BT29),DATE(Planungsjahr,8,BT29)=TODAY())</formula>
    </cfRule>
  </conditionalFormatting>
  <conditionalFormatting sqref="BW29 BZ29 CC29 CF29 CI29 CL29 CO29 BW31 BZ31 CC31 CF31 CI31 CL31 CO31 BW33 BZ33 CC33 CF33 CI33 CL33 CO33 BW35 BZ35 CC35 CF35 CI35 CL35 CO35 BW37 BZ37 CC37 CF37 CI37 CL37 CO37 BW39 BZ39 CC39 CF39 CI39 CL39 CO39">
    <cfRule type="expression" dxfId="138" priority="61">
      <formula>AND(ISNUMBER(BT29),DATE(Planungsjahr,8,BT29)=TODAY())</formula>
    </cfRule>
  </conditionalFormatting>
  <conditionalFormatting sqref="BT30 BW30 BZ30 CC30 CF30 CI30 CL30 BT32 BW32 BZ32 CC32 CF32 CI32 CL32 BT34 BW34 BZ34 CC34 CF34 CI34 CL34 BT36 BW36 BZ36 CC36 CF36 CI36 CL36 BT38 BW38 BZ38 CC38 CF38 CI38 CL38 BT40 BW40 BZ40 CC40 CF40 CI40 CL40">
    <cfRule type="expression" dxfId="139" priority="62">
      <formula>AND(ISNUMBER(BT29),DATE(Planungsjahr,8,BT29)=TODAY())</formula>
    </cfRule>
  </conditionalFormatting>
  <conditionalFormatting sqref="BU30 BX30 CA30 CD30 CG30 CJ30 CM30 BU32 BX32 CA32 CD32 CG32 CJ32 CM32 BU34 BX34 CA34 CD34 CG34 CJ34 CM34 BU36 BX36 CA36 CD36 CG36 CJ36 CM36 BU38 BX38 CA38 CD38 CG38 CJ38 CM38 BU40 BX40 CA40 CD40 CG40 CJ40 CM40">
    <cfRule type="expression" dxfId="140" priority="63">
      <formula>AND(ISNUMBER(BT29),DATE(Planungsjahr,8,BT29)=TODAY())</formula>
    </cfRule>
  </conditionalFormatting>
  <conditionalFormatting sqref="BV30 BY30 CB30 CE30 CH30 CK30 CN30 BV32 BY32 CB32 CE32 CH32 CK32 CN32 BV34 BY34 CB34 CE34 CH34 CK34 CN34 BV36 BY36 CB36 CE36 CH36 CK36 CN36 BV38 BY38 CB38 CE38 CH38 CK38 CN38 BV40 BY40 CB40 CE40 CH40 CK40 CN40">
    <cfRule type="expression" dxfId="141" priority="64">
      <formula>AND(ISNUMBER(BT29),DATE(Planungsjahr,8,BT29)=TODAY())</formula>
    </cfRule>
  </conditionalFormatting>
  <conditionalFormatting sqref="C45 F45 I45 L45 O45 R45 U45 C47 F47 I47 L47 O47 R47 U47 C49 F49 I49 L49 O49 R49 U49 C51 F51 I51 L51 O51 R51 U51 C53 F53 I53 L53 O53 R53 U53 C55 F55 I55 L55 O55 R55 U55">
    <cfRule type="expression" dxfId="136" priority="65">
      <formula>AND(ISNUMBER(C45),DATE(Planungsjahr,9,C45)=TODAY())</formula>
    </cfRule>
  </conditionalFormatting>
  <conditionalFormatting sqref="C44 F44 I44 L44 O44 R44 U44 C46 F46 I46 L46 O46 R46 U46 C48 F48 I48 L48 O48 R48 U48 C50 F50 I50 L50 O50 R50 U50 C52 F52 I52 L52 O52 R52 U52 C54 F54 I54 L54 O54 R54 U54">
    <cfRule type="expression" dxfId="137" priority="66">
      <formula>AND(ISNUMBER(C45),DATE(Planungsjahr,9,C45)=TODAY())</formula>
    </cfRule>
  </conditionalFormatting>
  <conditionalFormatting sqref="D44 G44 J44 M44 P44 S44 V44 D46 G46 J46 M46 P46 S46 V46 D48 G48 J48 M48 P48 S48 V48 D50 G50 J50 M50 P50 S50 V50 D52 G52 J52 M52 P52 S52 V52 D54 G54 J54 M54 P54 S54 V54">
    <cfRule type="expression" dxfId="137" priority="67">
      <formula>AND(ISNUMBER(C45),DATE(Planungsjahr,9,C45)=TODAY())</formula>
    </cfRule>
  </conditionalFormatting>
  <conditionalFormatting sqref="E44 H44 K44 N44 Q44 T44 W44 E46 H46 K46 N46 Q46 T46 W46 E48 H48 K48 N48 Q48 T48 W48 E50 H50 K50 N50 Q50 T50 W50 E52 H52 K52 N52 Q52 T52 W52 E54 H54 K54 N54 Q54 T54 W54">
    <cfRule type="expression" dxfId="137" priority="68">
      <formula>AND(ISNUMBER(C45),DATE(Planungsjahr,9,C45)=TODAY())</formula>
    </cfRule>
  </conditionalFormatting>
  <conditionalFormatting sqref="F45 I45 L45 O45 R45 U45 X45 F47 I47 L47 O47 R47 U47 X47 F49 I49 L49 O49 R49 U49 X49 F51 I51 L51 O51 R51 U51 X51 F53 I53 L53 O53 R53 U53 X53 F55 I55 L55 O55 R55 U55 X55">
    <cfRule type="expression" dxfId="138" priority="69">
      <formula>AND(ISNUMBER(C45),DATE(Planungsjahr,9,C45)=TODAY())</formula>
    </cfRule>
  </conditionalFormatting>
  <conditionalFormatting sqref="C46 F46 I46 L46 O46 R46 U46 C48 F48 I48 L48 O48 R48 U48 C50 F50 I50 L50 O50 R50 U50 C52 F52 I52 L52 O52 R52 U52 C54 F54 I54 L54 O54 R54 U54 C56 F56 I56 L56 O56 R56 U56">
    <cfRule type="expression" dxfId="139" priority="70">
      <formula>AND(ISNUMBER(C45),DATE(Planungsjahr,9,C45)=TODAY())</formula>
    </cfRule>
  </conditionalFormatting>
  <conditionalFormatting sqref="D46 G46 J46 M46 P46 S46 V46 D48 G48 J48 M48 P48 S48 V48 D50 G50 J50 M50 P50 S50 V50 D52 G52 J52 M52 P52 S52 V52 D54 G54 J54 M54 P54 S54 V54 D56 G56 J56 M56 P56 S56 V56">
    <cfRule type="expression" dxfId="140" priority="71">
      <formula>AND(ISNUMBER(C45),DATE(Planungsjahr,9,C45)=TODAY())</formula>
    </cfRule>
  </conditionalFormatting>
  <conditionalFormatting sqref="E46 H46 K46 N46 Q46 T46 W46 E48 H48 K48 N48 Q48 T48 W48 E50 H50 K50 N50 Q50 T50 W50 E52 H52 K52 N52 Q52 T52 W52 E54 H54 K54 N54 Q54 T54 W54 E56 H56 K56 N56 Q56 T56 W56">
    <cfRule type="expression" dxfId="141" priority="72">
      <formula>AND(ISNUMBER(C45),DATE(Planungsjahr,9,C45)=TODAY())</formula>
    </cfRule>
  </conditionalFormatting>
  <conditionalFormatting sqref="Z45 AC45 AF45 AI45 AL45 AO45 AR45 Z47 AC47 AF47 AI47 AL47 AO47 AR47 Z49 AC49 AF49 AI49 AL49 AO49 AR49 Z51 AC51 AF51 AI51 AL51 AO51 AR51 Z53 AC53 AF53 AI53 AL53 AO53 AR53 Z55 AC55 AF55 AI55 AL55 AO55 AR55">
    <cfRule type="expression" dxfId="136" priority="73">
      <formula>AND(ISNUMBER(Z45),DATE(Planungsjahr,10,Z45)=TODAY())</formula>
    </cfRule>
  </conditionalFormatting>
  <conditionalFormatting sqref="Z44 AC44 AF44 AI44 AL44 AO44 AR44 Z46 AC46 AF46 AI46 AL46 AO46 AR46 Z48 AC48 AF48 AI48 AL48 AO48 AR48 Z50 AC50 AF50 AI50 AL50 AO50 AR50 Z52 AC52 AF52 AI52 AL52 AO52 AR52 Z54 AC54 AF54 AI54 AL54 AO54 AR54">
    <cfRule type="expression" dxfId="137" priority="74">
      <formula>AND(ISNUMBER(Z45),DATE(Planungsjahr,10,Z45)=TODAY())</formula>
    </cfRule>
  </conditionalFormatting>
  <conditionalFormatting sqref="AA44 AD44 AG44 AJ44 AM44 AP44 AS44 AA46 AD46 AG46 AJ46 AM46 AP46 AS46 AA48 AD48 AG48 AJ48 AM48 AP48 AS48 AA50 AD50 AG50 AJ50 AM50 AP50 AS50 AA52 AD52 AG52 AJ52 AM52 AP52 AS52 AA54 AD54 AG54 AJ54 AM54 AP54 AS54">
    <cfRule type="expression" dxfId="137" priority="75">
      <formula>AND(ISNUMBER(Z45),DATE(Planungsjahr,10,Z45)=TODAY())</formula>
    </cfRule>
  </conditionalFormatting>
  <conditionalFormatting sqref="AB44 AE44 AH44 AK44 AN44 AQ44 AT44 AB46 AE46 AH46 AK46 AN46 AQ46 AT46 AB48 AE48 AH48 AK48 AN48 AQ48 AT48 AB50 AE50 AH50 AK50 AN50 AQ50 AT50 AB52 AE52 AH52 AK52 AN52 AQ52 AT52 AB54 AE54 AH54 AK54 AN54 AQ54 AT54">
    <cfRule type="expression" dxfId="137" priority="76">
      <formula>AND(ISNUMBER(Z45),DATE(Planungsjahr,10,Z45)=TODAY())</formula>
    </cfRule>
  </conditionalFormatting>
  <conditionalFormatting sqref="AC45 AF45 AI45 AL45 AO45 AR45 AU45 AC47 AF47 AI47 AL47 AO47 AR47 AU47 AC49 AF49 AI49 AL49 AO49 AR49 AU49 AC51 AF51 AI51 AL51 AO51 AR51 AU51 AC53 AF53 AI53 AL53 AO53 AR53 AU53 AC55 AF55 AI55 AL55 AO55 AR55 AU55">
    <cfRule type="expression" dxfId="138" priority="77">
      <formula>AND(ISNUMBER(Z45),DATE(Planungsjahr,10,Z45)=TODAY())</formula>
    </cfRule>
  </conditionalFormatting>
  <conditionalFormatting sqref="Z46 AC46 AF46 AI46 AL46 AO46 AR46 Z48 AC48 AF48 AI48 AL48 AO48 AR48 Z50 AC50 AF50 AI50 AL50 AO50 AR50 Z52 AC52 AF52 AI52 AL52 AO52 AR52 Z54 AC54 AF54 AI54 AL54 AO54 AR54 Z56 AC56 AF56 AI56 AL56 AO56 AR56">
    <cfRule type="expression" dxfId="139" priority="78">
      <formula>AND(ISNUMBER(Z45),DATE(Planungsjahr,10,Z45)=TODAY())</formula>
    </cfRule>
  </conditionalFormatting>
  <conditionalFormatting sqref="AA46 AD46 AG46 AJ46 AM46 AP46 AS46 AA48 AD48 AG48 AJ48 AM48 AP48 AS48 AA50 AD50 AG50 AJ50 AM50 AP50 AS50 AA52 AD52 AG52 AJ52 AM52 AP52 AS52 AA54 AD54 AG54 AJ54 AM54 AP54 AS54 AA56 AD56 AG56 AJ56 AM56 AP56 AS56">
    <cfRule type="expression" dxfId="140" priority="79">
      <formula>AND(ISNUMBER(Z45),DATE(Planungsjahr,10,Z45)=TODAY())</formula>
    </cfRule>
  </conditionalFormatting>
  <conditionalFormatting sqref="AB46 AE46 AH46 AK46 AN46 AQ46 AT46 AB48 AE48 AH48 AK48 AN48 AQ48 AT48 AB50 AE50 AH50 AK50 AN50 AQ50 AT50 AB52 AE52 AH52 AK52 AN52 AQ52 AT52 AB54 AE54 AH54 AK54 AN54 AQ54 AT54 AB56 AE56 AH56 AK56 AN56 AQ56 AT56">
    <cfRule type="expression" dxfId="141" priority="80">
      <formula>AND(ISNUMBER(Z45),DATE(Planungsjahr,10,Z45)=TODAY())</formula>
    </cfRule>
  </conditionalFormatting>
  <conditionalFormatting sqref="AW45 AZ45 BC45 BF45 BI45 BL45 BO45 AW47 AZ47 BC47 BF47 BI47 BL47 BO47 AW49 AZ49 BC49 BF49 BI49 BL49 BO49 AW51 AZ51 BC51 BF51 BI51 BL51 BO51 AW53 AZ53 BC53 BF53 BI53 BL53 BO53 AW55 AZ55 BC55 BF55 BI55 BL55 BO55">
    <cfRule type="expression" dxfId="136" priority="81">
      <formula>AND(ISNUMBER(AW45),DATE(Planungsjahr,11,AW45)=TODAY())</formula>
    </cfRule>
  </conditionalFormatting>
  <conditionalFormatting sqref="AW44 AZ44 BC44 BF44 BI44 BL44 BO44 AW46 AZ46 BC46 BF46 BI46 BL46 BO46 AW48 AZ48 BC48 BF48 BI48 BL48 BO48 AW50 AZ50 BC50 BF50 BI50 BL50 BO50 AW52 AZ52 BC52 BF52 BI52 BL52 BO52 AW54 AZ54 BC54 BF54 BI54 BL54 BO54">
    <cfRule type="expression" dxfId="137" priority="82">
      <formula>AND(ISNUMBER(AW45),DATE(Planungsjahr,11,AW45)=TODAY())</formula>
    </cfRule>
  </conditionalFormatting>
  <conditionalFormatting sqref="AX44 BA44 BD44 BG44 BJ44 BM44 BP44 AX46 BA46 BD46 BG46 BJ46 BM46 BP46 AX48 BA48 BD48 BG48 BJ48 BM48 BP48 AX50 BA50 BD50 BG50 BJ50 BM50 BP50 AX52 BA52 BD52 BG52 BJ52 BM52 BP52 AX54 BA54 BD54 BG54 BJ54 BM54 BP54">
    <cfRule type="expression" dxfId="137" priority="83">
      <formula>AND(ISNUMBER(AW45),DATE(Planungsjahr,11,AW45)=TODAY())</formula>
    </cfRule>
  </conditionalFormatting>
  <conditionalFormatting sqref="AY44 BB44 BE44 BH44 BK44 BN44 BQ44 AY46 BB46 BE46 BH46 BK46 BN46 BQ46 AY48 BB48 BE48 BH48 BK48 BN48 BQ48 AY50 BB50 BE50 BH50 BK50 BN50 BQ50 AY52 BB52 BE52 BH52 BK52 BN52 BQ52 AY54 BB54 BE54 BH54 BK54 BN54 BQ54">
    <cfRule type="expression" dxfId="137" priority="84">
      <formula>AND(ISNUMBER(AW45),DATE(Planungsjahr,11,AW45)=TODAY())</formula>
    </cfRule>
  </conditionalFormatting>
  <conditionalFormatting sqref="AZ45 BC45 BF45 BI45 BL45 BO45 BR45 AZ47 BC47 BF47 BI47 BL47 BO47 BR47 AZ49 BC49 BF49 BI49 BL49 BO49 BR49 AZ51 BC51 BF51 BI51 BL51 BO51 BR51 AZ53 BC53 BF53 BI53 BL53 BO53 BR53 AZ55 BC55 BF55 BI55 BL55 BO55 BR55">
    <cfRule type="expression" dxfId="138" priority="85">
      <formula>AND(ISNUMBER(AW45),DATE(Planungsjahr,11,AW45)=TODAY())</formula>
    </cfRule>
  </conditionalFormatting>
  <conditionalFormatting sqref="AW46 AZ46 BC46 BF46 BI46 BL46 BO46 AW48 AZ48 BC48 BF48 BI48 BL48 BO48 AW50 AZ50 BC50 BF50 BI50 BL50 BO50 AW52 AZ52 BC52 BF52 BI52 BL52 BO52 AW54 AZ54 BC54 BF54 BI54 BL54 BO54 AW56 AZ56 BC56 BF56 BI56 BL56 BO56">
    <cfRule type="expression" dxfId="139" priority="86">
      <formula>AND(ISNUMBER(AW45),DATE(Planungsjahr,11,AW45)=TODAY())</formula>
    </cfRule>
  </conditionalFormatting>
  <conditionalFormatting sqref="AX46 BA46 BD46 BG46 BJ46 BM46 BP46 AX48 BA48 BD48 BG48 BJ48 BM48 BP48 AX50 BA50 BD50 BG50 BJ50 BM50 BP50 AX52 BA52 BD52 BG52 BJ52 BM52 BP52 AX54 BA54 BD54 BG54 BJ54 BM54 BP54 AX56 BA56 BD56 BG56 BJ56 BM56 BP56">
    <cfRule type="expression" dxfId="140" priority="87">
      <formula>AND(ISNUMBER(AW45),DATE(Planungsjahr,11,AW45)=TODAY())</formula>
    </cfRule>
  </conditionalFormatting>
  <conditionalFormatting sqref="AY46 BB46 BE46 BH46 BK46 BN46 BQ46 AY48 BB48 BE48 BH48 BK48 BN48 BQ48 AY50 BB50 BE50 BH50 BK50 BN50 BQ50 AY52 BB52 BE52 BH52 BK52 BN52 BQ52 AY54 BB54 BE54 BH54 BK54 BN54 BQ54 AY56 BB56 BE56 BH56 BK56 BN56 BQ56">
    <cfRule type="expression" dxfId="141" priority="88">
      <formula>AND(ISNUMBER(AW45),DATE(Planungsjahr,11,AW45)=TODAY())</formula>
    </cfRule>
  </conditionalFormatting>
  <conditionalFormatting sqref="BT45 BW45 BZ45 CC45 CF45 CI45 CL45 BT47 BW47 BZ47 CC47 CF47 CI47 CL47 BT49 BW49 BZ49 CC49 CF49 CI49 CL49 BT51 BW51 BZ51 CC51 CF51 CI51 CL51 BT53 BW53 BZ53 CC53 CF53 CI53 CL53 BT55 BW55 BZ55 CC55 CF55 CI55 CL55">
    <cfRule type="expression" dxfId="136" priority="89">
      <formula>AND(ISNUMBER(BT45),DATE(Planungsjahr,12,BT45)=TODAY())</formula>
    </cfRule>
  </conditionalFormatting>
  <conditionalFormatting sqref="BT44 BW44 BZ44 CC44 CF44 CI44 CL44 BT46 BW46 BZ46 CC46 CF46 CI46 CL46 BT48 BW48 BZ48 CC48 CF48 CI48 CL48 BT50 BW50 BZ50 CC50 CF50 CI50 CL50 BT52 BW52 BZ52 CC52 CF52 CI52 CL52 BT54 BW54 BZ54 CC54 CF54 CI54 CL54">
    <cfRule type="expression" dxfId="137" priority="90">
      <formula>AND(ISNUMBER(BT45),DATE(Planungsjahr,12,BT45)=TODAY())</formula>
    </cfRule>
  </conditionalFormatting>
  <conditionalFormatting sqref="BU44 BX44 CA44 CD44 CG44 CJ44 CM44 BU46 BX46 CA46 CD46 CG46 CJ46 CM46 BU48 BX48 CA48 CD48 CG48 CJ48 CM48 BU50 BX50 CA50 CD50 CG50 CJ50 CM50 BU52 BX52 CA52 CD52 CG52 CJ52 CM52 BU54 BX54 CA54 CD54 CG54 CJ54 CM54">
    <cfRule type="expression" dxfId="137" priority="91">
      <formula>AND(ISNUMBER(BT45),DATE(Planungsjahr,12,BT45)=TODAY())</formula>
    </cfRule>
  </conditionalFormatting>
  <conditionalFormatting sqref="BV44 BY44 CB44 CE44 CH44 CK44 CN44 BV46 BY46 CB46 CE46 CH46 CK46 CN46 BV48 BY48 CB48 CE48 CH48 CK48 CN48 BV50 BY50 CB50 CE50 CH50 CK50 CN50 BV52 BY52 CB52 CE52 CH52 CK52 CN52 BV54 BY54 CB54 CE54 CH54 CK54 CN54">
    <cfRule type="expression" dxfId="137" priority="92">
      <formula>AND(ISNUMBER(BT45),DATE(Planungsjahr,12,BT45)=TODAY())</formula>
    </cfRule>
  </conditionalFormatting>
  <conditionalFormatting sqref="BW45 BZ45 CC45 CF45 CI45 CL45 CO45 BW47 BZ47 CC47 CF47 CI47 CL47 CO47 BW49 BZ49 CC49 CF49 CI49 CL49 CO49 BW51 BZ51 CC51 CF51 CI51 CL51 CO51 BW53 BZ53 CC53 CF53 CI53 CL53 CO53 BW55 BZ55 CC55 CF55 CI55 CL55 CO55">
    <cfRule type="expression" dxfId="138" priority="93">
      <formula>AND(ISNUMBER(BT45),DATE(Planungsjahr,12,BT45)=TODAY())</formula>
    </cfRule>
  </conditionalFormatting>
  <conditionalFormatting sqref="BT46 BW46 BZ46 CC46 CF46 CI46 CL46 BT48 BW48 BZ48 CC48 CF48 CI48 CL48 BT50 BW50 BZ50 CC50 CF50 CI50 CL50 BT52 BW52 BZ52 CC52 CF52 CI52 CL52 BT54 BW54 BZ54 CC54 CF54 CI54 CL54 BT56 BW56 BZ56 CC56 CF56 CI56 CL56">
    <cfRule type="expression" dxfId="139" priority="94">
      <formula>AND(ISNUMBER(BT45),DATE(Planungsjahr,12,BT45)=TODAY())</formula>
    </cfRule>
  </conditionalFormatting>
  <conditionalFormatting sqref="BU46 BX46 CA46 CD46 CG46 CJ46 CM46 BU48 BX48 CA48 CD48 CG48 CJ48 CM48 BU50 BX50 CA50 CD50 CG50 CJ50 CM50 BU52 BX52 CA52 CD52 CG52 CJ52 CM52 BU54 BX54 CA54 CD54 CG54 CJ54 CM54 BU56 BX56 CA56 CD56 CG56 CJ56 CM56">
    <cfRule type="expression" dxfId="140" priority="95">
      <formula>AND(ISNUMBER(BT45),DATE(Planungsjahr,12,BT45)=TODAY())</formula>
    </cfRule>
  </conditionalFormatting>
  <conditionalFormatting sqref="BV46 BY46 CB46 CE46 CH46 CK46 CN46 BV48 BY48 CB48 CE48 CH48 CK48 CN48 BV50 BY50 CB50 CE50 CH50 CK50 CN50 BV52 BY52 CB52 CE52 CH52 CK52 CN52 BV54 BY54 CB54 CE54 CH54 CK54 CN54 BV56 BY56 CB56 CE56 CH56 CK56 CN56">
    <cfRule type="expression" dxfId="141" priority="96">
      <formula>AND(ISNUMBER(BT45),DATE(Planungsjahr,12,BT45)=TODAY())</formula>
    </cfRule>
  </conditionalFormatting>
  <conditionalFormatting sqref="C13:W13 C15:W15 C17:W17 C19:W19 C21:W21 C23:W23">
    <cfRule type="expression" dxfId="142" priority="702" stopIfTrue="1">
      <formula>AND(ISNUMBER(C13),COUNTIF(Feiertage,DATE(Planungsjahr,1,C13))&gt;0)</formula>
    </cfRule>
    <cfRule type="expression" dxfId="101" priority="703" stopIfTrue="1">
      <formula>AND(ISNUMBER(C13),WEEKDAY(DATE(Planungsjahr,1,C13),2)&gt;5)</formula>
    </cfRule>
  </conditionalFormatting>
  <conditionalFormatting sqref="C14:W14 Z14:AT14 AW14:BQ14 BT14:CN14 C16:W16 Z16:AT16 AW16:BQ16 BT16:CN16 C18:W18 Z18:AT18 AW18:BQ18 BT18:CN18 C20:W20 Z20:AT20 AW20:BQ20 BT20:CN20 C22:W22 Z22:AT22 AW22:BQ22 BT22:CN22 C24:W24 Z24:AT24 AW24:BQ24 BT24:CN24 C30:W30 Z30:AT30 AW30:BQ30 BT30:CN30 C32:W32 Z32:AT32 AW32:BQ32 BT32:CN32 C34:W34 Z34:AT34 AW34:BQ34 BT34:CN34 C36:W36 Z36:AT36 AW36:BQ36 BT36:CN36 C38:W38 Z38:AT38 AW38:BQ38 BT38:CN38 C40:W40 Z40:AT40 AW40:BQ40 BT40:CN40 C46:W46 Z46:AT46 AW46:BQ46 BT46:CN46 C48:W48 Z48:AT48 AW48:BQ48 BT48:CN48 C50:W50 Z50:AT50 AW50:BQ50 BT50:CN50 C52:W52 Z52:AT52 AW52:BQ52 BT52:CN52 C54:W54 Z54:AT54 AW54:BQ54 BT54:CN54 C56:W56 Z56:AT56 AW56:BQ56 BT56:CN56">
    <cfRule type="cellIs" dxfId="100" priority="730" stopIfTrue="1" operator="equal">
      <formula>"w"</formula>
    </cfRule>
    <cfRule type="cellIs" dxfId="143" priority="729" stopIfTrue="1" operator="equal">
      <formula>"h"</formula>
    </cfRule>
    <cfRule type="cellIs" dxfId="98" priority="728" stopIfTrue="1" operator="equal">
      <formula>"P"</formula>
    </cfRule>
    <cfRule type="cellIs" dxfId="97" priority="727" stopIfTrue="1" operator="equal">
      <formula>"I"</formula>
    </cfRule>
    <cfRule type="cellIs" dxfId="96" priority="726" stopIfTrue="1" operator="equal">
      <formula>"S"</formula>
    </cfRule>
  </conditionalFormatting>
  <conditionalFormatting sqref="C29:W29 C31:W31 C33:W33 C35:W35 C37:W37 C39:W39">
    <cfRule type="expression" dxfId="142" priority="710" stopIfTrue="1">
      <formula>AND(ISNUMBER(C29),COUNTIF(Feiertage,DATE(Planungsjahr,5,C29))&gt;0)</formula>
    </cfRule>
    <cfRule type="expression" dxfId="94" priority="711" stopIfTrue="1">
      <formula>AND(ISNUMBER(C29),WEEKDAY(DATE(Planungsjahr,5,C29),2)&gt;5)</formula>
    </cfRule>
  </conditionalFormatting>
  <conditionalFormatting sqref="C45:W45 C47:W47 C49:W49 C51:W51 C53:W53 C55:W55">
    <cfRule type="expression" dxfId="142" priority="718" stopIfTrue="1">
      <formula>AND(ISNUMBER(C45),COUNTIF(Feiertage,DATE(Planungsjahr,9,C45))&gt;0)</formula>
    </cfRule>
    <cfRule type="expression" dxfId="92" priority="719" stopIfTrue="1">
      <formula>AND(ISNUMBER(C45),WEEKDAY(DATE(Planungsjahr,9,C45),2)&gt;5)</formula>
    </cfRule>
  </conditionalFormatting>
  <conditionalFormatting sqref="Z62:Z81">
    <cfRule type="expression" dxfId="0" priority="731">
      <formula>AND(ISNUMBER(Z62),YEAR(Z62)&lt;&gt;Planungsjahr)</formula>
    </cfRule>
  </conditionalFormatting>
  <conditionalFormatting sqref="Z13:AT13 Z15:AT15 Z17:AT17 Z19:AT19 Z21:AT21 Z23:AT23">
    <cfRule type="expression" dxfId="142" priority="704" stopIfTrue="1">
      <formula>AND(ISNUMBER(Z13),COUNTIF(Feiertage,DATE(Planungsjahr,2,Z13))&gt;0)</formula>
    </cfRule>
    <cfRule type="expression" dxfId="90" priority="705" stopIfTrue="1">
      <formula>AND(ISNUMBER(Z13),WEEKDAY(DATE(Planungsjahr,2,Z13),2)&gt;5)</formula>
    </cfRule>
  </conditionalFormatting>
  <conditionalFormatting sqref="Z29:AT29 Z31:AT31 Z33:AT33 Z35:AT35 Z37:AT37 Z39:AT39">
    <cfRule type="expression" dxfId="142" priority="712" stopIfTrue="1">
      <formula>AND(ISNUMBER(Z29),COUNTIF(Feiertage,DATE(Planungsjahr,6,Z29))&gt;0)</formula>
    </cfRule>
    <cfRule type="expression" dxfId="88" priority="713" stopIfTrue="1">
      <formula>AND(ISNUMBER(Z29),WEEKDAY(DATE(Planungsjahr,6,Z29),2)&gt;5)</formula>
    </cfRule>
  </conditionalFormatting>
  <conditionalFormatting sqref="Z45:AT45 Z47:AT47 Z49:AT49 Z51:AT51 Z53:AT53 Z55:AT55">
    <cfRule type="expression" dxfId="142" priority="720" stopIfTrue="1">
      <formula>AND(ISNUMBER(Z45),COUNTIF(Feiertage,DATE(Planungsjahr,10,Z45))&gt;0)</formula>
    </cfRule>
    <cfRule type="expression" dxfId="87" priority="721" stopIfTrue="1">
      <formula>AND(ISNUMBER(Z45),WEEKDAY(DATE(Planungsjahr,10,Z45),2)&gt;5)</formula>
    </cfRule>
  </conditionalFormatting>
  <conditionalFormatting sqref="AP62:AP81">
    <cfRule type="expression" dxfId="84" priority="732">
      <formula>AND(ISNUMBER(AP62),YEAR(AP62)&lt;&gt;Planungsjahr)</formula>
    </cfRule>
  </conditionalFormatting>
  <conditionalFormatting sqref="AW13:BQ13 AW15:BQ15 AW17:BQ17 AW19:BQ19 AW21:BQ21 AW23:BQ23">
    <cfRule type="expression" dxfId="142" priority="706" stopIfTrue="1">
      <formula>AND(ISNUMBER(AW13),COUNTIF(Feiertage,DATE(Planungsjahr,3,AW13))&gt;0)</formula>
    </cfRule>
    <cfRule type="expression" dxfId="83" priority="707" stopIfTrue="1">
      <formula>AND(ISNUMBER(AW13),WEEKDAY(DATE(Planungsjahr,3,AW13),2)&gt;5)</formula>
    </cfRule>
  </conditionalFormatting>
  <conditionalFormatting sqref="AW29:BQ29 AW31:BQ31 AW33:BQ33 AW35:BQ35 AW37:BQ37 AW39:BQ39">
    <cfRule type="expression" dxfId="142" priority="714" stopIfTrue="1">
      <formula>AND(ISNUMBER(AW29),COUNTIF(Feiertage,DATE(Planungsjahr,7,AW29))&gt;0)</formula>
    </cfRule>
    <cfRule type="expression" dxfId="81" priority="715" stopIfTrue="1">
      <formula>AND(ISNUMBER(AW29),WEEKDAY(DATE(Planungsjahr,7,AW29),2)&gt;5)</formula>
    </cfRule>
  </conditionalFormatting>
  <conditionalFormatting sqref="AW45:BQ45 AW47:BQ47 AW49:BQ49 AW51:BQ51 AW53:BQ53 AW55:BQ55">
    <cfRule type="expression" dxfId="142" priority="722" stopIfTrue="1">
      <formula>AND(ISNUMBER(AW45),COUNTIF(Feiertage,DATE(Planungsjahr,11,AW45))&gt;0)</formula>
    </cfRule>
    <cfRule type="expression" dxfId="78" priority="723" stopIfTrue="1">
      <formula>AND(ISNUMBER(AW45),WEEKDAY(DATE(Planungsjahr,11,AW45),2)&gt;5)</formula>
    </cfRule>
  </conditionalFormatting>
  <conditionalFormatting sqref="BD62:BD81">
    <cfRule type="expression" dxfId="77" priority="733">
      <formula>AND(ISNUMBER(BD62),YEAR(BD62)&lt;&gt;Planungsjahr)</formula>
    </cfRule>
    <cfRule type="expression" dxfId="76" priority="734">
      <formula>AND(ISNUMBER(BD62),ISNUMBER(SEARCH("prüfen",$BU62)))</formula>
    </cfRule>
  </conditionalFormatting>
  <conditionalFormatting sqref="BD63:BD81">
    <cfRule type="expression" dxfId="75" priority="735">
      <formula>AND(ISNUMBER(BD63),ISNUMBER(BD62),BD63&lt;BD62)</formula>
    </cfRule>
  </conditionalFormatting>
  <conditionalFormatting sqref="BT13:CN13 BT15:CN15 BT17:CN17 BT19:CN19 BT21:CN21 BT23:CN23">
    <cfRule type="expression" dxfId="142" priority="708" stopIfTrue="1">
      <formula>AND(ISNUMBER(BT13),COUNTIF(Feiertage,DATE(Planungsjahr,4,BT13))&gt;0)</formula>
    </cfRule>
    <cfRule type="expression" dxfId="74" priority="709" stopIfTrue="1">
      <formula>AND(ISNUMBER(BT13),WEEKDAY(DATE(Planungsjahr,4,BT13),2)&gt;5)</formula>
    </cfRule>
  </conditionalFormatting>
  <conditionalFormatting sqref="BT29:CN29 BT31:CN31 BT33:CN33 BT35:CN35 BT37:CN37 BT39:CN39">
    <cfRule type="expression" dxfId="142" priority="716" stopIfTrue="1">
      <formula>AND(ISNUMBER(BT29),COUNTIF(Feiertage,DATE(Planungsjahr,8,BT29))&gt;0)</formula>
    </cfRule>
    <cfRule type="expression" dxfId="71" priority="717" stopIfTrue="1">
      <formula>AND(ISNUMBER(BT29),WEEKDAY(DATE(Planungsjahr,8,BT29),2)&gt;5)</formula>
    </cfRule>
  </conditionalFormatting>
  <conditionalFormatting sqref="BT45:CN45 BT47:CN47 BT49:CN49 BT51:CN51 BT53:CN53 BT55:CN55">
    <cfRule type="expression" dxfId="142" priority="724" stopIfTrue="1">
      <formula>AND(ISNUMBER(BT45),COUNTIF(Feiertage,DATE(Planungsjahr,12,BT45))&gt;0)</formula>
    </cfRule>
    <cfRule type="expression" dxfId="69" priority="725" stopIfTrue="1">
      <formula>AND(ISNUMBER(BT45),WEEKDAY(DATE(Planungsjahr,12,BT45),2)&gt;5)</formula>
    </cfRule>
  </conditionalFormatting>
  <dataValidations count="9">
    <dataValidation type="list" allowBlank="1" showInputMessage="1" showErrorMessage="1" promptTitle="Art der Bitte" prompt="Bitte auswählen: aktiv, passiv oder nein" sqref="BM62:BM81" xr:uid="{00000000-0002-0000-0000-000000000000}">
      <formula1>"aktiv,passiv,nein"</formula1>
    </dataValidation>
    <dataValidation type="date" operator="greaterThan" allowBlank="1" showInputMessage="1" showErrorMessage="1" errorTitle="PAL" error="Bitte ein Datum eingeben." promptTitle="PAL" prompt="Geplanter Eingang bei der Zielgruppe (Briefkasten-Termin), z. B. 26.11.2027" sqref="BD62:BD81" xr:uid="{00000000-0002-0000-0000-000001000000}">
      <formula1>36526</formula1>
    </dataValidation>
    <dataValidation type="whole" operator="greaterThanOrEqual" allowBlank="1" showInputMessage="1" showErrorMessage="1" errorTitle="Vorlauf Selektion" error="Bitte eine ganze Zahl ≥ 0 eingeben." promptTitle="Vorlauf Selektion" prompt="Tage vor PAL. Sommer- und Weihnachtsmailing: automatisch aus dem Gantt (Blatt 2/3), bitte nicht überschreiben. Alle anderen Maßnahmen: hier eintragen." sqref="AI62:AI81" xr:uid="{00000000-0002-0000-0000-000002000000}">
      <formula1>0</formula1>
    </dataValidation>
    <dataValidation type="whole" operator="greaterThanOrEqual" allowBlank="1" showInputMessage="1" showErrorMessage="1" errorTitle="Vorlauf Inhalt" error="Bitte eine ganze Zahl ≥ 0 eingeben." promptTitle="Vorlauf Inhalt" prompt="Tage vor PAL. Sommer- und Weihnachtsmailing: automatisch aus dem Gantt (Blatt 2/3), bitte nicht überschreiben. Alle anderen Maßnahmen: hier eintragen." sqref="AW62:AW81" xr:uid="{00000000-0002-0000-0000-000003000000}">
      <formula1>0</formula1>
    </dataValidation>
    <dataValidation type="whole" operator="greaterThanOrEqual" allowBlank="1" showInputMessage="1" showErrorMessage="1" errorTitle="Auflage" error="Bitte eine ganze Zahl eingeben." promptTitle="Auflage" prompt="Geplante Auflage (optional, Hinweisfeld)" sqref="V62:V81" xr:uid="{00000000-0002-0000-0000-000004000000}">
      <formula1>0</formula1>
    </dataValidation>
    <dataValidation type="whole" allowBlank="1" showInputMessage="1" showErrorMessage="1" errorTitle="Planungsjahr" error="Bitte ein Jahr zwischen 2000 und 2100 eingeben." promptTitle="Planungsjahr" prompt="Jahr ändern: Kalender und Feiertage passen sich automatisch an." sqref="W4" xr:uid="{00000000-0002-0000-0000-000005000000}">
      <formula1>2000</formula1>
      <formula2>2100</formula2>
    </dataValidation>
    <dataValidation allowBlank="1" showInputMessage="1" promptTitle="Im Kalender anzeigen (S)" prompt="Häkchen = Start Selektion dieser Maßnahme wird im Kalender markiert. Häkchen entfernen = Marker ausgeblendet (die Tabelle bleibt unverändert)." sqref="S62:S81"/>
    <dataValidation allowBlank="1" showInputMessage="1" promptTitle="Im Kalender anzeigen (I)" prompt="Häkchen = Start inhaltliche Arbeit dieser Maßnahme wird im Kalender markiert. Häkchen entfernen = Marker ausgeblendet (die Tabelle bleibt unverändert)." sqref="T62:T81"/>
    <dataValidation allowBlank="1" showInputMessage="1" promptTitle="Im Kalender anzeigen (P)" prompt="Häkchen = PAL dieser Maßnahme wird im Kalender markiert. Häkchen entfernen = Marker ausgeblendet (die Tabelle bleibt unverändert)." sqref="U62:U81"/>
  </dataValidations>
  <printOptions horizontalCentered="1"/>
  <pageMargins left="0.3" right="0.3" top="0.4" bottom="0.4" header="0.2" footer="0.2"/>
  <pageSetup paperSize="9" scale="64" orientation="landscape"/>
  <headerFooter>
    <oddFooter>&amp;L&amp;8Jahresplanung Außenkommunikation&amp;R&amp;8Seite &amp;P von &amp;N</oddFooter>
  </headerFooter>
  <rowBreaks count="1" manualBreakCount="1">
    <brk id="58" max="16383" man="1"/>
  </rowBreaks>
  <ignoredErrors>
    <ignoredError sqref="B11:CO57" evalError="1" twoDigitTextYear="1" numberStoredAsText="1" formula="1" formulaRange="1" unlockedFormula="1" emptyCellReference="1"/>
  </ignoredError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D7559-4053-46F5-8A70-22EAD26F11F6}">
  <sheetPr>
    <pageSetUpPr fitToPage="1"/>
  </sheetPr>
  <dimension ref="A1:BM48"/>
  <sheetViews>
    <sheetView showGridLines="0" showRuler="0" topLeftCell="A3" zoomScale="80" zoomScaleNormal="80" zoomScalePageLayoutView="70" workbookViewId="0">
      <selection activeCell="O21" sqref="O21"/>
    </sheetView>
  </sheetViews>
  <sheetFormatPr baseColWidth="10" defaultColWidth="8.85546875" defaultRowHeight="30" customHeight="1" x14ac:dyDescent="0.25"/>
  <cols>
    <col min="1" max="1" width="6.42578125" style="6" customWidth="1"/>
    <col min="2" max="2" width="34.28515625" customWidth="1"/>
    <col min="3" max="3" width="16.28515625" customWidth="1"/>
    <col min="4" max="4" width="21.5703125" customWidth="1"/>
    <col min="5" max="5" width="15.7109375" customWidth="1"/>
    <col min="6" max="6" width="11.5703125" style="2" customWidth="1"/>
    <col min="7" max="7" width="10.28515625" customWidth="1"/>
    <col min="8" max="8" width="10.7109375" customWidth="1"/>
    <col min="9" max="64" width="3.5703125" customWidth="1"/>
    <col min="65" max="65" width="2.7109375" customWidth="1"/>
  </cols>
  <sheetData>
    <row r="1" spans="1:65" ht="25.15" customHeight="1" x14ac:dyDescent="0.25"/>
    <row r="2" spans="1:65" ht="49.9" customHeight="1" x14ac:dyDescent="0.25">
      <c r="A2" s="7" t="s">
        <v>0</v>
      </c>
      <c r="B2" s="151" t="str">
        <f>"                    Sommermailing "&amp;Planungsjahr</f>
        <v xml:space="preserve">                    Sommermailing 2027</v>
      </c>
      <c r="C2" s="152"/>
      <c r="D2" s="152"/>
      <c r="E2" s="152"/>
      <c r="F2" s="152"/>
      <c r="G2" s="152"/>
      <c r="H2" s="152"/>
      <c r="I2" s="153"/>
      <c r="J2" s="154"/>
      <c r="K2" s="154"/>
      <c r="L2" s="154"/>
      <c r="M2" s="154"/>
      <c r="N2" s="154"/>
      <c r="O2" s="145"/>
      <c r="P2" s="145"/>
      <c r="Q2" s="145"/>
      <c r="R2" s="145"/>
      <c r="S2" s="145"/>
      <c r="T2" s="145"/>
      <c r="U2" s="50"/>
      <c r="V2" s="50"/>
      <c r="W2" s="50"/>
      <c r="X2" s="50"/>
      <c r="Y2" s="50"/>
      <c r="Z2" s="50"/>
      <c r="AA2" s="50"/>
      <c r="AB2" s="50"/>
      <c r="AC2" s="50"/>
      <c r="AD2" s="50"/>
      <c r="AE2" s="50"/>
      <c r="AF2" s="148"/>
      <c r="AG2" s="149"/>
      <c r="AH2" s="149"/>
      <c r="AI2" s="149"/>
      <c r="AJ2" s="149"/>
      <c r="AK2" s="149"/>
      <c r="AL2" s="149"/>
      <c r="AM2" s="149"/>
      <c r="AN2" s="149"/>
      <c r="AO2" s="149"/>
      <c r="AP2" s="149"/>
      <c r="AQ2" s="149"/>
      <c r="AR2" s="149"/>
      <c r="AS2" s="149"/>
      <c r="AT2" s="149"/>
      <c r="AU2" s="149"/>
      <c r="AV2" s="149"/>
      <c r="AW2" s="149"/>
      <c r="AX2" s="149"/>
      <c r="AY2" s="50"/>
      <c r="AZ2" s="50"/>
      <c r="BA2" s="50"/>
      <c r="BB2" s="50"/>
      <c r="BC2" s="50"/>
      <c r="BD2" s="50"/>
      <c r="BE2" s="50"/>
      <c r="BF2" s="50"/>
      <c r="BG2" s="50"/>
      <c r="BH2" s="50"/>
      <c r="BI2" s="50"/>
      <c r="BJ2" s="50"/>
      <c r="BK2" s="50"/>
      <c r="BL2" s="50"/>
      <c r="BM2" s="50"/>
    </row>
    <row r="3" spans="1:65" ht="19.899999999999999" customHeight="1" thickBot="1" x14ac:dyDescent="0.3">
      <c r="A3" s="7"/>
      <c r="B3" s="14"/>
      <c r="C3" s="15"/>
      <c r="D3" s="16"/>
      <c r="E3" s="16"/>
      <c r="F3" s="17"/>
      <c r="G3" s="16"/>
      <c r="H3" s="16"/>
      <c r="I3" s="23"/>
      <c r="J3" s="1"/>
      <c r="K3" s="1"/>
      <c r="L3" s="1"/>
    </row>
    <row r="4" spans="1:65" ht="30" customHeight="1" thickBot="1" x14ac:dyDescent="0.3">
      <c r="A4" s="7"/>
      <c r="B4" s="67" t="s">
        <v>1</v>
      </c>
      <c r="C4" s="88">
        <f>INDEX(JP_PAL,MATCH($E$4,JP_Massnahme,0))</f>
        <v>46557</v>
      </c>
      <c r="D4" s="112" t="s">
        <v>53</v>
      </c>
      <c r="E4" s="143" t="s">
        <v>54</v>
      </c>
      <c r="F4" s="118"/>
      <c r="G4" s="20"/>
      <c r="H4" s="19"/>
      <c r="I4" s="155"/>
      <c r="J4" s="155"/>
      <c r="K4" s="155"/>
      <c r="L4" s="155"/>
      <c r="M4" s="155"/>
      <c r="N4" s="155"/>
      <c r="P4" s="147"/>
      <c r="Q4" s="147"/>
      <c r="R4" s="147"/>
      <c r="S4" s="147"/>
      <c r="T4" s="147"/>
      <c r="U4" s="147"/>
      <c r="W4" s="147"/>
      <c r="X4" s="147"/>
      <c r="Y4" s="147"/>
      <c r="Z4" s="147"/>
      <c r="AA4" s="147"/>
      <c r="AB4" s="147"/>
      <c r="AD4" s="147"/>
      <c r="AE4" s="147"/>
      <c r="AF4" s="147"/>
      <c r="AG4" s="147"/>
      <c r="AH4" s="147"/>
      <c r="AJ4" s="146"/>
      <c r="AK4" s="146"/>
      <c r="AL4" s="146"/>
      <c r="AM4" s="146"/>
      <c r="AN4" s="146"/>
      <c r="AO4" s="146"/>
    </row>
    <row r="5" spans="1:65" ht="19.5" customHeight="1" thickBot="1" x14ac:dyDescent="0.4">
      <c r="A5" s="7" t="s">
        <v>2</v>
      </c>
      <c r="B5" s="49" t="s">
        <v>3</v>
      </c>
      <c r="C5" s="47" t="s">
        <v>4</v>
      </c>
      <c r="D5" s="48" t="s">
        <v>5</v>
      </c>
      <c r="E5" s="47" t="s">
        <v>6</v>
      </c>
      <c r="F5" s="47" t="s">
        <v>7</v>
      </c>
      <c r="G5" s="43" t="s">
        <v>8</v>
      </c>
      <c r="H5" s="43" t="s">
        <v>9</v>
      </c>
    </row>
    <row r="6" spans="1:65" ht="30" customHeight="1" thickTop="1" x14ac:dyDescent="0.35">
      <c r="A6" s="7" t="s">
        <v>10</v>
      </c>
      <c r="B6" s="41" t="s">
        <v>11</v>
      </c>
      <c r="C6" s="66">
        <f ca="1">IF(TODAY()&gt;=F11+7,TODAY()-7,F11)</f>
        <v>46481</v>
      </c>
      <c r="D6" s="21"/>
      <c r="E6" s="45"/>
      <c r="F6" s="46"/>
      <c r="G6" s="19"/>
      <c r="H6" s="19"/>
      <c r="I6" s="28" t="str">
        <f ca="1">TEXT(I7,"MMMM")</f>
        <v>April</v>
      </c>
      <c r="J6" s="28"/>
      <c r="K6" s="28"/>
      <c r="L6" s="28"/>
      <c r="M6" s="28"/>
      <c r="N6" s="28"/>
      <c r="O6" s="28"/>
      <c r="P6" s="28" t="str">
        <f ca="1">IF(TEXT(P7,"MMMM")=I6,"",TEXT(P7,"MMMM"))</f>
        <v/>
      </c>
      <c r="Q6" s="28"/>
      <c r="R6" s="28"/>
      <c r="S6" s="28"/>
      <c r="T6" s="28"/>
      <c r="U6" s="28"/>
      <c r="V6" s="28"/>
      <c r="W6" s="28" t="str">
        <f ca="1">IF(OR(TEXT(W7,"MMMM")=P6,TEXT(W7,"MMMM")=I6),"",TEXT(W7,"MMMM"))</f>
        <v/>
      </c>
      <c r="X6" s="28"/>
      <c r="Y6" s="28"/>
      <c r="Z6" s="28"/>
      <c r="AA6" s="28"/>
      <c r="AB6" s="28"/>
      <c r="AC6" s="28"/>
      <c r="AD6" s="28" t="str">
        <f ca="1">IF(OR(TEXT(AD7,"MMMM")=W6,TEXT(AD7,"MMMM")=P6,TEXT(AD7,"MMMM")=I6),"",TEXT(AD7,"MMMM"))</f>
        <v/>
      </c>
      <c r="AE6" s="28"/>
      <c r="AF6" s="28"/>
      <c r="AG6" s="28"/>
      <c r="AH6" s="28"/>
      <c r="AI6" s="28"/>
      <c r="AJ6" s="28"/>
      <c r="AK6" s="28" t="str">
        <f ca="1">IF(OR(TEXT(AK7,"MMMM")=AD6,TEXT(AK7,"MMMM")=W6,TEXT(AK7,"MMMM")=P6,TEXT(AK7,"MMMM")=I6),"",TEXT(AK7,"MMMM"))</f>
        <v>Mai</v>
      </c>
      <c r="AL6" s="28"/>
      <c r="AM6" s="28"/>
      <c r="AN6" s="28"/>
      <c r="AO6" s="28"/>
      <c r="AP6" s="28"/>
      <c r="AQ6" s="28"/>
      <c r="AR6" s="28" t="str">
        <f ca="1">IF(OR(TEXT(AR7,"MMMM")=AK6,TEXT(AR7,"MMMM")=AD6,TEXT(AR7,"MMMM")=W6,TEXT(AR7,"MMMM")=P6),"",TEXT(AR7,"MMMM"))</f>
        <v/>
      </c>
      <c r="AS6" s="28"/>
      <c r="AT6" s="28"/>
      <c r="AU6" s="28"/>
      <c r="AV6" s="28"/>
      <c r="AW6" s="28"/>
      <c r="AX6" s="29"/>
      <c r="AY6" s="29" t="str">
        <f ca="1">IF(OR(TEXT(AY7,"MMMM")=AR6,TEXT(AY7,"MMMM")=AK6,TEXT(AY7,"MMMM")=AD6,TEXT(AY7,"MMMM")=W6),"",TEXT(AY7,"MMMM"))</f>
        <v/>
      </c>
      <c r="AZ6" s="29"/>
      <c r="BA6" s="29"/>
      <c r="BB6" s="30"/>
      <c r="BC6" s="27"/>
      <c r="BD6" s="27"/>
      <c r="BE6" s="27"/>
      <c r="BF6" s="27" t="str">
        <f ca="1">IF(OR(TEXT(BF7,"MMMM")=AY6,TEXT(BF7,"MMMM")=AR6,TEXT(BF7,"MMMM")=AK6,TEXT(BF7,"MMMM")=AD6),"",TEXT(BF7,"MMMM"))</f>
        <v/>
      </c>
      <c r="BG6" s="27"/>
      <c r="BH6" s="27"/>
      <c r="BI6" s="27"/>
      <c r="BJ6" s="27"/>
      <c r="BK6" s="27"/>
      <c r="BL6" s="27"/>
    </row>
    <row r="7" spans="1:65" ht="30" customHeight="1" x14ac:dyDescent="0.25">
      <c r="A7" s="7"/>
      <c r="B7" s="41" t="s">
        <v>12</v>
      </c>
      <c r="C7" s="42">
        <v>0</v>
      </c>
      <c r="D7" s="18"/>
      <c r="E7" s="26"/>
      <c r="F7" s="26"/>
      <c r="G7" s="19"/>
      <c r="H7" s="22"/>
      <c r="I7" s="31">
        <f ca="1">IFERROR(Projekt_Start+Scroll_Schrittweite,TODAY())</f>
        <v>46481</v>
      </c>
      <c r="J7" s="32">
        <f ca="1">I7+1</f>
        <v>46482</v>
      </c>
      <c r="K7" s="32">
        <f t="shared" ref="K7:AX7" ca="1" si="0">J7+1</f>
        <v>46483</v>
      </c>
      <c r="L7" s="32">
        <f t="shared" ca="1" si="0"/>
        <v>46484</v>
      </c>
      <c r="M7" s="32">
        <f t="shared" ca="1" si="0"/>
        <v>46485</v>
      </c>
      <c r="N7" s="32">
        <f t="shared" ca="1" si="0"/>
        <v>46486</v>
      </c>
      <c r="O7" s="33">
        <f t="shared" ca="1" si="0"/>
        <v>46487</v>
      </c>
      <c r="P7" s="32">
        <f ca="1">O7+1</f>
        <v>46488</v>
      </c>
      <c r="Q7" s="32">
        <f ca="1">P7+1</f>
        <v>46489</v>
      </c>
      <c r="R7" s="32">
        <f t="shared" ca="1" si="0"/>
        <v>46490</v>
      </c>
      <c r="S7" s="32">
        <f t="shared" ca="1" si="0"/>
        <v>46491</v>
      </c>
      <c r="T7" s="32">
        <f t="shared" ca="1" si="0"/>
        <v>46492</v>
      </c>
      <c r="U7" s="32">
        <f t="shared" ca="1" si="0"/>
        <v>46493</v>
      </c>
      <c r="V7" s="33">
        <f t="shared" ca="1" si="0"/>
        <v>46494</v>
      </c>
      <c r="W7" s="32">
        <f ca="1">V7+1</f>
        <v>46495</v>
      </c>
      <c r="X7" s="32">
        <f ca="1">W7+1</f>
        <v>46496</v>
      </c>
      <c r="Y7" s="32">
        <f t="shared" ca="1" si="0"/>
        <v>46497</v>
      </c>
      <c r="Z7" s="32">
        <f t="shared" ca="1" si="0"/>
        <v>46498</v>
      </c>
      <c r="AA7" s="32">
        <f t="shared" ca="1" si="0"/>
        <v>46499</v>
      </c>
      <c r="AB7" s="32">
        <f t="shared" ca="1" si="0"/>
        <v>46500</v>
      </c>
      <c r="AC7" s="33">
        <f t="shared" ca="1" si="0"/>
        <v>46501</v>
      </c>
      <c r="AD7" s="32">
        <f ca="1">AC7+1</f>
        <v>46502</v>
      </c>
      <c r="AE7" s="32">
        <f ca="1">AD7+1</f>
        <v>46503</v>
      </c>
      <c r="AF7" s="32">
        <f t="shared" ca="1" si="0"/>
        <v>46504</v>
      </c>
      <c r="AG7" s="32">
        <f t="shared" ca="1" si="0"/>
        <v>46505</v>
      </c>
      <c r="AH7" s="32">
        <f t="shared" ca="1" si="0"/>
        <v>46506</v>
      </c>
      <c r="AI7" s="32">
        <f t="shared" ca="1" si="0"/>
        <v>46507</v>
      </c>
      <c r="AJ7" s="33">
        <f t="shared" ca="1" si="0"/>
        <v>46508</v>
      </c>
      <c r="AK7" s="32">
        <f ca="1">AJ7+1</f>
        <v>46509</v>
      </c>
      <c r="AL7" s="32">
        <f ca="1">AK7+1</f>
        <v>46510</v>
      </c>
      <c r="AM7" s="32">
        <f t="shared" ca="1" si="0"/>
        <v>46511</v>
      </c>
      <c r="AN7" s="32">
        <f t="shared" ca="1" si="0"/>
        <v>46512</v>
      </c>
      <c r="AO7" s="32">
        <f t="shared" ca="1" si="0"/>
        <v>46513</v>
      </c>
      <c r="AP7" s="32">
        <f t="shared" ca="1" si="0"/>
        <v>46514</v>
      </c>
      <c r="AQ7" s="33">
        <f t="shared" ca="1" si="0"/>
        <v>46515</v>
      </c>
      <c r="AR7" s="32">
        <f ca="1">AQ7+1</f>
        <v>46516</v>
      </c>
      <c r="AS7" s="32">
        <f ca="1">AR7+1</f>
        <v>46517</v>
      </c>
      <c r="AT7" s="32">
        <f t="shared" ca="1" si="0"/>
        <v>46518</v>
      </c>
      <c r="AU7" s="32">
        <f t="shared" ca="1" si="0"/>
        <v>46519</v>
      </c>
      <c r="AV7" s="32">
        <f t="shared" ca="1" si="0"/>
        <v>46520</v>
      </c>
      <c r="AW7" s="32">
        <f t="shared" ca="1" si="0"/>
        <v>46521</v>
      </c>
      <c r="AX7" s="33">
        <f t="shared" ca="1" si="0"/>
        <v>46522</v>
      </c>
      <c r="AY7" s="32">
        <f ca="1">AX7+1</f>
        <v>46523</v>
      </c>
      <c r="AZ7" s="32">
        <f ca="1">AY7+1</f>
        <v>46524</v>
      </c>
      <c r="BA7" s="32">
        <f t="shared" ref="BA7:BE7" ca="1" si="1">AZ7+1</f>
        <v>46525</v>
      </c>
      <c r="BB7" s="32">
        <f t="shared" ca="1" si="1"/>
        <v>46526</v>
      </c>
      <c r="BC7" s="32">
        <f t="shared" ca="1" si="1"/>
        <v>46527</v>
      </c>
      <c r="BD7" s="32">
        <f t="shared" ca="1" si="1"/>
        <v>46528</v>
      </c>
      <c r="BE7" s="33">
        <f t="shared" ca="1" si="1"/>
        <v>46529</v>
      </c>
      <c r="BF7" s="32">
        <f ca="1">BE7+1</f>
        <v>46530</v>
      </c>
      <c r="BG7" s="32">
        <f ca="1">BF7+1</f>
        <v>46531</v>
      </c>
      <c r="BH7" s="32">
        <f t="shared" ref="BH7:BL7" ca="1" si="2">BG7+1</f>
        <v>46532</v>
      </c>
      <c r="BI7" s="32">
        <f t="shared" ca="1" si="2"/>
        <v>46533</v>
      </c>
      <c r="BJ7" s="32">
        <f t="shared" ca="1" si="2"/>
        <v>46534</v>
      </c>
      <c r="BK7" s="32">
        <f t="shared" ca="1" si="2"/>
        <v>46535</v>
      </c>
      <c r="BL7" s="33">
        <f t="shared" ca="1" si="2"/>
        <v>46536</v>
      </c>
    </row>
    <row r="8" spans="1:65" ht="19.899999999999999" customHeight="1" x14ac:dyDescent="0.25">
      <c r="A8" s="7"/>
      <c r="B8" s="18"/>
      <c r="C8" s="18"/>
      <c r="D8" s="18"/>
      <c r="E8" s="19"/>
      <c r="F8" s="19"/>
      <c r="G8" s="19"/>
      <c r="H8" s="22"/>
      <c r="I8" s="34"/>
      <c r="J8" s="35"/>
      <c r="K8" s="35"/>
      <c r="L8" s="35"/>
      <c r="M8" s="35"/>
      <c r="N8" s="35"/>
      <c r="O8" s="35"/>
      <c r="P8" s="36"/>
      <c r="Q8" s="35"/>
      <c r="R8" s="35"/>
      <c r="S8" s="35"/>
      <c r="T8" s="35"/>
      <c r="U8" s="35"/>
      <c r="V8" s="37"/>
      <c r="W8" s="35"/>
      <c r="X8" s="35"/>
      <c r="Y8" s="35"/>
      <c r="Z8" s="35"/>
      <c r="AA8" s="35"/>
      <c r="AB8" s="35"/>
      <c r="AC8" s="37"/>
      <c r="AD8" s="35"/>
      <c r="AE8" s="35"/>
      <c r="AF8" s="35"/>
      <c r="AG8" s="35"/>
      <c r="AH8" s="35"/>
      <c r="AI8" s="35"/>
      <c r="AJ8" s="37"/>
      <c r="AK8" s="35"/>
      <c r="AL8" s="35"/>
      <c r="AM8" s="35"/>
      <c r="AN8" s="35"/>
      <c r="AO8" s="35"/>
      <c r="AP8" s="35"/>
      <c r="AQ8" s="37"/>
      <c r="AR8" s="35"/>
      <c r="AS8" s="35"/>
      <c r="AT8" s="35"/>
      <c r="AU8" s="35"/>
      <c r="AV8" s="35"/>
      <c r="AW8" s="35"/>
      <c r="AX8" s="37"/>
      <c r="AY8" s="35"/>
      <c r="AZ8" s="35"/>
      <c r="BA8" s="35"/>
      <c r="BB8" s="35"/>
      <c r="BC8" s="35"/>
      <c r="BD8" s="35"/>
      <c r="BE8" s="37"/>
      <c r="BF8" s="35"/>
      <c r="BG8" s="35"/>
      <c r="BH8" s="35"/>
      <c r="BI8" s="35"/>
      <c r="BJ8" s="35"/>
      <c r="BK8" s="35"/>
      <c r="BL8" s="38"/>
    </row>
    <row r="9" spans="1:65" ht="40.15" customHeight="1" x14ac:dyDescent="0.25">
      <c r="A9" s="7" t="s">
        <v>13</v>
      </c>
      <c r="B9" s="51" t="s">
        <v>14</v>
      </c>
      <c r="C9" s="53" t="s">
        <v>15</v>
      </c>
      <c r="D9" s="52" t="s">
        <v>16</v>
      </c>
      <c r="E9" s="54" t="s">
        <v>17</v>
      </c>
      <c r="F9" s="54" t="s">
        <v>18</v>
      </c>
      <c r="G9" s="53" t="s">
        <v>19</v>
      </c>
      <c r="H9" s="58" t="s">
        <v>20</v>
      </c>
      <c r="I9" s="39" t="str">
        <f t="shared" ref="I9:AN9" ca="1" si="3">LEFT(TEXT(I7,"TTT"),1)</f>
        <v>S</v>
      </c>
      <c r="J9" s="39" t="str">
        <f t="shared" ca="1" si="3"/>
        <v>M</v>
      </c>
      <c r="K9" s="39" t="str">
        <f t="shared" ca="1" si="3"/>
        <v>D</v>
      </c>
      <c r="L9" s="39" t="str">
        <f t="shared" ca="1" si="3"/>
        <v>M</v>
      </c>
      <c r="M9" s="39" t="str">
        <f t="shared" ca="1" si="3"/>
        <v>D</v>
      </c>
      <c r="N9" s="39" t="str">
        <f t="shared" ca="1" si="3"/>
        <v>F</v>
      </c>
      <c r="O9" s="39" t="str">
        <f t="shared" ca="1" si="3"/>
        <v>S</v>
      </c>
      <c r="P9" s="39" t="str">
        <f t="shared" ca="1" si="3"/>
        <v>S</v>
      </c>
      <c r="Q9" s="39" t="str">
        <f t="shared" ca="1" si="3"/>
        <v>M</v>
      </c>
      <c r="R9" s="39" t="str">
        <f t="shared" ca="1" si="3"/>
        <v>D</v>
      </c>
      <c r="S9" s="39" t="str">
        <f t="shared" ca="1" si="3"/>
        <v>M</v>
      </c>
      <c r="T9" s="39" t="str">
        <f t="shared" ca="1" si="3"/>
        <v>D</v>
      </c>
      <c r="U9" s="39" t="str">
        <f t="shared" ca="1" si="3"/>
        <v>F</v>
      </c>
      <c r="V9" s="39" t="str">
        <f t="shared" ca="1" si="3"/>
        <v>S</v>
      </c>
      <c r="W9" s="39" t="str">
        <f t="shared" ca="1" si="3"/>
        <v>S</v>
      </c>
      <c r="X9" s="39" t="str">
        <f t="shared" ca="1" si="3"/>
        <v>M</v>
      </c>
      <c r="Y9" s="39" t="str">
        <f t="shared" ca="1" si="3"/>
        <v>D</v>
      </c>
      <c r="Z9" s="39" t="str">
        <f t="shared" ca="1" si="3"/>
        <v>M</v>
      </c>
      <c r="AA9" s="39" t="str">
        <f t="shared" ca="1" si="3"/>
        <v>D</v>
      </c>
      <c r="AB9" s="39" t="str">
        <f t="shared" ca="1" si="3"/>
        <v>F</v>
      </c>
      <c r="AC9" s="39" t="str">
        <f t="shared" ca="1" si="3"/>
        <v>S</v>
      </c>
      <c r="AD9" s="39" t="str">
        <f t="shared" ca="1" si="3"/>
        <v>S</v>
      </c>
      <c r="AE9" s="39" t="str">
        <f t="shared" ca="1" si="3"/>
        <v>M</v>
      </c>
      <c r="AF9" s="39" t="str">
        <f t="shared" ca="1" si="3"/>
        <v>D</v>
      </c>
      <c r="AG9" s="39" t="str">
        <f t="shared" ca="1" si="3"/>
        <v>M</v>
      </c>
      <c r="AH9" s="39" t="str">
        <f t="shared" ca="1" si="3"/>
        <v>D</v>
      </c>
      <c r="AI9" s="39" t="str">
        <f t="shared" ca="1" si="3"/>
        <v>F</v>
      </c>
      <c r="AJ9" s="39" t="str">
        <f t="shared" ca="1" si="3"/>
        <v>S</v>
      </c>
      <c r="AK9" s="39" t="str">
        <f t="shared" ca="1" si="3"/>
        <v>S</v>
      </c>
      <c r="AL9" s="39" t="str">
        <f t="shared" ca="1" si="3"/>
        <v>M</v>
      </c>
      <c r="AM9" s="39" t="str">
        <f t="shared" ca="1" si="3"/>
        <v>D</v>
      </c>
      <c r="AN9" s="39" t="str">
        <f t="shared" ca="1" si="3"/>
        <v>M</v>
      </c>
      <c r="AO9" s="39" t="str">
        <f t="shared" ref="AO9:BL9" ca="1" si="4">LEFT(TEXT(AO7,"TTT"),1)</f>
        <v>D</v>
      </c>
      <c r="AP9" s="39" t="str">
        <f t="shared" ca="1" si="4"/>
        <v>F</v>
      </c>
      <c r="AQ9" s="39" t="str">
        <f t="shared" ca="1" si="4"/>
        <v>S</v>
      </c>
      <c r="AR9" s="39" t="str">
        <f t="shared" ca="1" si="4"/>
        <v>S</v>
      </c>
      <c r="AS9" s="39" t="str">
        <f t="shared" ca="1" si="4"/>
        <v>M</v>
      </c>
      <c r="AT9" s="39" t="str">
        <f t="shared" ca="1" si="4"/>
        <v>D</v>
      </c>
      <c r="AU9" s="39" t="str">
        <f t="shared" ca="1" si="4"/>
        <v>M</v>
      </c>
      <c r="AV9" s="39" t="str">
        <f t="shared" ca="1" si="4"/>
        <v>D</v>
      </c>
      <c r="AW9" s="39" t="str">
        <f t="shared" ca="1" si="4"/>
        <v>F</v>
      </c>
      <c r="AX9" s="39" t="str">
        <f t="shared" ca="1" si="4"/>
        <v>S</v>
      </c>
      <c r="AY9" s="39" t="str">
        <f t="shared" ca="1" si="4"/>
        <v>S</v>
      </c>
      <c r="AZ9" s="39" t="str">
        <f t="shared" ca="1" si="4"/>
        <v>M</v>
      </c>
      <c r="BA9" s="39" t="str">
        <f t="shared" ca="1" si="4"/>
        <v>D</v>
      </c>
      <c r="BB9" s="39" t="str">
        <f t="shared" ca="1" si="4"/>
        <v>M</v>
      </c>
      <c r="BC9" s="39" t="str">
        <f t="shared" ca="1" si="4"/>
        <v>D</v>
      </c>
      <c r="BD9" s="39" t="str">
        <f t="shared" ca="1" si="4"/>
        <v>F</v>
      </c>
      <c r="BE9" s="39" t="str">
        <f t="shared" ca="1" si="4"/>
        <v>S</v>
      </c>
      <c r="BF9" s="39" t="str">
        <f t="shared" ca="1" si="4"/>
        <v>S</v>
      </c>
      <c r="BG9" s="39" t="str">
        <f t="shared" ca="1" si="4"/>
        <v>M</v>
      </c>
      <c r="BH9" s="39" t="str">
        <f t="shared" ca="1" si="4"/>
        <v>D</v>
      </c>
      <c r="BI9" s="39" t="str">
        <f t="shared" ca="1" si="4"/>
        <v>M</v>
      </c>
      <c r="BJ9" s="39" t="str">
        <f t="shared" ca="1" si="4"/>
        <v>D</v>
      </c>
      <c r="BK9" s="39" t="str">
        <f t="shared" ca="1" si="4"/>
        <v>F</v>
      </c>
      <c r="BL9" s="39" t="str">
        <f t="shared" ca="1" si="4"/>
        <v>S</v>
      </c>
    </row>
    <row r="10" spans="1:65" ht="15" hidden="1" customHeight="1" x14ac:dyDescent="0.25">
      <c r="B10" s="12"/>
      <c r="C10" s="10"/>
      <c r="D10" s="9"/>
      <c r="E10" s="10"/>
      <c r="F10" s="11">
        <f>H13-G11</f>
        <v>46486</v>
      </c>
      <c r="G10" s="59"/>
      <c r="H10" s="62">
        <f t="shared" ref="H10" si="5">$F10+$G10</f>
        <v>46486</v>
      </c>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row>
    <row r="11" spans="1:65" s="1" customFormat="1" ht="18" customHeight="1" x14ac:dyDescent="0.25">
      <c r="A11" s="144" t="s">
        <v>21</v>
      </c>
      <c r="B11" s="64" t="s">
        <v>22</v>
      </c>
      <c r="C11" s="55"/>
      <c r="D11" s="56" t="s">
        <v>23</v>
      </c>
      <c r="E11" s="57"/>
      <c r="F11" s="70">
        <f>Plan_Sommer[[#This Row],[Ende]]-Plan_Sommer[[#This Row],[Dauer
in Tage]]</f>
        <v>46481</v>
      </c>
      <c r="G11" s="71">
        <v>2</v>
      </c>
      <c r="H11" s="72">
        <f>F13</f>
        <v>46483</v>
      </c>
      <c r="I11" s="44" t="str">
        <f t="shared" ref="I11:X28" ca="1" si="6">IF(AND($C11="Ziel",$H11=I$7),2,IF(AND($C11="Meilenstein",$H11=I$7),1,""))</f>
        <v/>
      </c>
      <c r="J11" s="44" t="str">
        <f t="shared" ca="1" si="6"/>
        <v/>
      </c>
      <c r="K11" s="44" t="str">
        <f t="shared" ca="1" si="6"/>
        <v/>
      </c>
      <c r="L11" s="44" t="str">
        <f t="shared" ca="1" si="6"/>
        <v/>
      </c>
      <c r="M11" s="44" t="str">
        <f t="shared" ca="1" si="6"/>
        <v/>
      </c>
      <c r="N11" s="44" t="str">
        <f t="shared" ca="1" si="6"/>
        <v/>
      </c>
      <c r="O11" s="44" t="str">
        <f t="shared" ca="1" si="6"/>
        <v/>
      </c>
      <c r="P11" s="44" t="str">
        <f t="shared" ca="1" si="6"/>
        <v/>
      </c>
      <c r="Q11" s="44" t="str">
        <f t="shared" ca="1" si="6"/>
        <v/>
      </c>
      <c r="R11" s="44" t="str">
        <f t="shared" ca="1" si="6"/>
        <v/>
      </c>
      <c r="S11" s="44" t="str">
        <f t="shared" ca="1" si="6"/>
        <v/>
      </c>
      <c r="T11" s="44" t="str">
        <f t="shared" ca="1" si="6"/>
        <v/>
      </c>
      <c r="U11" s="44" t="str">
        <f t="shared" ca="1" si="6"/>
        <v/>
      </c>
      <c r="V11" s="44" t="str">
        <f t="shared" ca="1" si="6"/>
        <v/>
      </c>
      <c r="W11" s="44" t="str">
        <f t="shared" ca="1" si="6"/>
        <v/>
      </c>
      <c r="X11" s="44" t="str">
        <f t="shared" ca="1" si="6"/>
        <v/>
      </c>
      <c r="Y11" s="44" t="str">
        <f t="shared" ref="Y11:BL11" ca="1" si="7">IF(AND($C11="Ziel",$H11=Y$7),2,IF(AND($C11="Meilenstein",$H11=Y$7),1,""))</f>
        <v/>
      </c>
      <c r="Z11" s="44" t="str">
        <f t="shared" ca="1" si="7"/>
        <v/>
      </c>
      <c r="AA11" s="44" t="str">
        <f t="shared" ca="1" si="7"/>
        <v/>
      </c>
      <c r="AB11" s="44" t="str">
        <f t="shared" ca="1" si="7"/>
        <v/>
      </c>
      <c r="AC11" s="44" t="str">
        <f t="shared" ca="1" si="7"/>
        <v/>
      </c>
      <c r="AD11" s="44" t="str">
        <f t="shared" ca="1" si="7"/>
        <v/>
      </c>
      <c r="AE11" s="44" t="str">
        <f t="shared" ca="1" si="7"/>
        <v/>
      </c>
      <c r="AF11" s="44" t="str">
        <f t="shared" ca="1" si="7"/>
        <v/>
      </c>
      <c r="AG11" s="44" t="str">
        <f t="shared" ca="1" si="7"/>
        <v/>
      </c>
      <c r="AH11" s="44" t="str">
        <f t="shared" ca="1" si="7"/>
        <v/>
      </c>
      <c r="AI11" s="44" t="str">
        <f t="shared" ca="1" si="7"/>
        <v/>
      </c>
      <c r="AJ11" s="44" t="str">
        <f t="shared" ca="1" si="7"/>
        <v/>
      </c>
      <c r="AK11" s="44" t="str">
        <f t="shared" ca="1" si="7"/>
        <v/>
      </c>
      <c r="AL11" s="44" t="str">
        <f t="shared" ca="1" si="7"/>
        <v/>
      </c>
      <c r="AM11" s="44" t="str">
        <f t="shared" ca="1" si="7"/>
        <v/>
      </c>
      <c r="AN11" s="44" t="str">
        <f t="shared" ca="1" si="7"/>
        <v/>
      </c>
      <c r="AO11" s="44" t="str">
        <f t="shared" ca="1" si="7"/>
        <v/>
      </c>
      <c r="AP11" s="44" t="str">
        <f t="shared" ca="1" si="7"/>
        <v/>
      </c>
      <c r="AQ11" s="44" t="str">
        <f t="shared" ca="1" si="7"/>
        <v/>
      </c>
      <c r="AR11" s="44" t="str">
        <f t="shared" ca="1" si="7"/>
        <v/>
      </c>
      <c r="AS11" s="44" t="str">
        <f t="shared" ca="1" si="7"/>
        <v/>
      </c>
      <c r="AT11" s="44" t="str">
        <f t="shared" ca="1" si="7"/>
        <v/>
      </c>
      <c r="AU11" s="44" t="str">
        <f t="shared" ca="1" si="7"/>
        <v/>
      </c>
      <c r="AV11" s="44" t="str">
        <f t="shared" ca="1" si="7"/>
        <v/>
      </c>
      <c r="AW11" s="44" t="str">
        <f t="shared" ca="1" si="7"/>
        <v/>
      </c>
      <c r="AX11" s="44" t="str">
        <f t="shared" ca="1" si="7"/>
        <v/>
      </c>
      <c r="AY11" s="44" t="str">
        <f t="shared" ca="1" si="7"/>
        <v/>
      </c>
      <c r="AZ11" s="44" t="str">
        <f t="shared" ca="1" si="7"/>
        <v/>
      </c>
      <c r="BA11" s="44" t="str">
        <f t="shared" ca="1" si="7"/>
        <v/>
      </c>
      <c r="BB11" s="44" t="str">
        <f t="shared" ca="1" si="7"/>
        <v/>
      </c>
      <c r="BC11" s="44" t="str">
        <f t="shared" ca="1" si="7"/>
        <v/>
      </c>
      <c r="BD11" s="44" t="str">
        <f t="shared" ca="1" si="7"/>
        <v/>
      </c>
      <c r="BE11" s="44" t="str">
        <f t="shared" ca="1" si="7"/>
        <v/>
      </c>
      <c r="BF11" s="44" t="str">
        <f t="shared" ca="1" si="7"/>
        <v/>
      </c>
      <c r="BG11" s="44" t="str">
        <f t="shared" ca="1" si="7"/>
        <v/>
      </c>
      <c r="BH11" s="44" t="str">
        <f t="shared" ca="1" si="7"/>
        <v/>
      </c>
      <c r="BI11" s="44" t="str">
        <f t="shared" ca="1" si="7"/>
        <v/>
      </c>
      <c r="BJ11" s="44" t="str">
        <f t="shared" ca="1" si="7"/>
        <v/>
      </c>
      <c r="BK11" s="44" t="str">
        <f t="shared" ca="1" si="7"/>
        <v/>
      </c>
      <c r="BL11" s="44" t="str">
        <f t="shared" ca="1" si="7"/>
        <v/>
      </c>
      <c r="BM11" s="44"/>
    </row>
    <row r="12" spans="1:65" s="1" customFormat="1" ht="18" customHeight="1" x14ac:dyDescent="0.25">
      <c r="A12" s="144"/>
      <c r="B12" s="64" t="s">
        <v>24</v>
      </c>
      <c r="C12" s="55"/>
      <c r="D12" s="56"/>
      <c r="E12" s="57"/>
      <c r="F12" s="70">
        <f>Plan_Sommer[[#This Row],[Ende]]-Plan_Sommer[[#This Row],[Dauer
in Tage]]</f>
        <v>46526</v>
      </c>
      <c r="G12" s="71">
        <v>14</v>
      </c>
      <c r="H12" s="72">
        <f>H15</f>
        <v>46540</v>
      </c>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row>
    <row r="13" spans="1:65" s="1" customFormat="1" ht="18" customHeight="1" x14ac:dyDescent="0.25">
      <c r="A13" s="144"/>
      <c r="B13" s="64" t="s">
        <v>25</v>
      </c>
      <c r="C13" s="55"/>
      <c r="D13" s="56"/>
      <c r="E13" s="57"/>
      <c r="F13" s="70">
        <f>Plan_Sommer[[#This Row],[Ende]]-Plan_Sommer[[#This Row],[Dauer
in Tage]]</f>
        <v>46483</v>
      </c>
      <c r="G13" s="71">
        <v>5</v>
      </c>
      <c r="H13" s="72">
        <f>F14</f>
        <v>46488</v>
      </c>
      <c r="I13" s="44" t="str">
        <f t="shared" ca="1" si="6"/>
        <v/>
      </c>
      <c r="J13" s="44" t="str">
        <f t="shared" ca="1" si="6"/>
        <v/>
      </c>
      <c r="K13" s="44" t="str">
        <f t="shared" ca="1" si="6"/>
        <v/>
      </c>
      <c r="L13" s="44" t="str">
        <f t="shared" ca="1" si="6"/>
        <v/>
      </c>
      <c r="M13" s="44" t="str">
        <f t="shared" ca="1" si="6"/>
        <v/>
      </c>
      <c r="N13" s="44" t="str">
        <f t="shared" ca="1" si="6"/>
        <v/>
      </c>
      <c r="O13" s="44" t="str">
        <f t="shared" ca="1" si="6"/>
        <v/>
      </c>
      <c r="P13" s="44" t="str">
        <f t="shared" ca="1" si="6"/>
        <v/>
      </c>
      <c r="Q13" s="44" t="str">
        <f t="shared" ca="1" si="6"/>
        <v/>
      </c>
      <c r="R13" s="44" t="str">
        <f t="shared" ca="1" si="6"/>
        <v/>
      </c>
      <c r="S13" s="44" t="str">
        <f t="shared" ca="1" si="6"/>
        <v/>
      </c>
      <c r="T13" s="44" t="str">
        <f t="shared" ca="1" si="6"/>
        <v/>
      </c>
      <c r="U13" s="44" t="str">
        <f t="shared" ca="1" si="6"/>
        <v/>
      </c>
      <c r="V13" s="44" t="str">
        <f t="shared" ca="1" si="6"/>
        <v/>
      </c>
      <c r="W13" s="44" t="str">
        <f t="shared" ref="W13:W19" ca="1" si="8">IF(AND($C13="Ziel",$H13=W$7),2,IF(AND($C13="Meilenstein",$H13=W$7),1,""))</f>
        <v/>
      </c>
      <c r="X13" s="44" t="str">
        <f t="shared" ref="X13:BL18" ca="1" si="9">IF(AND($C13="Ziel",$H13=X$7),2,IF(AND($C13="Meilenstein",$H13=X$7),1,""))</f>
        <v/>
      </c>
      <c r="Y13" s="44" t="str">
        <f t="shared" ca="1" si="9"/>
        <v/>
      </c>
      <c r="Z13" s="44" t="str">
        <f t="shared" ca="1" si="9"/>
        <v/>
      </c>
      <c r="AA13" s="44" t="str">
        <f t="shared" ca="1" si="9"/>
        <v/>
      </c>
      <c r="AB13" s="44" t="str">
        <f t="shared" ca="1" si="9"/>
        <v/>
      </c>
      <c r="AC13" s="44" t="str">
        <f t="shared" ca="1" si="9"/>
        <v/>
      </c>
      <c r="AD13" s="44" t="str">
        <f t="shared" ca="1" si="9"/>
        <v/>
      </c>
      <c r="AE13" s="44" t="str">
        <f t="shared" ca="1" si="9"/>
        <v/>
      </c>
      <c r="AF13" s="44" t="str">
        <f t="shared" ca="1" si="9"/>
        <v/>
      </c>
      <c r="AG13" s="44" t="str">
        <f t="shared" ca="1" si="9"/>
        <v/>
      </c>
      <c r="AH13" s="44" t="str">
        <f t="shared" ca="1" si="9"/>
        <v/>
      </c>
      <c r="AI13" s="44" t="str">
        <f t="shared" ca="1" si="9"/>
        <v/>
      </c>
      <c r="AJ13" s="44" t="str">
        <f t="shared" ca="1" si="9"/>
        <v/>
      </c>
      <c r="AK13" s="44" t="str">
        <f t="shared" ca="1" si="9"/>
        <v/>
      </c>
      <c r="AL13" s="44" t="str">
        <f t="shared" ca="1" si="9"/>
        <v/>
      </c>
      <c r="AM13" s="44" t="str">
        <f t="shared" ca="1" si="9"/>
        <v/>
      </c>
      <c r="AN13" s="44" t="str">
        <f t="shared" ca="1" si="9"/>
        <v/>
      </c>
      <c r="AO13" s="44" t="str">
        <f t="shared" ca="1" si="9"/>
        <v/>
      </c>
      <c r="AP13" s="44" t="str">
        <f t="shared" ca="1" si="9"/>
        <v/>
      </c>
      <c r="AQ13" s="44" t="str">
        <f t="shared" ca="1" si="9"/>
        <v/>
      </c>
      <c r="AR13" s="44" t="str">
        <f t="shared" ca="1" si="9"/>
        <v/>
      </c>
      <c r="AS13" s="44" t="str">
        <f t="shared" ca="1" si="9"/>
        <v/>
      </c>
      <c r="AT13" s="44" t="str">
        <f t="shared" ca="1" si="9"/>
        <v/>
      </c>
      <c r="AU13" s="44" t="str">
        <f t="shared" ca="1" si="9"/>
        <v/>
      </c>
      <c r="AV13" s="44" t="str">
        <f t="shared" ca="1" si="9"/>
        <v/>
      </c>
      <c r="AW13" s="44" t="str">
        <f t="shared" ca="1" si="9"/>
        <v/>
      </c>
      <c r="AX13" s="44" t="str">
        <f t="shared" ca="1" si="9"/>
        <v/>
      </c>
      <c r="AY13" s="44" t="str">
        <f t="shared" ca="1" si="9"/>
        <v/>
      </c>
      <c r="AZ13" s="44" t="str">
        <f t="shared" ca="1" si="9"/>
        <v/>
      </c>
      <c r="BA13" s="44" t="str">
        <f t="shared" ca="1" si="9"/>
        <v/>
      </c>
      <c r="BB13" s="44" t="str">
        <f t="shared" ca="1" si="9"/>
        <v/>
      </c>
      <c r="BC13" s="44" t="str">
        <f t="shared" ca="1" si="9"/>
        <v/>
      </c>
      <c r="BD13" s="44" t="str">
        <f t="shared" ca="1" si="9"/>
        <v/>
      </c>
      <c r="BE13" s="44" t="str">
        <f t="shared" ca="1" si="9"/>
        <v/>
      </c>
      <c r="BF13" s="44" t="str">
        <f t="shared" ca="1" si="9"/>
        <v/>
      </c>
      <c r="BG13" s="44" t="str">
        <f t="shared" ca="1" si="9"/>
        <v/>
      </c>
      <c r="BH13" s="44" t="str">
        <f t="shared" ca="1" si="9"/>
        <v/>
      </c>
      <c r="BI13" s="44" t="str">
        <f t="shared" ca="1" si="9"/>
        <v/>
      </c>
      <c r="BJ13" s="44" t="str">
        <f t="shared" ca="1" si="9"/>
        <v/>
      </c>
      <c r="BK13" s="44" t="str">
        <f t="shared" ca="1" si="9"/>
        <v/>
      </c>
      <c r="BL13" s="44" t="str">
        <f t="shared" ca="1" si="9"/>
        <v/>
      </c>
      <c r="BM13" s="44"/>
    </row>
    <row r="14" spans="1:65" s="1" customFormat="1" ht="18" customHeight="1" x14ac:dyDescent="0.25">
      <c r="A14" s="144"/>
      <c r="B14" s="64" t="s">
        <v>26</v>
      </c>
      <c r="C14" s="55"/>
      <c r="D14" s="56" t="s">
        <v>27</v>
      </c>
      <c r="E14" s="57"/>
      <c r="F14" s="70">
        <f>Plan_Sommer[[#This Row],[Ende]]-Plan_Sommer[[#This Row],[Dauer
in Tage]]</f>
        <v>46488</v>
      </c>
      <c r="G14" s="71">
        <v>52</v>
      </c>
      <c r="H14" s="72">
        <f>H23</f>
        <v>46540</v>
      </c>
      <c r="I14" s="44" t="str">
        <f t="shared" ca="1" si="6"/>
        <v/>
      </c>
      <c r="J14" s="44" t="str">
        <f t="shared" ca="1" si="6"/>
        <v/>
      </c>
      <c r="K14" s="44" t="str">
        <f t="shared" ca="1" si="6"/>
        <v/>
      </c>
      <c r="L14" s="44" t="str">
        <f t="shared" ca="1" si="6"/>
        <v/>
      </c>
      <c r="M14" s="44" t="str">
        <f t="shared" ca="1" si="6"/>
        <v/>
      </c>
      <c r="N14" s="44" t="str">
        <f t="shared" ca="1" si="6"/>
        <v/>
      </c>
      <c r="O14" s="44" t="str">
        <f t="shared" ca="1" si="6"/>
        <v/>
      </c>
      <c r="P14" s="44" t="str">
        <f t="shared" ca="1" si="6"/>
        <v/>
      </c>
      <c r="Q14" s="44" t="str">
        <f t="shared" ca="1" si="6"/>
        <v/>
      </c>
      <c r="R14" s="44" t="str">
        <f t="shared" ca="1" si="6"/>
        <v/>
      </c>
      <c r="S14" s="44" t="str">
        <f t="shared" ca="1" si="6"/>
        <v/>
      </c>
      <c r="T14" s="44" t="str">
        <f t="shared" ca="1" si="6"/>
        <v/>
      </c>
      <c r="U14" s="44" t="str">
        <f t="shared" ca="1" si="6"/>
        <v/>
      </c>
      <c r="V14" s="44" t="str">
        <f t="shared" ca="1" si="6"/>
        <v/>
      </c>
      <c r="W14" s="44" t="str">
        <f t="shared" ca="1" si="8"/>
        <v/>
      </c>
      <c r="X14" s="44" t="str">
        <f t="shared" ca="1" si="9"/>
        <v/>
      </c>
      <c r="Y14" s="44" t="str">
        <f t="shared" ca="1" si="9"/>
        <v/>
      </c>
      <c r="Z14" s="44" t="str">
        <f t="shared" ca="1" si="9"/>
        <v/>
      </c>
      <c r="AA14" s="44" t="str">
        <f t="shared" ca="1" si="9"/>
        <v/>
      </c>
      <c r="AB14" s="44" t="str">
        <f t="shared" ca="1" si="9"/>
        <v/>
      </c>
      <c r="AC14" s="44" t="str">
        <f t="shared" ca="1" si="9"/>
        <v/>
      </c>
      <c r="AD14" s="44" t="str">
        <f t="shared" ca="1" si="9"/>
        <v/>
      </c>
      <c r="AE14" s="44" t="str">
        <f t="shared" ca="1" si="9"/>
        <v/>
      </c>
      <c r="AF14" s="44" t="str">
        <f t="shared" ca="1" si="9"/>
        <v/>
      </c>
      <c r="AG14" s="44" t="str">
        <f t="shared" ca="1" si="9"/>
        <v/>
      </c>
      <c r="AH14" s="44" t="str">
        <f t="shared" ca="1" si="9"/>
        <v/>
      </c>
      <c r="AI14" s="44" t="str">
        <f t="shared" ca="1" si="9"/>
        <v/>
      </c>
      <c r="AJ14" s="44" t="str">
        <f t="shared" ca="1" si="9"/>
        <v/>
      </c>
      <c r="AK14" s="44" t="str">
        <f t="shared" ca="1" si="9"/>
        <v/>
      </c>
      <c r="AL14" s="44" t="str">
        <f t="shared" ca="1" si="9"/>
        <v/>
      </c>
      <c r="AM14" s="44" t="str">
        <f t="shared" ca="1" si="9"/>
        <v/>
      </c>
      <c r="AN14" s="44" t="str">
        <f t="shared" ca="1" si="9"/>
        <v/>
      </c>
      <c r="AO14" s="44" t="str">
        <f t="shared" ca="1" si="9"/>
        <v/>
      </c>
      <c r="AP14" s="44" t="str">
        <f t="shared" ca="1" si="9"/>
        <v/>
      </c>
      <c r="AQ14" s="44" t="str">
        <f t="shared" ca="1" si="9"/>
        <v/>
      </c>
      <c r="AR14" s="44" t="str">
        <f t="shared" ca="1" si="9"/>
        <v/>
      </c>
      <c r="AS14" s="44" t="str">
        <f t="shared" ca="1" si="9"/>
        <v/>
      </c>
      <c r="AT14" s="44" t="str">
        <f t="shared" ca="1" si="9"/>
        <v/>
      </c>
      <c r="AU14" s="44" t="str">
        <f t="shared" ca="1" si="9"/>
        <v/>
      </c>
      <c r="AV14" s="44" t="str">
        <f t="shared" ca="1" si="9"/>
        <v/>
      </c>
      <c r="AW14" s="44" t="str">
        <f t="shared" ca="1" si="9"/>
        <v/>
      </c>
      <c r="AX14" s="44" t="str">
        <f t="shared" ca="1" si="9"/>
        <v/>
      </c>
      <c r="AY14" s="44" t="str">
        <f t="shared" ca="1" si="9"/>
        <v/>
      </c>
      <c r="AZ14" s="44" t="str">
        <f t="shared" ca="1" si="9"/>
        <v/>
      </c>
      <c r="BA14" s="44" t="str">
        <f t="shared" ca="1" si="9"/>
        <v/>
      </c>
      <c r="BB14" s="44" t="str">
        <f t="shared" ca="1" si="9"/>
        <v/>
      </c>
      <c r="BC14" s="44" t="str">
        <f t="shared" ca="1" si="9"/>
        <v/>
      </c>
      <c r="BD14" s="44" t="str">
        <f t="shared" ca="1" si="9"/>
        <v/>
      </c>
      <c r="BE14" s="44" t="str">
        <f t="shared" ca="1" si="9"/>
        <v/>
      </c>
      <c r="BF14" s="44" t="str">
        <f t="shared" ca="1" si="9"/>
        <v/>
      </c>
      <c r="BG14" s="44" t="str">
        <f t="shared" ca="1" si="9"/>
        <v/>
      </c>
      <c r="BH14" s="44" t="str">
        <f t="shared" ca="1" si="9"/>
        <v/>
      </c>
      <c r="BI14" s="44" t="str">
        <f t="shared" ca="1" si="9"/>
        <v/>
      </c>
      <c r="BJ14" s="44" t="str">
        <f t="shared" ca="1" si="9"/>
        <v/>
      </c>
      <c r="BK14" s="44" t="str">
        <f t="shared" ca="1" si="9"/>
        <v/>
      </c>
      <c r="BL14" s="44" t="str">
        <f t="shared" ca="1" si="9"/>
        <v/>
      </c>
      <c r="BM14" s="44"/>
    </row>
    <row r="15" spans="1:65" s="1" customFormat="1" ht="18" customHeight="1" x14ac:dyDescent="0.25">
      <c r="A15" s="144"/>
      <c r="B15" s="77" t="s">
        <v>28</v>
      </c>
      <c r="C15" s="89" t="s">
        <v>9</v>
      </c>
      <c r="D15" s="78"/>
      <c r="E15" s="79"/>
      <c r="F15" s="80"/>
      <c r="G15" s="81"/>
      <c r="H15" s="82">
        <f>H24</f>
        <v>46540</v>
      </c>
      <c r="I15" s="83" t="str">
        <f t="shared" ca="1" si="6"/>
        <v/>
      </c>
      <c r="J15" s="83" t="str">
        <f t="shared" ca="1" si="6"/>
        <v/>
      </c>
      <c r="K15" s="83" t="str">
        <f t="shared" ca="1" si="6"/>
        <v/>
      </c>
      <c r="L15" s="83" t="str">
        <f t="shared" ca="1" si="6"/>
        <v/>
      </c>
      <c r="M15" s="83" t="str">
        <f t="shared" ca="1" si="6"/>
        <v/>
      </c>
      <c r="N15" s="83" t="str">
        <f t="shared" ca="1" si="6"/>
        <v/>
      </c>
      <c r="O15" s="83" t="str">
        <f t="shared" ca="1" si="6"/>
        <v/>
      </c>
      <c r="P15" s="83" t="str">
        <f t="shared" ca="1" si="6"/>
        <v/>
      </c>
      <c r="Q15" s="83" t="str">
        <f t="shared" ca="1" si="6"/>
        <v/>
      </c>
      <c r="R15" s="83" t="str">
        <f t="shared" ca="1" si="6"/>
        <v/>
      </c>
      <c r="S15" s="83" t="str">
        <f t="shared" ca="1" si="6"/>
        <v/>
      </c>
      <c r="T15" s="83" t="str">
        <f t="shared" ca="1" si="6"/>
        <v/>
      </c>
      <c r="U15" s="83" t="str">
        <f t="shared" ca="1" si="6"/>
        <v/>
      </c>
      <c r="V15" s="83" t="str">
        <f t="shared" ca="1" si="6"/>
        <v/>
      </c>
      <c r="W15" s="83" t="str">
        <f t="shared" ca="1" si="8"/>
        <v/>
      </c>
      <c r="X15" s="83" t="str">
        <f t="shared" ca="1" si="9"/>
        <v/>
      </c>
      <c r="Y15" s="83" t="str">
        <f t="shared" ca="1" si="9"/>
        <v/>
      </c>
      <c r="Z15" s="83" t="str">
        <f t="shared" ca="1" si="9"/>
        <v/>
      </c>
      <c r="AA15" s="83" t="str">
        <f t="shared" ca="1" si="9"/>
        <v/>
      </c>
      <c r="AB15" s="83" t="str">
        <f t="shared" ca="1" si="9"/>
        <v/>
      </c>
      <c r="AC15" s="83" t="str">
        <f t="shared" ca="1" si="9"/>
        <v/>
      </c>
      <c r="AD15" s="83" t="str">
        <f t="shared" ca="1" si="9"/>
        <v/>
      </c>
      <c r="AE15" s="83" t="str">
        <f t="shared" ca="1" si="9"/>
        <v/>
      </c>
      <c r="AF15" s="83" t="str">
        <f t="shared" ca="1" si="9"/>
        <v/>
      </c>
      <c r="AG15" s="83" t="str">
        <f t="shared" ca="1" si="9"/>
        <v/>
      </c>
      <c r="AH15" s="83" t="str">
        <f t="shared" ca="1" si="9"/>
        <v/>
      </c>
      <c r="AI15" s="83" t="str">
        <f t="shared" ca="1" si="9"/>
        <v/>
      </c>
      <c r="AJ15" s="83" t="str">
        <f t="shared" ca="1" si="9"/>
        <v/>
      </c>
      <c r="AK15" s="83" t="str">
        <f t="shared" ca="1" si="9"/>
        <v/>
      </c>
      <c r="AL15" s="83" t="str">
        <f t="shared" ca="1" si="9"/>
        <v/>
      </c>
      <c r="AM15" s="83" t="str">
        <f t="shared" ca="1" si="9"/>
        <v/>
      </c>
      <c r="AN15" s="83" t="str">
        <f t="shared" ca="1" si="9"/>
        <v/>
      </c>
      <c r="AO15" s="83" t="str">
        <f t="shared" ca="1" si="9"/>
        <v/>
      </c>
      <c r="AP15" s="83" t="str">
        <f t="shared" ca="1" si="9"/>
        <v/>
      </c>
      <c r="AQ15" s="83" t="str">
        <f t="shared" ca="1" si="9"/>
        <v/>
      </c>
      <c r="AR15" s="83" t="str">
        <f t="shared" ca="1" si="9"/>
        <v/>
      </c>
      <c r="AS15" s="83" t="str">
        <f t="shared" ca="1" si="9"/>
        <v/>
      </c>
      <c r="AT15" s="83" t="str">
        <f t="shared" ca="1" si="9"/>
        <v/>
      </c>
      <c r="AU15" s="83" t="str">
        <f t="shared" ca="1" si="9"/>
        <v/>
      </c>
      <c r="AV15" s="83" t="str">
        <f t="shared" ca="1" si="9"/>
        <v/>
      </c>
      <c r="AW15" s="83" t="str">
        <f t="shared" ca="1" si="9"/>
        <v/>
      </c>
      <c r="AX15" s="83" t="str">
        <f t="shared" ca="1" si="9"/>
        <v/>
      </c>
      <c r="AY15" s="83" t="str">
        <f t="shared" ca="1" si="9"/>
        <v/>
      </c>
      <c r="AZ15" s="83" t="str">
        <f t="shared" ca="1" si="9"/>
        <v/>
      </c>
      <c r="BA15" s="83" t="str">
        <f t="shared" ca="1" si="9"/>
        <v/>
      </c>
      <c r="BB15" s="83" t="str">
        <f t="shared" ca="1" si="9"/>
        <v/>
      </c>
      <c r="BC15" s="83" t="str">
        <f t="shared" ca="1" si="9"/>
        <v/>
      </c>
      <c r="BD15" s="83" t="str">
        <f t="shared" ca="1" si="9"/>
        <v/>
      </c>
      <c r="BE15" s="83" t="str">
        <f t="shared" ca="1" si="9"/>
        <v/>
      </c>
      <c r="BF15" s="83" t="str">
        <f t="shared" ca="1" si="9"/>
        <v/>
      </c>
      <c r="BG15" s="83" t="str">
        <f t="shared" ca="1" si="9"/>
        <v/>
      </c>
      <c r="BH15" s="83" t="str">
        <f t="shared" ca="1" si="9"/>
        <v/>
      </c>
      <c r="BI15" s="83" t="str">
        <f t="shared" ca="1" si="9"/>
        <v/>
      </c>
      <c r="BJ15" s="83" t="str">
        <f t="shared" ca="1" si="9"/>
        <v/>
      </c>
      <c r="BK15" s="83" t="str">
        <f t="shared" ca="1" si="9"/>
        <v/>
      </c>
      <c r="BL15" s="83" t="str">
        <f t="shared" ca="1" si="9"/>
        <v/>
      </c>
      <c r="BM15" s="83"/>
    </row>
    <row r="16" spans="1:65" s="1" customFormat="1" ht="18" customHeight="1" x14ac:dyDescent="0.25">
      <c r="A16" s="150" t="s">
        <v>29</v>
      </c>
      <c r="B16" s="65" t="s">
        <v>30</v>
      </c>
      <c r="C16" s="55"/>
      <c r="D16" s="63"/>
      <c r="E16" s="57"/>
      <c r="F16" s="70"/>
      <c r="G16" s="71"/>
      <c r="H16" s="72"/>
      <c r="I16" s="68" t="str">
        <f t="shared" ca="1" si="6"/>
        <v/>
      </c>
      <c r="J16" s="68" t="str">
        <f t="shared" ca="1" si="6"/>
        <v/>
      </c>
      <c r="K16" s="68" t="str">
        <f t="shared" ca="1" si="6"/>
        <v/>
      </c>
      <c r="L16" s="68" t="str">
        <f t="shared" ca="1" si="6"/>
        <v/>
      </c>
      <c r="M16" s="68" t="str">
        <f t="shared" ca="1" si="6"/>
        <v/>
      </c>
      <c r="N16" s="68" t="str">
        <f t="shared" ca="1" si="6"/>
        <v/>
      </c>
      <c r="O16" s="68" t="str">
        <f t="shared" ca="1" si="6"/>
        <v/>
      </c>
      <c r="P16" s="68" t="str">
        <f t="shared" ca="1" si="6"/>
        <v/>
      </c>
      <c r="Q16" s="68" t="str">
        <f t="shared" ca="1" si="6"/>
        <v/>
      </c>
      <c r="R16" s="68" t="str">
        <f t="shared" ca="1" si="6"/>
        <v/>
      </c>
      <c r="S16" s="68" t="str">
        <f t="shared" ca="1" si="6"/>
        <v/>
      </c>
      <c r="T16" s="68" t="str">
        <f t="shared" ca="1" si="6"/>
        <v/>
      </c>
      <c r="U16" s="68" t="str">
        <f t="shared" ca="1" si="6"/>
        <v/>
      </c>
      <c r="V16" s="68" t="str">
        <f t="shared" ca="1" si="6"/>
        <v/>
      </c>
      <c r="W16" s="68" t="str">
        <f t="shared" ca="1" si="8"/>
        <v/>
      </c>
      <c r="X16" s="68" t="str">
        <f t="shared" ca="1" si="9"/>
        <v/>
      </c>
      <c r="Y16" s="68" t="str">
        <f t="shared" ca="1" si="9"/>
        <v/>
      </c>
      <c r="Z16" s="68" t="str">
        <f t="shared" ca="1" si="9"/>
        <v/>
      </c>
      <c r="AA16" s="68" t="str">
        <f t="shared" ca="1" si="9"/>
        <v/>
      </c>
      <c r="AB16" s="68" t="str">
        <f t="shared" ca="1" si="9"/>
        <v/>
      </c>
      <c r="AC16" s="68" t="str">
        <f t="shared" ca="1" si="9"/>
        <v/>
      </c>
      <c r="AD16" s="68" t="str">
        <f t="shared" ca="1" si="9"/>
        <v/>
      </c>
      <c r="AE16" s="68" t="str">
        <f t="shared" ca="1" si="9"/>
        <v/>
      </c>
      <c r="AF16" s="68" t="str">
        <f t="shared" ca="1" si="9"/>
        <v/>
      </c>
      <c r="AG16" s="68" t="str">
        <f t="shared" ca="1" si="9"/>
        <v/>
      </c>
      <c r="AH16" s="68" t="str">
        <f t="shared" ca="1" si="9"/>
        <v/>
      </c>
      <c r="AI16" s="68" t="str">
        <f t="shared" ca="1" si="9"/>
        <v/>
      </c>
      <c r="AJ16" s="68" t="str">
        <f t="shared" ca="1" si="9"/>
        <v/>
      </c>
      <c r="AK16" s="68" t="str">
        <f t="shared" ca="1" si="9"/>
        <v/>
      </c>
      <c r="AL16" s="68" t="str">
        <f t="shared" ca="1" si="9"/>
        <v/>
      </c>
      <c r="AM16" s="68" t="str">
        <f t="shared" ca="1" si="9"/>
        <v/>
      </c>
      <c r="AN16" s="68" t="str">
        <f t="shared" ca="1" si="9"/>
        <v/>
      </c>
      <c r="AO16" s="68" t="str">
        <f t="shared" ca="1" si="9"/>
        <v/>
      </c>
      <c r="AP16" s="68" t="str">
        <f t="shared" ca="1" si="9"/>
        <v/>
      </c>
      <c r="AQ16" s="68" t="str">
        <f t="shared" ca="1" si="9"/>
        <v/>
      </c>
      <c r="AR16" s="68" t="str">
        <f t="shared" ca="1" si="9"/>
        <v/>
      </c>
      <c r="AS16" s="68" t="str">
        <f t="shared" ca="1" si="9"/>
        <v/>
      </c>
      <c r="AT16" s="68" t="str">
        <f t="shared" ca="1" si="9"/>
        <v/>
      </c>
      <c r="AU16" s="68" t="str">
        <f t="shared" ca="1" si="9"/>
        <v/>
      </c>
      <c r="AV16" s="68" t="str">
        <f t="shared" ca="1" si="9"/>
        <v/>
      </c>
      <c r="AW16" s="68" t="str">
        <f t="shared" ca="1" si="9"/>
        <v/>
      </c>
      <c r="AX16" s="68" t="str">
        <f t="shared" ca="1" si="9"/>
        <v/>
      </c>
      <c r="AY16" s="68" t="str">
        <f t="shared" ca="1" si="9"/>
        <v/>
      </c>
      <c r="AZ16" s="68" t="str">
        <f t="shared" ca="1" si="9"/>
        <v/>
      </c>
      <c r="BA16" s="68" t="str">
        <f t="shared" ca="1" si="9"/>
        <v/>
      </c>
      <c r="BB16" s="68" t="str">
        <f t="shared" ca="1" si="9"/>
        <v/>
      </c>
      <c r="BC16" s="68" t="str">
        <f t="shared" ca="1" si="9"/>
        <v/>
      </c>
      <c r="BD16" s="68" t="str">
        <f t="shared" ca="1" si="9"/>
        <v/>
      </c>
      <c r="BE16" s="68" t="str">
        <f t="shared" ca="1" si="9"/>
        <v/>
      </c>
      <c r="BF16" s="68" t="str">
        <f t="shared" ca="1" si="9"/>
        <v/>
      </c>
      <c r="BG16" s="68" t="str">
        <f t="shared" ca="1" si="9"/>
        <v/>
      </c>
      <c r="BH16" s="68" t="str">
        <f t="shared" ca="1" si="9"/>
        <v/>
      </c>
      <c r="BI16" s="68" t="str">
        <f t="shared" ca="1" si="9"/>
        <v/>
      </c>
      <c r="BJ16" s="68" t="str">
        <f t="shared" ca="1" si="9"/>
        <v/>
      </c>
      <c r="BK16" s="68" t="str">
        <f t="shared" ca="1" si="9"/>
        <v/>
      </c>
      <c r="BL16" s="68" t="str">
        <f t="shared" ca="1" si="9"/>
        <v/>
      </c>
      <c r="BM16" s="68"/>
    </row>
    <row r="17" spans="1:65" s="1" customFormat="1" ht="18" customHeight="1" x14ac:dyDescent="0.25">
      <c r="A17" s="150"/>
      <c r="B17" s="64" t="s">
        <v>31</v>
      </c>
      <c r="C17" s="55"/>
      <c r="D17" s="63"/>
      <c r="E17" s="57"/>
      <c r="F17" s="70">
        <f>Plan_Sommer[[#This Row],[Ende]]-Plan_Sommer[[#This Row],[Dauer
in Tage]]</f>
        <v>46499</v>
      </c>
      <c r="G17" s="71">
        <v>1</v>
      </c>
      <c r="H17" s="72">
        <f>F18</f>
        <v>46500</v>
      </c>
      <c r="I17" s="44" t="str">
        <f t="shared" ca="1" si="6"/>
        <v/>
      </c>
      <c r="J17" s="44" t="str">
        <f t="shared" ca="1" si="6"/>
        <v/>
      </c>
      <c r="K17" s="44" t="str">
        <f t="shared" ca="1" si="6"/>
        <v/>
      </c>
      <c r="L17" s="44" t="str">
        <f t="shared" ca="1" si="6"/>
        <v/>
      </c>
      <c r="M17" s="44" t="str">
        <f t="shared" ca="1" si="6"/>
        <v/>
      </c>
      <c r="N17" s="44" t="str">
        <f t="shared" ca="1" si="6"/>
        <v/>
      </c>
      <c r="O17" s="44" t="str">
        <f t="shared" ca="1" si="6"/>
        <v/>
      </c>
      <c r="P17" s="44" t="str">
        <f t="shared" ca="1" si="6"/>
        <v/>
      </c>
      <c r="Q17" s="44" t="str">
        <f t="shared" ca="1" si="6"/>
        <v/>
      </c>
      <c r="R17" s="44" t="str">
        <f t="shared" ca="1" si="6"/>
        <v/>
      </c>
      <c r="S17" s="44" t="str">
        <f t="shared" ca="1" si="6"/>
        <v/>
      </c>
      <c r="T17" s="44" t="str">
        <f t="shared" ca="1" si="6"/>
        <v/>
      </c>
      <c r="U17" s="44" t="str">
        <f t="shared" ca="1" si="6"/>
        <v/>
      </c>
      <c r="V17" s="44" t="str">
        <f t="shared" ca="1" si="6"/>
        <v/>
      </c>
      <c r="W17" s="44" t="str">
        <f t="shared" ca="1" si="8"/>
        <v/>
      </c>
      <c r="X17" s="44" t="str">
        <f t="shared" ca="1" si="9"/>
        <v/>
      </c>
      <c r="Y17" s="44" t="str">
        <f t="shared" ca="1" si="9"/>
        <v/>
      </c>
      <c r="Z17" s="44" t="str">
        <f t="shared" ca="1" si="9"/>
        <v/>
      </c>
      <c r="AA17" s="44" t="str">
        <f t="shared" ca="1" si="9"/>
        <v/>
      </c>
      <c r="AB17" s="44" t="str">
        <f t="shared" ca="1" si="9"/>
        <v/>
      </c>
      <c r="AC17" s="44" t="str">
        <f t="shared" ca="1" si="9"/>
        <v/>
      </c>
      <c r="AD17" s="44" t="str">
        <f t="shared" ca="1" si="9"/>
        <v/>
      </c>
      <c r="AE17" s="44" t="str">
        <f t="shared" ca="1" si="9"/>
        <v/>
      </c>
      <c r="AF17" s="44" t="str">
        <f t="shared" ca="1" si="9"/>
        <v/>
      </c>
      <c r="AG17" s="44" t="str">
        <f t="shared" ca="1" si="9"/>
        <v/>
      </c>
      <c r="AH17" s="44" t="str">
        <f t="shared" ca="1" si="9"/>
        <v/>
      </c>
      <c r="AI17" s="44" t="str">
        <f t="shared" ca="1" si="9"/>
        <v/>
      </c>
      <c r="AJ17" s="44" t="str">
        <f t="shared" ca="1" si="9"/>
        <v/>
      </c>
      <c r="AK17" s="44" t="str">
        <f t="shared" ca="1" si="9"/>
        <v/>
      </c>
      <c r="AL17" s="44" t="str">
        <f t="shared" ca="1" si="9"/>
        <v/>
      </c>
      <c r="AM17" s="44" t="str">
        <f t="shared" ca="1" si="9"/>
        <v/>
      </c>
      <c r="AN17" s="44" t="str">
        <f t="shared" ca="1" si="9"/>
        <v/>
      </c>
      <c r="AO17" s="44" t="str">
        <f t="shared" ca="1" si="9"/>
        <v/>
      </c>
      <c r="AP17" s="44" t="str">
        <f t="shared" ca="1" si="9"/>
        <v/>
      </c>
      <c r="AQ17" s="44" t="str">
        <f t="shared" ca="1" si="9"/>
        <v/>
      </c>
      <c r="AR17" s="44" t="str">
        <f t="shared" ca="1" si="9"/>
        <v/>
      </c>
      <c r="AS17" s="44" t="str">
        <f t="shared" ca="1" si="9"/>
        <v/>
      </c>
      <c r="AT17" s="44" t="str">
        <f t="shared" ca="1" si="9"/>
        <v/>
      </c>
      <c r="AU17" s="44" t="str">
        <f t="shared" ca="1" si="9"/>
        <v/>
      </c>
      <c r="AV17" s="44" t="str">
        <f t="shared" ca="1" si="9"/>
        <v/>
      </c>
      <c r="AW17" s="44" t="str">
        <f t="shared" ca="1" si="9"/>
        <v/>
      </c>
      <c r="AX17" s="44" t="str">
        <f t="shared" ca="1" si="9"/>
        <v/>
      </c>
      <c r="AY17" s="44" t="str">
        <f t="shared" ca="1" si="9"/>
        <v/>
      </c>
      <c r="AZ17" s="44" t="str">
        <f t="shared" ca="1" si="9"/>
        <v/>
      </c>
      <c r="BA17" s="44" t="str">
        <f t="shared" ca="1" si="9"/>
        <v/>
      </c>
      <c r="BB17" s="44" t="str">
        <f t="shared" ca="1" si="9"/>
        <v/>
      </c>
      <c r="BC17" s="44" t="str">
        <f t="shared" ca="1" si="9"/>
        <v/>
      </c>
      <c r="BD17" s="44" t="str">
        <f t="shared" ca="1" si="9"/>
        <v/>
      </c>
      <c r="BE17" s="44" t="str">
        <f t="shared" ca="1" si="9"/>
        <v/>
      </c>
      <c r="BF17" s="44" t="str">
        <f t="shared" ca="1" si="9"/>
        <v/>
      </c>
      <c r="BG17" s="44" t="str">
        <f t="shared" ca="1" si="9"/>
        <v/>
      </c>
      <c r="BH17" s="44" t="str">
        <f t="shared" ca="1" si="9"/>
        <v/>
      </c>
      <c r="BI17" s="44" t="str">
        <f t="shared" ca="1" si="9"/>
        <v/>
      </c>
      <c r="BJ17" s="44" t="str">
        <f t="shared" ca="1" si="9"/>
        <v/>
      </c>
      <c r="BK17" s="44" t="str">
        <f t="shared" ca="1" si="9"/>
        <v/>
      </c>
      <c r="BL17" s="44" t="str">
        <f t="shared" ca="1" si="9"/>
        <v/>
      </c>
      <c r="BM17" s="44"/>
    </row>
    <row r="18" spans="1:65" s="1" customFormat="1" ht="18" customHeight="1" x14ac:dyDescent="0.25">
      <c r="A18" s="150"/>
      <c r="B18" s="64" t="s">
        <v>32</v>
      </c>
      <c r="C18" s="55"/>
      <c r="D18" s="56"/>
      <c r="E18" s="57"/>
      <c r="F18" s="70">
        <f>Plan_Sommer[[#This Row],[Ende]]-Plan_Sommer[[#This Row],[Dauer
in Tage]]</f>
        <v>46500</v>
      </c>
      <c r="G18" s="71">
        <v>7</v>
      </c>
      <c r="H18" s="72">
        <f>F21</f>
        <v>46507</v>
      </c>
      <c r="I18" s="44" t="str">
        <f t="shared" ca="1" si="6"/>
        <v/>
      </c>
      <c r="J18" s="44" t="str">
        <f t="shared" ca="1" si="6"/>
        <v/>
      </c>
      <c r="K18" s="44" t="str">
        <f t="shared" ca="1" si="6"/>
        <v/>
      </c>
      <c r="L18" s="44" t="str">
        <f t="shared" ca="1" si="6"/>
        <v/>
      </c>
      <c r="M18" s="44" t="str">
        <f t="shared" ca="1" si="6"/>
        <v/>
      </c>
      <c r="N18" s="44" t="str">
        <f t="shared" ca="1" si="6"/>
        <v/>
      </c>
      <c r="O18" s="44" t="str">
        <f t="shared" ca="1" si="6"/>
        <v/>
      </c>
      <c r="P18" s="44" t="str">
        <f t="shared" ca="1" si="6"/>
        <v/>
      </c>
      <c r="Q18" s="44" t="str">
        <f t="shared" ca="1" si="6"/>
        <v/>
      </c>
      <c r="R18" s="44" t="str">
        <f t="shared" ca="1" si="6"/>
        <v/>
      </c>
      <c r="S18" s="44" t="str">
        <f t="shared" ca="1" si="6"/>
        <v/>
      </c>
      <c r="T18" s="44" t="str">
        <f t="shared" ca="1" si="6"/>
        <v/>
      </c>
      <c r="U18" s="44" t="str">
        <f t="shared" ca="1" si="6"/>
        <v/>
      </c>
      <c r="V18" s="44" t="str">
        <f t="shared" ca="1" si="6"/>
        <v/>
      </c>
      <c r="W18" s="44" t="str">
        <f t="shared" ca="1" si="8"/>
        <v/>
      </c>
      <c r="X18" s="44" t="str">
        <f t="shared" ca="1" si="9"/>
        <v/>
      </c>
      <c r="Y18" s="44" t="str">
        <f t="shared" ca="1" si="9"/>
        <v/>
      </c>
      <c r="Z18" s="44" t="str">
        <f t="shared" ca="1" si="9"/>
        <v/>
      </c>
      <c r="AA18" s="44" t="str">
        <f t="shared" ca="1" si="9"/>
        <v/>
      </c>
      <c r="AB18" s="44" t="str">
        <f t="shared" ref="X18:BL24" ca="1" si="10">IF(AND($C18="Ziel",$H18=AB$7),2,IF(AND($C18="Meilenstein",$H18=AB$7),1,""))</f>
        <v/>
      </c>
      <c r="AC18" s="44" t="str">
        <f t="shared" ca="1" si="10"/>
        <v/>
      </c>
      <c r="AD18" s="44" t="str">
        <f t="shared" ca="1" si="10"/>
        <v/>
      </c>
      <c r="AE18" s="44" t="str">
        <f t="shared" ca="1" si="10"/>
        <v/>
      </c>
      <c r="AF18" s="44" t="str">
        <f t="shared" ca="1" si="10"/>
        <v/>
      </c>
      <c r="AG18" s="44" t="str">
        <f t="shared" ca="1" si="10"/>
        <v/>
      </c>
      <c r="AH18" s="44" t="str">
        <f t="shared" ca="1" si="10"/>
        <v/>
      </c>
      <c r="AI18" s="44" t="str">
        <f t="shared" ca="1" si="10"/>
        <v/>
      </c>
      <c r="AJ18" s="44" t="str">
        <f t="shared" ca="1" si="10"/>
        <v/>
      </c>
      <c r="AK18" s="44" t="str">
        <f t="shared" ca="1" si="10"/>
        <v/>
      </c>
      <c r="AL18" s="44" t="str">
        <f t="shared" ca="1" si="10"/>
        <v/>
      </c>
      <c r="AM18" s="44" t="str">
        <f t="shared" ca="1" si="10"/>
        <v/>
      </c>
      <c r="AN18" s="44" t="str">
        <f t="shared" ca="1" si="10"/>
        <v/>
      </c>
      <c r="AO18" s="44" t="str">
        <f t="shared" ca="1" si="10"/>
        <v/>
      </c>
      <c r="AP18" s="44" t="str">
        <f t="shared" ca="1" si="10"/>
        <v/>
      </c>
      <c r="AQ18" s="44" t="str">
        <f t="shared" ca="1" si="10"/>
        <v/>
      </c>
      <c r="AR18" s="44" t="str">
        <f t="shared" ca="1" si="10"/>
        <v/>
      </c>
      <c r="AS18" s="44" t="str">
        <f t="shared" ca="1" si="10"/>
        <v/>
      </c>
      <c r="AT18" s="44" t="str">
        <f t="shared" ca="1" si="10"/>
        <v/>
      </c>
      <c r="AU18" s="44" t="str">
        <f t="shared" ca="1" si="10"/>
        <v/>
      </c>
      <c r="AV18" s="44" t="str">
        <f t="shared" ca="1" si="10"/>
        <v/>
      </c>
      <c r="AW18" s="44" t="str">
        <f t="shared" ca="1" si="10"/>
        <v/>
      </c>
      <c r="AX18" s="44" t="str">
        <f t="shared" ca="1" si="10"/>
        <v/>
      </c>
      <c r="AY18" s="44" t="str">
        <f t="shared" ca="1" si="10"/>
        <v/>
      </c>
      <c r="AZ18" s="44" t="str">
        <f t="shared" ca="1" si="10"/>
        <v/>
      </c>
      <c r="BA18" s="44" t="str">
        <f t="shared" ca="1" si="10"/>
        <v/>
      </c>
      <c r="BB18" s="44" t="str">
        <f t="shared" ca="1" si="10"/>
        <v/>
      </c>
      <c r="BC18" s="44" t="str">
        <f t="shared" ca="1" si="10"/>
        <v/>
      </c>
      <c r="BD18" s="44" t="str">
        <f t="shared" ca="1" si="10"/>
        <v/>
      </c>
      <c r="BE18" s="44" t="str">
        <f t="shared" ca="1" si="10"/>
        <v/>
      </c>
      <c r="BF18" s="44" t="str">
        <f t="shared" ca="1" si="10"/>
        <v/>
      </c>
      <c r="BG18" s="44" t="str">
        <f t="shared" ca="1" si="10"/>
        <v/>
      </c>
      <c r="BH18" s="44" t="str">
        <f t="shared" ca="1" si="10"/>
        <v/>
      </c>
      <c r="BI18" s="44" t="str">
        <f t="shared" ca="1" si="10"/>
        <v/>
      </c>
      <c r="BJ18" s="44" t="str">
        <f t="shared" ca="1" si="10"/>
        <v/>
      </c>
      <c r="BK18" s="44" t="str">
        <f t="shared" ca="1" si="10"/>
        <v/>
      </c>
      <c r="BL18" s="44" t="str">
        <f t="shared" ca="1" si="10"/>
        <v/>
      </c>
      <c r="BM18" s="44"/>
    </row>
    <row r="19" spans="1:65" s="1" customFormat="1" ht="18" customHeight="1" x14ac:dyDescent="0.25">
      <c r="A19" s="150"/>
      <c r="B19" s="64" t="s">
        <v>33</v>
      </c>
      <c r="C19" s="55"/>
      <c r="D19" s="56"/>
      <c r="E19" s="57"/>
      <c r="F19" s="70">
        <f>Plan_Sommer[[#This Row],[Ende]]-Plan_Sommer[[#This Row],[Dauer
in Tage]]</f>
        <v>46500</v>
      </c>
      <c r="G19" s="71">
        <v>7</v>
      </c>
      <c r="H19" s="72">
        <f>F21</f>
        <v>46507</v>
      </c>
      <c r="I19" s="44" t="str">
        <f t="shared" ca="1" si="6"/>
        <v/>
      </c>
      <c r="J19" s="44" t="str">
        <f t="shared" ca="1" si="6"/>
        <v/>
      </c>
      <c r="K19" s="44" t="str">
        <f t="shared" ca="1" si="6"/>
        <v/>
      </c>
      <c r="L19" s="44" t="str">
        <f t="shared" ca="1" si="6"/>
        <v/>
      </c>
      <c r="M19" s="44" t="str">
        <f t="shared" ca="1" si="6"/>
        <v/>
      </c>
      <c r="N19" s="44" t="str">
        <f t="shared" ca="1" si="6"/>
        <v/>
      </c>
      <c r="O19" s="44" t="str">
        <f t="shared" ca="1" si="6"/>
        <v/>
      </c>
      <c r="P19" s="44" t="str">
        <f t="shared" ca="1" si="6"/>
        <v/>
      </c>
      <c r="Q19" s="44" t="str">
        <f t="shared" ca="1" si="6"/>
        <v/>
      </c>
      <c r="R19" s="44" t="str">
        <f t="shared" ca="1" si="6"/>
        <v/>
      </c>
      <c r="S19" s="44" t="str">
        <f t="shared" ca="1" si="6"/>
        <v/>
      </c>
      <c r="T19" s="44" t="str">
        <f t="shared" ca="1" si="6"/>
        <v/>
      </c>
      <c r="U19" s="44" t="str">
        <f t="shared" ca="1" si="6"/>
        <v/>
      </c>
      <c r="V19" s="44" t="str">
        <f t="shared" ca="1" si="6"/>
        <v/>
      </c>
      <c r="W19" s="44" t="str">
        <f t="shared" ca="1" si="8"/>
        <v/>
      </c>
      <c r="X19" s="44" t="str">
        <f t="shared" ca="1" si="10"/>
        <v/>
      </c>
      <c r="Y19" s="44" t="str">
        <f t="shared" ca="1" si="10"/>
        <v/>
      </c>
      <c r="Z19" s="44" t="str">
        <f t="shared" ca="1" si="10"/>
        <v/>
      </c>
      <c r="AA19" s="44" t="str">
        <f t="shared" ca="1" si="10"/>
        <v/>
      </c>
      <c r="AB19" s="44" t="str">
        <f t="shared" ca="1" si="10"/>
        <v/>
      </c>
      <c r="AC19" s="44" t="str">
        <f t="shared" ca="1" si="10"/>
        <v/>
      </c>
      <c r="AD19" s="44" t="str">
        <f t="shared" ca="1" si="10"/>
        <v/>
      </c>
      <c r="AE19" s="44" t="str">
        <f t="shared" ca="1" si="10"/>
        <v/>
      </c>
      <c r="AF19" s="44" t="str">
        <f t="shared" ca="1" si="10"/>
        <v/>
      </c>
      <c r="AG19" s="44" t="str">
        <f t="shared" ca="1" si="10"/>
        <v/>
      </c>
      <c r="AH19" s="44" t="str">
        <f t="shared" ca="1" si="10"/>
        <v/>
      </c>
      <c r="AI19" s="44" t="str">
        <f t="shared" ca="1" si="10"/>
        <v/>
      </c>
      <c r="AJ19" s="44" t="str">
        <f t="shared" ca="1" si="10"/>
        <v/>
      </c>
      <c r="AK19" s="44" t="str">
        <f t="shared" ca="1" si="10"/>
        <v/>
      </c>
      <c r="AL19" s="44" t="str">
        <f t="shared" ca="1" si="10"/>
        <v/>
      </c>
      <c r="AM19" s="44" t="str">
        <f t="shared" ca="1" si="10"/>
        <v/>
      </c>
      <c r="AN19" s="44" t="str">
        <f t="shared" ca="1" si="10"/>
        <v/>
      </c>
      <c r="AO19" s="44" t="str">
        <f t="shared" ca="1" si="10"/>
        <v/>
      </c>
      <c r="AP19" s="44" t="str">
        <f t="shared" ca="1" si="10"/>
        <v/>
      </c>
      <c r="AQ19" s="44" t="str">
        <f t="shared" ca="1" si="10"/>
        <v/>
      </c>
      <c r="AR19" s="44" t="str">
        <f t="shared" ca="1" si="10"/>
        <v/>
      </c>
      <c r="AS19" s="44" t="str">
        <f t="shared" ca="1" si="10"/>
        <v/>
      </c>
      <c r="AT19" s="44" t="str">
        <f t="shared" ca="1" si="10"/>
        <v/>
      </c>
      <c r="AU19" s="44" t="str">
        <f t="shared" ca="1" si="10"/>
        <v/>
      </c>
      <c r="AV19" s="44" t="str">
        <f t="shared" ca="1" si="10"/>
        <v/>
      </c>
      <c r="AW19" s="44" t="str">
        <f t="shared" ca="1" si="10"/>
        <v/>
      </c>
      <c r="AX19" s="44" t="str">
        <f t="shared" ca="1" si="10"/>
        <v/>
      </c>
      <c r="AY19" s="44" t="str">
        <f t="shared" ca="1" si="10"/>
        <v/>
      </c>
      <c r="AZ19" s="44" t="str">
        <f t="shared" ca="1" si="10"/>
        <v/>
      </c>
      <c r="BA19" s="44" t="str">
        <f t="shared" ca="1" si="10"/>
        <v/>
      </c>
      <c r="BB19" s="44" t="str">
        <f t="shared" ca="1" si="10"/>
        <v/>
      </c>
      <c r="BC19" s="44" t="str">
        <f t="shared" ca="1" si="10"/>
        <v/>
      </c>
      <c r="BD19" s="44" t="str">
        <f t="shared" ca="1" si="10"/>
        <v/>
      </c>
      <c r="BE19" s="44" t="str">
        <f t="shared" ca="1" si="10"/>
        <v/>
      </c>
      <c r="BF19" s="44" t="str">
        <f t="shared" ca="1" si="10"/>
        <v/>
      </c>
      <c r="BG19" s="44" t="str">
        <f t="shared" ca="1" si="10"/>
        <v/>
      </c>
      <c r="BH19" s="44" t="str">
        <f t="shared" ca="1" si="10"/>
        <v/>
      </c>
      <c r="BI19" s="44" t="str">
        <f t="shared" ca="1" si="10"/>
        <v/>
      </c>
      <c r="BJ19" s="44" t="str">
        <f t="shared" ca="1" si="10"/>
        <v/>
      </c>
      <c r="BK19" s="44" t="str">
        <f t="shared" ca="1" si="10"/>
        <v/>
      </c>
      <c r="BL19" s="44" t="str">
        <f t="shared" ca="1" si="10"/>
        <v/>
      </c>
      <c r="BM19" s="44"/>
    </row>
    <row r="20" spans="1:65" s="1" customFormat="1" ht="18" customHeight="1" x14ac:dyDescent="0.25">
      <c r="A20" s="150"/>
      <c r="B20" s="65" t="s">
        <v>34</v>
      </c>
      <c r="C20" s="90" t="s">
        <v>8</v>
      </c>
      <c r="D20" s="56"/>
      <c r="E20" s="57"/>
      <c r="F20" s="70"/>
      <c r="G20" s="71"/>
      <c r="H20" s="73">
        <f>F21</f>
        <v>46507</v>
      </c>
      <c r="I20" s="44" t="str">
        <f t="shared" ca="1" si="6"/>
        <v/>
      </c>
      <c r="J20" s="44" t="str">
        <f t="shared" ca="1" si="6"/>
        <v/>
      </c>
      <c r="K20" s="44" t="str">
        <f t="shared" ca="1" si="6"/>
        <v/>
      </c>
      <c r="L20" s="44" t="str">
        <f t="shared" ca="1" si="6"/>
        <v/>
      </c>
      <c r="M20" s="44" t="str">
        <f t="shared" ca="1" si="6"/>
        <v/>
      </c>
      <c r="N20" s="44" t="str">
        <f t="shared" ca="1" si="6"/>
        <v/>
      </c>
      <c r="O20" s="44" t="str">
        <f t="shared" ca="1" si="6"/>
        <v/>
      </c>
      <c r="P20" s="44" t="str">
        <f t="shared" ca="1" si="6"/>
        <v/>
      </c>
      <c r="Q20" s="44" t="str">
        <f t="shared" ca="1" si="6"/>
        <v/>
      </c>
      <c r="R20" s="44" t="str">
        <f t="shared" ca="1" si="6"/>
        <v/>
      </c>
      <c r="S20" s="44" t="str">
        <f t="shared" ca="1" si="6"/>
        <v/>
      </c>
      <c r="T20" s="44" t="str">
        <f t="shared" ca="1" si="6"/>
        <v/>
      </c>
      <c r="U20" s="44" t="str">
        <f t="shared" ca="1" si="6"/>
        <v/>
      </c>
      <c r="V20" s="44" t="str">
        <f t="shared" ca="1" si="6"/>
        <v/>
      </c>
      <c r="W20" s="44" t="str">
        <f ca="1">IF(AND($C20="Ziel",$H20=W$7),2,IF(AND($C20="Meilenstein",$H20=W$7),1,""))</f>
        <v/>
      </c>
      <c r="X20" s="44" t="str">
        <f t="shared" ca="1" si="10"/>
        <v/>
      </c>
      <c r="Y20" s="44" t="str">
        <f t="shared" ca="1" si="10"/>
        <v/>
      </c>
      <c r="Z20" s="44" t="str">
        <f t="shared" ca="1" si="10"/>
        <v/>
      </c>
      <c r="AA20" s="44" t="str">
        <f t="shared" ca="1" si="10"/>
        <v/>
      </c>
      <c r="AB20" s="44" t="str">
        <f t="shared" ca="1" si="10"/>
        <v/>
      </c>
      <c r="AC20" s="44" t="str">
        <f t="shared" ca="1" si="10"/>
        <v/>
      </c>
      <c r="AD20" s="44" t="str">
        <f t="shared" ca="1" si="10"/>
        <v/>
      </c>
      <c r="AE20" s="44" t="str">
        <f t="shared" ca="1" si="10"/>
        <v/>
      </c>
      <c r="AF20" s="44" t="str">
        <f t="shared" ca="1" si="10"/>
        <v/>
      </c>
      <c r="AG20" s="44" t="str">
        <f t="shared" ca="1" si="10"/>
        <v/>
      </c>
      <c r="AH20" s="44" t="str">
        <f t="shared" ca="1" si="10"/>
        <v/>
      </c>
      <c r="AI20" s="44">
        <f t="shared" ca="1" si="10"/>
        <v>1</v>
      </c>
      <c r="AJ20" s="44" t="str">
        <f t="shared" ca="1" si="10"/>
        <v/>
      </c>
      <c r="AK20" s="44" t="str">
        <f t="shared" ca="1" si="10"/>
        <v/>
      </c>
      <c r="AL20" s="44" t="str">
        <f t="shared" ca="1" si="10"/>
        <v/>
      </c>
      <c r="AM20" s="44" t="str">
        <f t="shared" ca="1" si="10"/>
        <v/>
      </c>
      <c r="AN20" s="44" t="str">
        <f t="shared" ca="1" si="10"/>
        <v/>
      </c>
      <c r="AO20" s="44" t="str">
        <f t="shared" ca="1" si="10"/>
        <v/>
      </c>
      <c r="AP20" s="44" t="str">
        <f t="shared" ca="1" si="10"/>
        <v/>
      </c>
      <c r="AQ20" s="44" t="str">
        <f t="shared" ca="1" si="10"/>
        <v/>
      </c>
      <c r="AR20" s="44" t="str">
        <f t="shared" ca="1" si="10"/>
        <v/>
      </c>
      <c r="AS20" s="44" t="str">
        <f t="shared" ca="1" si="10"/>
        <v/>
      </c>
      <c r="AT20" s="44" t="str">
        <f t="shared" ca="1" si="10"/>
        <v/>
      </c>
      <c r="AU20" s="44" t="str">
        <f t="shared" ca="1" si="10"/>
        <v/>
      </c>
      <c r="AV20" s="44" t="str">
        <f t="shared" ca="1" si="10"/>
        <v/>
      </c>
      <c r="AW20" s="44" t="str">
        <f t="shared" ca="1" si="10"/>
        <v/>
      </c>
      <c r="AX20" s="44" t="str">
        <f t="shared" ca="1" si="10"/>
        <v/>
      </c>
      <c r="AY20" s="44" t="str">
        <f t="shared" ca="1" si="10"/>
        <v/>
      </c>
      <c r="AZ20" s="44" t="str">
        <f t="shared" ca="1" si="10"/>
        <v/>
      </c>
      <c r="BA20" s="44" t="str">
        <f t="shared" ca="1" si="10"/>
        <v/>
      </c>
      <c r="BB20" s="44" t="str">
        <f t="shared" ca="1" si="10"/>
        <v/>
      </c>
      <c r="BC20" s="44" t="str">
        <f t="shared" ca="1" si="10"/>
        <v/>
      </c>
      <c r="BD20" s="44" t="str">
        <f t="shared" ca="1" si="10"/>
        <v/>
      </c>
      <c r="BE20" s="44" t="str">
        <f t="shared" ca="1" si="10"/>
        <v/>
      </c>
      <c r="BF20" s="44" t="str">
        <f t="shared" ca="1" si="10"/>
        <v/>
      </c>
      <c r="BG20" s="44" t="str">
        <f t="shared" ca="1" si="10"/>
        <v/>
      </c>
      <c r="BH20" s="44" t="str">
        <f t="shared" ca="1" si="10"/>
        <v/>
      </c>
      <c r="BI20" s="44" t="str">
        <f t="shared" ca="1" si="10"/>
        <v/>
      </c>
      <c r="BJ20" s="44" t="str">
        <f t="shared" ca="1" si="10"/>
        <v/>
      </c>
      <c r="BK20" s="44" t="str">
        <f t="shared" ca="1" si="10"/>
        <v/>
      </c>
      <c r="BL20" s="44" t="str">
        <f t="shared" ca="1" si="10"/>
        <v/>
      </c>
      <c r="BM20" s="44"/>
    </row>
    <row r="21" spans="1:65" s="1" customFormat="1" ht="18" customHeight="1" x14ac:dyDescent="0.25">
      <c r="A21" s="150"/>
      <c r="B21" s="64" t="s">
        <v>35</v>
      </c>
      <c r="C21" s="55"/>
      <c r="D21" s="56"/>
      <c r="E21" s="57"/>
      <c r="F21" s="70">
        <f>Plan_Sommer[[#This Row],[Ende]]-Plan_Sommer[[#This Row],[Dauer
in Tage]]</f>
        <v>46507</v>
      </c>
      <c r="G21" s="71">
        <v>14</v>
      </c>
      <c r="H21" s="95">
        <f t="shared" ref="H21:H22" si="11">F22</f>
        <v>46521</v>
      </c>
      <c r="I21" s="44" t="str">
        <f t="shared" ca="1" si="6"/>
        <v/>
      </c>
      <c r="J21" s="44" t="str">
        <f t="shared" ca="1" si="6"/>
        <v/>
      </c>
      <c r="K21" s="44" t="str">
        <f t="shared" ca="1" si="6"/>
        <v/>
      </c>
      <c r="L21" s="44" t="str">
        <f t="shared" ca="1" si="6"/>
        <v/>
      </c>
      <c r="M21" s="44" t="str">
        <f t="shared" ca="1" si="6"/>
        <v/>
      </c>
      <c r="N21" s="44" t="str">
        <f t="shared" ca="1" si="6"/>
        <v/>
      </c>
      <c r="O21" s="44" t="str">
        <f t="shared" ca="1" si="6"/>
        <v/>
      </c>
      <c r="P21" s="44" t="str">
        <f t="shared" ca="1" si="6"/>
        <v/>
      </c>
      <c r="Q21" s="44" t="str">
        <f t="shared" ca="1" si="6"/>
        <v/>
      </c>
      <c r="R21" s="44" t="str">
        <f t="shared" ca="1" si="6"/>
        <v/>
      </c>
      <c r="S21" s="44" t="str">
        <f t="shared" ca="1" si="6"/>
        <v/>
      </c>
      <c r="T21" s="44" t="str">
        <f t="shared" ca="1" si="6"/>
        <v/>
      </c>
      <c r="U21" s="44" t="str">
        <f t="shared" ca="1" si="6"/>
        <v/>
      </c>
      <c r="V21" s="44" t="str">
        <f t="shared" ca="1" si="6"/>
        <v/>
      </c>
      <c r="W21" s="44" t="str">
        <f t="shared" ref="W21:W45" ca="1" si="12">IF(AND($C21="Ziel",$H21=W$7),2,IF(AND($C21="Meilenstein",$H21=W$7),1,""))</f>
        <v/>
      </c>
      <c r="X21" s="44" t="str">
        <f t="shared" ca="1" si="10"/>
        <v/>
      </c>
      <c r="Y21" s="44" t="str">
        <f t="shared" ca="1" si="10"/>
        <v/>
      </c>
      <c r="Z21" s="44" t="str">
        <f t="shared" ca="1" si="10"/>
        <v/>
      </c>
      <c r="AA21" s="44" t="str">
        <f t="shared" ca="1" si="10"/>
        <v/>
      </c>
      <c r="AB21" s="44" t="str">
        <f t="shared" ca="1" si="10"/>
        <v/>
      </c>
      <c r="AC21" s="44" t="str">
        <f t="shared" ca="1" si="10"/>
        <v/>
      </c>
      <c r="AD21" s="44" t="str">
        <f t="shared" ca="1" si="10"/>
        <v/>
      </c>
      <c r="AE21" s="44" t="str">
        <f t="shared" ca="1" si="10"/>
        <v/>
      </c>
      <c r="AF21" s="44" t="str">
        <f t="shared" ca="1" si="10"/>
        <v/>
      </c>
      <c r="AG21" s="44" t="str">
        <f t="shared" ca="1" si="10"/>
        <v/>
      </c>
      <c r="AH21" s="44" t="str">
        <f t="shared" ca="1" si="10"/>
        <v/>
      </c>
      <c r="AI21" s="44" t="str">
        <f t="shared" ca="1" si="10"/>
        <v/>
      </c>
      <c r="AJ21" s="44" t="str">
        <f t="shared" ca="1" si="10"/>
        <v/>
      </c>
      <c r="AK21" s="44" t="str">
        <f t="shared" ca="1" si="10"/>
        <v/>
      </c>
      <c r="AL21" s="44" t="str">
        <f t="shared" ca="1" si="10"/>
        <v/>
      </c>
      <c r="AM21" s="44" t="str">
        <f t="shared" ca="1" si="10"/>
        <v/>
      </c>
      <c r="AN21" s="44" t="str">
        <f t="shared" ca="1" si="10"/>
        <v/>
      </c>
      <c r="AO21" s="44" t="str">
        <f t="shared" ca="1" si="10"/>
        <v/>
      </c>
      <c r="AP21" s="44" t="str">
        <f t="shared" ca="1" si="10"/>
        <v/>
      </c>
      <c r="AQ21" s="44" t="str">
        <f t="shared" ca="1" si="10"/>
        <v/>
      </c>
      <c r="AR21" s="44" t="str">
        <f t="shared" ca="1" si="10"/>
        <v/>
      </c>
      <c r="AS21" s="44" t="str">
        <f t="shared" ca="1" si="10"/>
        <v/>
      </c>
      <c r="AT21" s="44" t="str">
        <f t="shared" ca="1" si="10"/>
        <v/>
      </c>
      <c r="AU21" s="44" t="str">
        <f t="shared" ca="1" si="10"/>
        <v/>
      </c>
      <c r="AV21" s="44" t="str">
        <f t="shared" ca="1" si="10"/>
        <v/>
      </c>
      <c r="AW21" s="44" t="str">
        <f t="shared" ca="1" si="10"/>
        <v/>
      </c>
      <c r="AX21" s="44" t="str">
        <f t="shared" ca="1" si="10"/>
        <v/>
      </c>
      <c r="AY21" s="44" t="str">
        <f t="shared" ca="1" si="10"/>
        <v/>
      </c>
      <c r="AZ21" s="44" t="str">
        <f t="shared" ca="1" si="10"/>
        <v/>
      </c>
      <c r="BA21" s="44" t="str">
        <f t="shared" ca="1" si="10"/>
        <v/>
      </c>
      <c r="BB21" s="44" t="str">
        <f t="shared" ca="1" si="10"/>
        <v/>
      </c>
      <c r="BC21" s="44" t="str">
        <f t="shared" ca="1" si="10"/>
        <v/>
      </c>
      <c r="BD21" s="44" t="str">
        <f t="shared" ca="1" si="10"/>
        <v/>
      </c>
      <c r="BE21" s="44" t="str">
        <f t="shared" ca="1" si="10"/>
        <v/>
      </c>
      <c r="BF21" s="44" t="str">
        <f t="shared" ca="1" si="10"/>
        <v/>
      </c>
      <c r="BG21" s="44" t="str">
        <f t="shared" ca="1" si="10"/>
        <v/>
      </c>
      <c r="BH21" s="44" t="str">
        <f t="shared" ca="1" si="10"/>
        <v/>
      </c>
      <c r="BI21" s="44" t="str">
        <f t="shared" ca="1" si="10"/>
        <v/>
      </c>
      <c r="BJ21" s="44" t="str">
        <f t="shared" ca="1" si="10"/>
        <v/>
      </c>
      <c r="BK21" s="44" t="str">
        <f t="shared" ca="1" si="10"/>
        <v/>
      </c>
      <c r="BL21" s="44" t="str">
        <f t="shared" ca="1" si="10"/>
        <v/>
      </c>
      <c r="BM21" s="44"/>
    </row>
    <row r="22" spans="1:65" s="1" customFormat="1" ht="18" customHeight="1" x14ac:dyDescent="0.25">
      <c r="A22" s="150"/>
      <c r="B22" s="64" t="s">
        <v>36</v>
      </c>
      <c r="C22" s="55"/>
      <c r="D22" s="56"/>
      <c r="E22" s="57"/>
      <c r="F22" s="70">
        <f>Plan_Sommer[[#This Row],[Ende]]-Plan_Sommer[[#This Row],[Dauer
in Tage]]</f>
        <v>46521</v>
      </c>
      <c r="G22" s="71">
        <v>5</v>
      </c>
      <c r="H22" s="72">
        <f t="shared" si="11"/>
        <v>46526</v>
      </c>
      <c r="I22" s="44" t="str">
        <f t="shared" ca="1" si="6"/>
        <v/>
      </c>
      <c r="J22" s="44" t="str">
        <f t="shared" ca="1" si="6"/>
        <v/>
      </c>
      <c r="K22" s="44" t="str">
        <f t="shared" ca="1" si="6"/>
        <v/>
      </c>
      <c r="L22" s="44" t="str">
        <f t="shared" ca="1" si="6"/>
        <v/>
      </c>
      <c r="M22" s="44" t="str">
        <f t="shared" ca="1" si="6"/>
        <v/>
      </c>
      <c r="N22" s="44" t="str">
        <f t="shared" ca="1" si="6"/>
        <v/>
      </c>
      <c r="O22" s="44" t="str">
        <f t="shared" ca="1" si="6"/>
        <v/>
      </c>
      <c r="P22" s="44" t="str">
        <f t="shared" ca="1" si="6"/>
        <v/>
      </c>
      <c r="Q22" s="44" t="str">
        <f t="shared" ca="1" si="6"/>
        <v/>
      </c>
      <c r="R22" s="44" t="str">
        <f t="shared" ca="1" si="6"/>
        <v/>
      </c>
      <c r="S22" s="44" t="str">
        <f t="shared" ca="1" si="6"/>
        <v/>
      </c>
      <c r="T22" s="44" t="str">
        <f t="shared" ca="1" si="6"/>
        <v/>
      </c>
      <c r="U22" s="44" t="str">
        <f t="shared" ca="1" si="6"/>
        <v/>
      </c>
      <c r="V22" s="44" t="str">
        <f t="shared" ca="1" si="6"/>
        <v/>
      </c>
      <c r="W22" s="44" t="str">
        <f t="shared" ca="1" si="12"/>
        <v/>
      </c>
      <c r="X22" s="44" t="str">
        <f t="shared" ca="1" si="10"/>
        <v/>
      </c>
      <c r="Y22" s="44" t="str">
        <f t="shared" ca="1" si="10"/>
        <v/>
      </c>
      <c r="Z22" s="44" t="str">
        <f t="shared" ca="1" si="10"/>
        <v/>
      </c>
      <c r="AA22" s="44" t="str">
        <f t="shared" ca="1" si="10"/>
        <v/>
      </c>
      <c r="AB22" s="44" t="str">
        <f t="shared" ca="1" si="10"/>
        <v/>
      </c>
      <c r="AC22" s="44" t="str">
        <f t="shared" ca="1" si="10"/>
        <v/>
      </c>
      <c r="AD22" s="44" t="str">
        <f t="shared" ca="1" si="10"/>
        <v/>
      </c>
      <c r="AE22" s="44" t="str">
        <f t="shared" ca="1" si="10"/>
        <v/>
      </c>
      <c r="AF22" s="44" t="str">
        <f t="shared" ca="1" si="10"/>
        <v/>
      </c>
      <c r="AG22" s="44" t="str">
        <f t="shared" ca="1" si="10"/>
        <v/>
      </c>
      <c r="AH22" s="44" t="str">
        <f t="shared" ca="1" si="10"/>
        <v/>
      </c>
      <c r="AI22" s="44" t="str">
        <f t="shared" ca="1" si="10"/>
        <v/>
      </c>
      <c r="AJ22" s="44" t="str">
        <f t="shared" ca="1" si="10"/>
        <v/>
      </c>
      <c r="AK22" s="44" t="str">
        <f t="shared" ca="1" si="10"/>
        <v/>
      </c>
      <c r="AL22" s="44" t="str">
        <f t="shared" ca="1" si="10"/>
        <v/>
      </c>
      <c r="AM22" s="44" t="str">
        <f t="shared" ca="1" si="10"/>
        <v/>
      </c>
      <c r="AN22" s="44" t="str">
        <f t="shared" ca="1" si="10"/>
        <v/>
      </c>
      <c r="AO22" s="44" t="str">
        <f t="shared" ca="1" si="10"/>
        <v/>
      </c>
      <c r="AP22" s="44" t="str">
        <f t="shared" ca="1" si="10"/>
        <v/>
      </c>
      <c r="AQ22" s="44" t="str">
        <f t="shared" ca="1" si="10"/>
        <v/>
      </c>
      <c r="AR22" s="44" t="str">
        <f t="shared" ca="1" si="10"/>
        <v/>
      </c>
      <c r="AS22" s="44" t="str">
        <f t="shared" ca="1" si="10"/>
        <v/>
      </c>
      <c r="AT22" s="44" t="str">
        <f t="shared" ca="1" si="10"/>
        <v/>
      </c>
      <c r="AU22" s="44" t="str">
        <f t="shared" ca="1" si="10"/>
        <v/>
      </c>
      <c r="AV22" s="44" t="str">
        <f t="shared" ca="1" si="10"/>
        <v/>
      </c>
      <c r="AW22" s="44" t="str">
        <f t="shared" ca="1" si="10"/>
        <v/>
      </c>
      <c r="AX22" s="44" t="str">
        <f t="shared" ca="1" si="10"/>
        <v/>
      </c>
      <c r="AY22" s="44" t="str">
        <f t="shared" ca="1" si="10"/>
        <v/>
      </c>
      <c r="AZ22" s="44" t="str">
        <f t="shared" ca="1" si="10"/>
        <v/>
      </c>
      <c r="BA22" s="44" t="str">
        <f t="shared" ca="1" si="10"/>
        <v/>
      </c>
      <c r="BB22" s="44" t="str">
        <f t="shared" ca="1" si="10"/>
        <v/>
      </c>
      <c r="BC22" s="44" t="str">
        <f t="shared" ca="1" si="10"/>
        <v/>
      </c>
      <c r="BD22" s="44" t="str">
        <f t="shared" ca="1" si="10"/>
        <v/>
      </c>
      <c r="BE22" s="44" t="str">
        <f t="shared" ca="1" si="10"/>
        <v/>
      </c>
      <c r="BF22" s="44" t="str">
        <f t="shared" ca="1" si="10"/>
        <v/>
      </c>
      <c r="BG22" s="44" t="str">
        <f t="shared" ca="1" si="10"/>
        <v/>
      </c>
      <c r="BH22" s="44" t="str">
        <f t="shared" ca="1" si="10"/>
        <v/>
      </c>
      <c r="BI22" s="44" t="str">
        <f t="shared" ca="1" si="10"/>
        <v/>
      </c>
      <c r="BJ22" s="44" t="str">
        <f t="shared" ca="1" si="10"/>
        <v/>
      </c>
      <c r="BK22" s="44" t="str">
        <f t="shared" ca="1" si="10"/>
        <v/>
      </c>
      <c r="BL22" s="44" t="str">
        <f t="shared" ca="1" si="10"/>
        <v/>
      </c>
      <c r="BM22" s="44"/>
    </row>
    <row r="23" spans="1:65" s="1" customFormat="1" ht="18" customHeight="1" x14ac:dyDescent="0.25">
      <c r="A23" s="150"/>
      <c r="B23" s="64" t="s">
        <v>37</v>
      </c>
      <c r="C23" s="55"/>
      <c r="D23" s="56"/>
      <c r="E23" s="57"/>
      <c r="F23" s="70">
        <f>H23-Plan_Sommer[[#This Row],[Dauer
in Tage]]</f>
        <v>46526</v>
      </c>
      <c r="G23" s="71">
        <v>14</v>
      </c>
      <c r="H23" s="72">
        <f>F24</f>
        <v>46540</v>
      </c>
      <c r="I23" s="44" t="str">
        <f t="shared" ca="1" si="6"/>
        <v/>
      </c>
      <c r="J23" s="44" t="str">
        <f t="shared" ca="1" si="6"/>
        <v/>
      </c>
      <c r="K23" s="44" t="str">
        <f t="shared" ca="1" si="6"/>
        <v/>
      </c>
      <c r="L23" s="44" t="str">
        <f t="shared" ca="1" si="6"/>
        <v/>
      </c>
      <c r="M23" s="44" t="str">
        <f t="shared" ca="1" si="6"/>
        <v/>
      </c>
      <c r="N23" s="44" t="str">
        <f t="shared" ca="1" si="6"/>
        <v/>
      </c>
      <c r="O23" s="44" t="str">
        <f t="shared" ca="1" si="6"/>
        <v/>
      </c>
      <c r="P23" s="44" t="str">
        <f t="shared" ca="1" si="6"/>
        <v/>
      </c>
      <c r="Q23" s="44" t="str">
        <f t="shared" ca="1" si="6"/>
        <v/>
      </c>
      <c r="R23" s="44" t="str">
        <f t="shared" ca="1" si="6"/>
        <v/>
      </c>
      <c r="S23" s="44" t="str">
        <f t="shared" ca="1" si="6"/>
        <v/>
      </c>
      <c r="T23" s="44" t="str">
        <f t="shared" ca="1" si="6"/>
        <v/>
      </c>
      <c r="U23" s="44" t="str">
        <f t="shared" ca="1" si="6"/>
        <v/>
      </c>
      <c r="V23" s="44" t="str">
        <f t="shared" ca="1" si="6"/>
        <v/>
      </c>
      <c r="W23" s="44" t="str">
        <f t="shared" ca="1" si="12"/>
        <v/>
      </c>
      <c r="X23" s="44" t="str">
        <f t="shared" ca="1" si="10"/>
        <v/>
      </c>
      <c r="Y23" s="44" t="str">
        <f t="shared" ca="1" si="10"/>
        <v/>
      </c>
      <c r="Z23" s="44" t="str">
        <f t="shared" ca="1" si="10"/>
        <v/>
      </c>
      <c r="AA23" s="44" t="str">
        <f t="shared" ca="1" si="10"/>
        <v/>
      </c>
      <c r="AB23" s="44" t="str">
        <f t="shared" ca="1" si="10"/>
        <v/>
      </c>
      <c r="AC23" s="44" t="str">
        <f t="shared" ca="1" si="10"/>
        <v/>
      </c>
      <c r="AD23" s="44" t="str">
        <f t="shared" ca="1" si="10"/>
        <v/>
      </c>
      <c r="AE23" s="44" t="str">
        <f t="shared" ca="1" si="10"/>
        <v/>
      </c>
      <c r="AF23" s="44" t="str">
        <f t="shared" ca="1" si="10"/>
        <v/>
      </c>
      <c r="AG23" s="44" t="str">
        <f t="shared" ca="1" si="10"/>
        <v/>
      </c>
      <c r="AH23" s="44" t="str">
        <f t="shared" ca="1" si="10"/>
        <v/>
      </c>
      <c r="AI23" s="44" t="str">
        <f t="shared" ca="1" si="10"/>
        <v/>
      </c>
      <c r="AJ23" s="44" t="str">
        <f t="shared" ca="1" si="10"/>
        <v/>
      </c>
      <c r="AK23" s="44" t="str">
        <f t="shared" ca="1" si="10"/>
        <v/>
      </c>
      <c r="AL23" s="44" t="str">
        <f t="shared" ca="1" si="10"/>
        <v/>
      </c>
      <c r="AM23" s="44" t="str">
        <f t="shared" ca="1" si="10"/>
        <v/>
      </c>
      <c r="AN23" s="44" t="str">
        <f t="shared" ca="1" si="10"/>
        <v/>
      </c>
      <c r="AO23" s="44" t="str">
        <f t="shared" ca="1" si="10"/>
        <v/>
      </c>
      <c r="AP23" s="44" t="str">
        <f t="shared" ca="1" si="10"/>
        <v/>
      </c>
      <c r="AQ23" s="44" t="str">
        <f t="shared" ca="1" si="10"/>
        <v/>
      </c>
      <c r="AR23" s="44" t="str">
        <f t="shared" ca="1" si="10"/>
        <v/>
      </c>
      <c r="AS23" s="44" t="str">
        <f t="shared" ca="1" si="10"/>
        <v/>
      </c>
      <c r="AT23" s="44" t="str">
        <f t="shared" ca="1" si="10"/>
        <v/>
      </c>
      <c r="AU23" s="44" t="str">
        <f t="shared" ca="1" si="10"/>
        <v/>
      </c>
      <c r="AV23" s="44" t="str">
        <f t="shared" ca="1" si="10"/>
        <v/>
      </c>
      <c r="AW23" s="44" t="str">
        <f t="shared" ca="1" si="10"/>
        <v/>
      </c>
      <c r="AX23" s="44" t="str">
        <f t="shared" ca="1" si="10"/>
        <v/>
      </c>
      <c r="AY23" s="44" t="str">
        <f t="shared" ca="1" si="10"/>
        <v/>
      </c>
      <c r="AZ23" s="44" t="str">
        <f t="shared" ca="1" si="10"/>
        <v/>
      </c>
      <c r="BA23" s="44" t="str">
        <f t="shared" ca="1" si="10"/>
        <v/>
      </c>
      <c r="BB23" s="44" t="str">
        <f t="shared" ca="1" si="10"/>
        <v/>
      </c>
      <c r="BC23" s="44" t="str">
        <f t="shared" ca="1" si="10"/>
        <v/>
      </c>
      <c r="BD23" s="44" t="str">
        <f t="shared" ca="1" si="10"/>
        <v/>
      </c>
      <c r="BE23" s="44" t="str">
        <f t="shared" ca="1" si="10"/>
        <v/>
      </c>
      <c r="BF23" s="44" t="str">
        <f t="shared" ca="1" si="10"/>
        <v/>
      </c>
      <c r="BG23" s="44" t="str">
        <f t="shared" ca="1" si="10"/>
        <v/>
      </c>
      <c r="BH23" s="44" t="str">
        <f t="shared" ca="1" si="10"/>
        <v/>
      </c>
      <c r="BI23" s="44" t="str">
        <f t="shared" ca="1" si="10"/>
        <v/>
      </c>
      <c r="BJ23" s="44" t="str">
        <f t="shared" ca="1" si="10"/>
        <v/>
      </c>
      <c r="BK23" s="44" t="str">
        <f t="shared" ca="1" si="10"/>
        <v/>
      </c>
      <c r="BL23" s="44" t="str">
        <f t="shared" ca="1" si="10"/>
        <v/>
      </c>
      <c r="BM23" s="44"/>
    </row>
    <row r="24" spans="1:65" s="1" customFormat="1" ht="18" customHeight="1" x14ac:dyDescent="0.25">
      <c r="A24" s="150"/>
      <c r="B24" s="65" t="s">
        <v>38</v>
      </c>
      <c r="C24" s="90" t="s">
        <v>8</v>
      </c>
      <c r="D24" s="56"/>
      <c r="E24" s="57"/>
      <c r="F24" s="70">
        <f t="shared" ref="F24" si="13">H27-G26</f>
        <v>46540</v>
      </c>
      <c r="G24" s="71"/>
      <c r="H24" s="73">
        <f>F26</f>
        <v>46540</v>
      </c>
      <c r="I24" s="44" t="str">
        <f t="shared" ca="1" si="6"/>
        <v/>
      </c>
      <c r="J24" s="44" t="str">
        <f t="shared" ca="1" si="6"/>
        <v/>
      </c>
      <c r="K24" s="44" t="str">
        <f t="shared" ca="1" si="6"/>
        <v/>
      </c>
      <c r="L24" s="44" t="str">
        <f t="shared" ca="1" si="6"/>
        <v/>
      </c>
      <c r="M24" s="44" t="str">
        <f t="shared" ca="1" si="6"/>
        <v/>
      </c>
      <c r="N24" s="44" t="str">
        <f t="shared" ca="1" si="6"/>
        <v/>
      </c>
      <c r="O24" s="44" t="str">
        <f t="shared" ca="1" si="6"/>
        <v/>
      </c>
      <c r="P24" s="44" t="str">
        <f t="shared" ca="1" si="6"/>
        <v/>
      </c>
      <c r="Q24" s="44" t="str">
        <f t="shared" ca="1" si="6"/>
        <v/>
      </c>
      <c r="R24" s="44" t="str">
        <f t="shared" ca="1" si="6"/>
        <v/>
      </c>
      <c r="S24" s="44" t="str">
        <f t="shared" ca="1" si="6"/>
        <v/>
      </c>
      <c r="T24" s="44" t="str">
        <f t="shared" ca="1" si="6"/>
        <v/>
      </c>
      <c r="U24" s="44" t="str">
        <f t="shared" ca="1" si="6"/>
        <v/>
      </c>
      <c r="V24" s="44" t="str">
        <f t="shared" ca="1" si="6"/>
        <v/>
      </c>
      <c r="W24" s="44" t="str">
        <f t="shared" ca="1" si="12"/>
        <v/>
      </c>
      <c r="X24" s="44" t="str">
        <f t="shared" ca="1" si="10"/>
        <v/>
      </c>
      <c r="Y24" s="44" t="str">
        <f t="shared" ca="1" si="10"/>
        <v/>
      </c>
      <c r="Z24" s="44" t="str">
        <f t="shared" ca="1" si="10"/>
        <v/>
      </c>
      <c r="AA24" s="44" t="str">
        <f t="shared" ca="1" si="10"/>
        <v/>
      </c>
      <c r="AB24" s="44" t="str">
        <f t="shared" ca="1" si="10"/>
        <v/>
      </c>
      <c r="AC24" s="44" t="str">
        <f t="shared" ca="1" si="10"/>
        <v/>
      </c>
      <c r="AD24" s="44" t="str">
        <f t="shared" ca="1" si="10"/>
        <v/>
      </c>
      <c r="AE24" s="44" t="str">
        <f t="shared" ref="X24:BL31" ca="1" si="14">IF(AND($C24="Ziel",$H24=AE$7),2,IF(AND($C24="Meilenstein",$H24=AE$7),1,""))</f>
        <v/>
      </c>
      <c r="AF24" s="44" t="str">
        <f t="shared" ca="1" si="14"/>
        <v/>
      </c>
      <c r="AG24" s="44" t="str">
        <f t="shared" ca="1" si="14"/>
        <v/>
      </c>
      <c r="AH24" s="44" t="str">
        <f t="shared" ca="1" si="14"/>
        <v/>
      </c>
      <c r="AI24" s="44" t="str">
        <f t="shared" ca="1" si="14"/>
        <v/>
      </c>
      <c r="AJ24" s="44" t="str">
        <f t="shared" ca="1" si="14"/>
        <v/>
      </c>
      <c r="AK24" s="44" t="str">
        <f t="shared" ca="1" si="14"/>
        <v/>
      </c>
      <c r="AL24" s="44" t="str">
        <f t="shared" ca="1" si="14"/>
        <v/>
      </c>
      <c r="AM24" s="44" t="str">
        <f t="shared" ca="1" si="14"/>
        <v/>
      </c>
      <c r="AN24" s="44" t="str">
        <f t="shared" ca="1" si="14"/>
        <v/>
      </c>
      <c r="AO24" s="44" t="str">
        <f t="shared" ca="1" si="14"/>
        <v/>
      </c>
      <c r="AP24" s="44" t="str">
        <f t="shared" ca="1" si="14"/>
        <v/>
      </c>
      <c r="AQ24" s="44" t="str">
        <f t="shared" ca="1" si="14"/>
        <v/>
      </c>
      <c r="AR24" s="44" t="str">
        <f t="shared" ca="1" si="14"/>
        <v/>
      </c>
      <c r="AS24" s="44" t="str">
        <f t="shared" ca="1" si="14"/>
        <v/>
      </c>
      <c r="AT24" s="44" t="str">
        <f t="shared" ca="1" si="14"/>
        <v/>
      </c>
      <c r="AU24" s="44" t="str">
        <f t="shared" ca="1" si="14"/>
        <v/>
      </c>
      <c r="AV24" s="44" t="str">
        <f t="shared" ca="1" si="14"/>
        <v/>
      </c>
      <c r="AW24" s="44" t="str">
        <f t="shared" ca="1" si="14"/>
        <v/>
      </c>
      <c r="AX24" s="44" t="str">
        <f t="shared" ca="1" si="14"/>
        <v/>
      </c>
      <c r="AY24" s="44" t="str">
        <f t="shared" ca="1" si="14"/>
        <v/>
      </c>
      <c r="AZ24" s="44" t="str">
        <f t="shared" ca="1" si="14"/>
        <v/>
      </c>
      <c r="BA24" s="44" t="str">
        <f t="shared" ca="1" si="14"/>
        <v/>
      </c>
      <c r="BB24" s="44" t="str">
        <f t="shared" ca="1" si="14"/>
        <v/>
      </c>
      <c r="BC24" s="44" t="str">
        <f t="shared" ca="1" si="14"/>
        <v/>
      </c>
      <c r="BD24" s="44" t="str">
        <f t="shared" ca="1" si="14"/>
        <v/>
      </c>
      <c r="BE24" s="44" t="str">
        <f t="shared" ca="1" si="14"/>
        <v/>
      </c>
      <c r="BF24" s="44" t="str">
        <f t="shared" ca="1" si="14"/>
        <v/>
      </c>
      <c r="BG24" s="44" t="str">
        <f t="shared" ca="1" si="14"/>
        <v/>
      </c>
      <c r="BH24" s="44" t="str">
        <f t="shared" ca="1" si="14"/>
        <v/>
      </c>
      <c r="BI24" s="44" t="str">
        <f t="shared" ca="1" si="14"/>
        <v/>
      </c>
      <c r="BJ24" s="44" t="str">
        <f t="shared" ca="1" si="14"/>
        <v/>
      </c>
      <c r="BK24" s="44" t="str">
        <f t="shared" ca="1" si="14"/>
        <v/>
      </c>
      <c r="BL24" s="44" t="str">
        <f t="shared" ca="1" si="14"/>
        <v/>
      </c>
      <c r="BM24" s="44"/>
    </row>
    <row r="25" spans="1:65" s="1" customFormat="1" ht="18" customHeight="1" x14ac:dyDescent="0.25">
      <c r="A25" s="150"/>
      <c r="B25" s="64" t="s">
        <v>39</v>
      </c>
      <c r="C25" s="94"/>
      <c r="D25" s="56"/>
      <c r="E25" s="57"/>
      <c r="F25" s="70">
        <f>H27-Plan_Sommer[[#This Row],[Dauer
in Tage]]</f>
        <v>46516</v>
      </c>
      <c r="G25" s="71">
        <v>41</v>
      </c>
      <c r="H25" s="72">
        <f>$F25+$G25</f>
        <v>46557</v>
      </c>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row>
    <row r="26" spans="1:65" s="1" customFormat="1" ht="18" customHeight="1" x14ac:dyDescent="0.25">
      <c r="A26" s="150"/>
      <c r="B26" s="64" t="s">
        <v>40</v>
      </c>
      <c r="C26" s="55"/>
      <c r="D26" s="56"/>
      <c r="E26" s="57"/>
      <c r="F26" s="70">
        <f>H27-Plan_Sommer[[#This Row],[Dauer
in Tage]]</f>
        <v>46540</v>
      </c>
      <c r="G26" s="71">
        <v>17</v>
      </c>
      <c r="H26" s="72"/>
      <c r="I26" s="44" t="str">
        <f t="shared" ca="1" si="6"/>
        <v/>
      </c>
      <c r="J26" s="44" t="str">
        <f t="shared" ca="1" si="6"/>
        <v/>
      </c>
      <c r="K26" s="44" t="str">
        <f t="shared" ca="1" si="6"/>
        <v/>
      </c>
      <c r="L26" s="44" t="str">
        <f t="shared" ca="1" si="6"/>
        <v/>
      </c>
      <c r="M26" s="44" t="str">
        <f t="shared" ca="1" si="6"/>
        <v/>
      </c>
      <c r="N26" s="44" t="str">
        <f t="shared" ca="1" si="6"/>
        <v/>
      </c>
      <c r="O26" s="44" t="str">
        <f t="shared" ca="1" si="6"/>
        <v/>
      </c>
      <c r="P26" s="44" t="str">
        <f t="shared" ca="1" si="6"/>
        <v/>
      </c>
      <c r="Q26" s="44" t="str">
        <f t="shared" ca="1" si="6"/>
        <v/>
      </c>
      <c r="R26" s="44" t="str">
        <f t="shared" ca="1" si="6"/>
        <v/>
      </c>
      <c r="S26" s="44" t="str">
        <f t="shared" ca="1" si="6"/>
        <v/>
      </c>
      <c r="T26" s="44" t="str">
        <f t="shared" ca="1" si="6"/>
        <v/>
      </c>
      <c r="U26" s="44" t="str">
        <f t="shared" ca="1" si="6"/>
        <v/>
      </c>
      <c r="V26" s="44" t="str">
        <f t="shared" ca="1" si="6"/>
        <v/>
      </c>
      <c r="W26" s="44" t="str">
        <f t="shared" ca="1" si="12"/>
        <v/>
      </c>
      <c r="X26" s="44" t="str">
        <f t="shared" ca="1" si="14"/>
        <v/>
      </c>
      <c r="Y26" s="44" t="str">
        <f t="shared" ca="1" si="14"/>
        <v/>
      </c>
      <c r="Z26" s="44" t="str">
        <f t="shared" ca="1" si="14"/>
        <v/>
      </c>
      <c r="AA26" s="44" t="str">
        <f t="shared" ca="1" si="14"/>
        <v/>
      </c>
      <c r="AB26" s="44" t="str">
        <f t="shared" ca="1" si="14"/>
        <v/>
      </c>
      <c r="AC26" s="44" t="str">
        <f t="shared" ca="1" si="14"/>
        <v/>
      </c>
      <c r="AD26" s="44" t="str">
        <f t="shared" ca="1" si="14"/>
        <v/>
      </c>
      <c r="AE26" s="44" t="str">
        <f t="shared" ca="1" si="14"/>
        <v/>
      </c>
      <c r="AF26" s="44" t="str">
        <f t="shared" ca="1" si="14"/>
        <v/>
      </c>
      <c r="AG26" s="44" t="str">
        <f t="shared" ca="1" si="14"/>
        <v/>
      </c>
      <c r="AH26" s="44" t="str">
        <f t="shared" ca="1" si="14"/>
        <v/>
      </c>
      <c r="AI26" s="44" t="str">
        <f t="shared" ca="1" si="14"/>
        <v/>
      </c>
      <c r="AJ26" s="44" t="str">
        <f t="shared" ca="1" si="14"/>
        <v/>
      </c>
      <c r="AK26" s="44" t="str">
        <f t="shared" ca="1" si="14"/>
        <v/>
      </c>
      <c r="AL26" s="44" t="str">
        <f t="shared" ca="1" si="14"/>
        <v/>
      </c>
      <c r="AM26" s="44" t="str">
        <f t="shared" ca="1" si="14"/>
        <v/>
      </c>
      <c r="AN26" s="44" t="str">
        <f t="shared" ca="1" si="14"/>
        <v/>
      </c>
      <c r="AO26" s="44" t="str">
        <f t="shared" ca="1" si="14"/>
        <v/>
      </c>
      <c r="AP26" s="44" t="str">
        <f t="shared" ca="1" si="14"/>
        <v/>
      </c>
      <c r="AQ26" s="44" t="str">
        <f t="shared" ca="1" si="14"/>
        <v/>
      </c>
      <c r="AR26" s="44" t="str">
        <f t="shared" ca="1" si="14"/>
        <v/>
      </c>
      <c r="AS26" s="44" t="str">
        <f t="shared" ca="1" si="14"/>
        <v/>
      </c>
      <c r="AT26" s="44" t="str">
        <f t="shared" ca="1" si="14"/>
        <v/>
      </c>
      <c r="AU26" s="44" t="str">
        <f t="shared" ca="1" si="14"/>
        <v/>
      </c>
      <c r="AV26" s="44" t="str">
        <f t="shared" ca="1" si="14"/>
        <v/>
      </c>
      <c r="AW26" s="44" t="str">
        <f t="shared" ca="1" si="14"/>
        <v/>
      </c>
      <c r="AX26" s="44" t="str">
        <f t="shared" ca="1" si="14"/>
        <v/>
      </c>
      <c r="AY26" s="44" t="str">
        <f t="shared" ca="1" si="14"/>
        <v/>
      </c>
      <c r="AZ26" s="44" t="str">
        <f t="shared" ca="1" si="14"/>
        <v/>
      </c>
      <c r="BA26" s="44" t="str">
        <f t="shared" ca="1" si="14"/>
        <v/>
      </c>
      <c r="BB26" s="44" t="str">
        <f t="shared" ca="1" si="14"/>
        <v/>
      </c>
      <c r="BC26" s="44" t="str">
        <f t="shared" ca="1" si="14"/>
        <v/>
      </c>
      <c r="BD26" s="44" t="str">
        <f t="shared" ca="1" si="14"/>
        <v/>
      </c>
      <c r="BE26" s="44" t="str">
        <f t="shared" ca="1" si="14"/>
        <v/>
      </c>
      <c r="BF26" s="44" t="str">
        <f t="shared" ca="1" si="14"/>
        <v/>
      </c>
      <c r="BG26" s="44" t="str">
        <f t="shared" ca="1" si="14"/>
        <v/>
      </c>
      <c r="BH26" s="44" t="str">
        <f t="shared" ca="1" si="14"/>
        <v/>
      </c>
      <c r="BI26" s="44" t="str">
        <f t="shared" ca="1" si="14"/>
        <v/>
      </c>
      <c r="BJ26" s="44" t="str">
        <f t="shared" ca="1" si="14"/>
        <v/>
      </c>
      <c r="BK26" s="44" t="str">
        <f t="shared" ca="1" si="14"/>
        <v/>
      </c>
      <c r="BL26" s="44" t="str">
        <f t="shared" ca="1" si="14"/>
        <v/>
      </c>
      <c r="BM26" s="69"/>
    </row>
    <row r="27" spans="1:65" s="1" customFormat="1" ht="18" customHeight="1" x14ac:dyDescent="0.25">
      <c r="A27" s="150"/>
      <c r="B27" s="93" t="s">
        <v>41</v>
      </c>
      <c r="C27" s="89" t="s">
        <v>9</v>
      </c>
      <c r="D27" s="78"/>
      <c r="E27" s="79"/>
      <c r="F27" s="80"/>
      <c r="G27" s="84"/>
      <c r="H27" s="87">
        <f>C4</f>
        <v>46557</v>
      </c>
      <c r="I27" s="85" t="str">
        <f t="shared" ca="1" si="6"/>
        <v/>
      </c>
      <c r="J27" s="83" t="str">
        <f t="shared" ca="1" si="6"/>
        <v/>
      </c>
      <c r="K27" s="83" t="str">
        <f t="shared" ca="1" si="6"/>
        <v/>
      </c>
      <c r="L27" s="83" t="str">
        <f t="shared" ca="1" si="6"/>
        <v/>
      </c>
      <c r="M27" s="83" t="str">
        <f t="shared" ca="1" si="6"/>
        <v/>
      </c>
      <c r="N27" s="83" t="str">
        <f t="shared" ca="1" si="6"/>
        <v/>
      </c>
      <c r="O27" s="83" t="str">
        <f t="shared" ca="1" si="6"/>
        <v/>
      </c>
      <c r="P27" s="83" t="str">
        <f t="shared" ca="1" si="6"/>
        <v/>
      </c>
      <c r="Q27" s="83" t="str">
        <f t="shared" ca="1" si="6"/>
        <v/>
      </c>
      <c r="R27" s="83" t="str">
        <f t="shared" ca="1" si="6"/>
        <v/>
      </c>
      <c r="S27" s="83" t="str">
        <f t="shared" ca="1" si="6"/>
        <v/>
      </c>
      <c r="T27" s="83" t="str">
        <f t="shared" ca="1" si="6"/>
        <v/>
      </c>
      <c r="U27" s="83" t="str">
        <f t="shared" ca="1" si="6"/>
        <v/>
      </c>
      <c r="V27" s="83" t="str">
        <f t="shared" ca="1" si="6"/>
        <v/>
      </c>
      <c r="W27" s="83" t="str">
        <f t="shared" ca="1" si="12"/>
        <v/>
      </c>
      <c r="X27" s="83" t="str">
        <f t="shared" ca="1" si="14"/>
        <v/>
      </c>
      <c r="Y27" s="83" t="str">
        <f t="shared" ca="1" si="14"/>
        <v/>
      </c>
      <c r="Z27" s="83" t="str">
        <f t="shared" ca="1" si="14"/>
        <v/>
      </c>
      <c r="AA27" s="83" t="str">
        <f t="shared" ca="1" si="14"/>
        <v/>
      </c>
      <c r="AB27" s="83" t="str">
        <f t="shared" ca="1" si="14"/>
        <v/>
      </c>
      <c r="AC27" s="83" t="str">
        <f t="shared" ca="1" si="14"/>
        <v/>
      </c>
      <c r="AD27" s="83" t="str">
        <f t="shared" ca="1" si="14"/>
        <v/>
      </c>
      <c r="AE27" s="83" t="str">
        <f t="shared" ca="1" si="14"/>
        <v/>
      </c>
      <c r="AF27" s="83" t="str">
        <f t="shared" ca="1" si="14"/>
        <v/>
      </c>
      <c r="AG27" s="83" t="str">
        <f t="shared" ca="1" si="14"/>
        <v/>
      </c>
      <c r="AH27" s="83" t="str">
        <f t="shared" ca="1" si="14"/>
        <v/>
      </c>
      <c r="AI27" s="83" t="str">
        <f t="shared" ca="1" si="14"/>
        <v/>
      </c>
      <c r="AJ27" s="83" t="str">
        <f t="shared" ca="1" si="14"/>
        <v/>
      </c>
      <c r="AK27" s="83" t="str">
        <f t="shared" ca="1" si="14"/>
        <v/>
      </c>
      <c r="AL27" s="83" t="str">
        <f t="shared" ca="1" si="14"/>
        <v/>
      </c>
      <c r="AM27" s="83" t="str">
        <f t="shared" ca="1" si="14"/>
        <v/>
      </c>
      <c r="AN27" s="83" t="str">
        <f t="shared" ca="1" si="14"/>
        <v/>
      </c>
      <c r="AO27" s="83" t="str">
        <f t="shared" ca="1" si="14"/>
        <v/>
      </c>
      <c r="AP27" s="83" t="str">
        <f t="shared" ca="1" si="14"/>
        <v/>
      </c>
      <c r="AQ27" s="83" t="str">
        <f t="shared" ca="1" si="14"/>
        <v/>
      </c>
      <c r="AR27" s="83" t="str">
        <f t="shared" ca="1" si="14"/>
        <v/>
      </c>
      <c r="AS27" s="83" t="str">
        <f t="shared" ca="1" si="14"/>
        <v/>
      </c>
      <c r="AT27" s="83" t="str">
        <f t="shared" ca="1" si="14"/>
        <v/>
      </c>
      <c r="AU27" s="83" t="str">
        <f t="shared" ca="1" si="14"/>
        <v/>
      </c>
      <c r="AV27" s="83" t="str">
        <f t="shared" ca="1" si="14"/>
        <v/>
      </c>
      <c r="AW27" s="83" t="str">
        <f t="shared" ca="1" si="14"/>
        <v/>
      </c>
      <c r="AX27" s="83" t="str">
        <f t="shared" ca="1" si="14"/>
        <v/>
      </c>
      <c r="AY27" s="83" t="str">
        <f t="shared" ca="1" si="14"/>
        <v/>
      </c>
      <c r="AZ27" s="83" t="str">
        <f t="shared" ca="1" si="14"/>
        <v/>
      </c>
      <c r="BA27" s="83" t="str">
        <f t="shared" ca="1" si="14"/>
        <v/>
      </c>
      <c r="BB27" s="83" t="str">
        <f t="shared" ca="1" si="14"/>
        <v/>
      </c>
      <c r="BC27" s="83" t="str">
        <f t="shared" ca="1" si="14"/>
        <v/>
      </c>
      <c r="BD27" s="83" t="str">
        <f t="shared" ca="1" si="14"/>
        <v/>
      </c>
      <c r="BE27" s="83" t="str">
        <f t="shared" ca="1" si="14"/>
        <v/>
      </c>
      <c r="BF27" s="83" t="str">
        <f t="shared" ca="1" si="14"/>
        <v/>
      </c>
      <c r="BG27" s="83" t="str">
        <f t="shared" ca="1" si="14"/>
        <v/>
      </c>
      <c r="BH27" s="83" t="str">
        <f t="shared" ca="1" si="14"/>
        <v/>
      </c>
      <c r="BI27" s="83" t="str">
        <f t="shared" ca="1" si="14"/>
        <v/>
      </c>
      <c r="BJ27" s="83" t="str">
        <f t="shared" ca="1" si="14"/>
        <v/>
      </c>
      <c r="BK27" s="83" t="str">
        <f t="shared" ca="1" si="14"/>
        <v/>
      </c>
      <c r="BL27" s="83" t="str">
        <f t="shared" ca="1" si="14"/>
        <v/>
      </c>
      <c r="BM27" s="83"/>
    </row>
    <row r="28" spans="1:65" s="1" customFormat="1" ht="18" customHeight="1" x14ac:dyDescent="0.25">
      <c r="A28" s="144" t="s">
        <v>42</v>
      </c>
      <c r="B28" s="65" t="s">
        <v>43</v>
      </c>
      <c r="C28" s="55"/>
      <c r="D28" s="63"/>
      <c r="E28" s="57"/>
      <c r="F28" s="70"/>
      <c r="G28" s="71"/>
      <c r="H28" s="76"/>
      <c r="I28" s="68" t="str">
        <f t="shared" ca="1" si="6"/>
        <v/>
      </c>
      <c r="J28" s="68" t="str">
        <f t="shared" ca="1" si="6"/>
        <v/>
      </c>
      <c r="K28" s="68" t="str">
        <f t="shared" ca="1" si="6"/>
        <v/>
      </c>
      <c r="L28" s="68" t="str">
        <f t="shared" ca="1" si="6"/>
        <v/>
      </c>
      <c r="M28" s="68" t="str">
        <f t="shared" ca="1" si="6"/>
        <v/>
      </c>
      <c r="N28" s="68" t="str">
        <f t="shared" ca="1" si="6"/>
        <v/>
      </c>
      <c r="O28" s="68" t="str">
        <f t="shared" ca="1" si="6"/>
        <v/>
      </c>
      <c r="P28" s="68" t="str">
        <f t="shared" ca="1" si="6"/>
        <v/>
      </c>
      <c r="Q28" s="68" t="str">
        <f t="shared" ca="1" si="6"/>
        <v/>
      </c>
      <c r="R28" s="68" t="str">
        <f t="shared" ca="1" si="6"/>
        <v/>
      </c>
      <c r="S28" s="68" t="str">
        <f t="shared" ca="1" si="6"/>
        <v/>
      </c>
      <c r="T28" s="68" t="str">
        <f t="shared" ca="1" si="6"/>
        <v/>
      </c>
      <c r="U28" s="68" t="str">
        <f t="shared" ca="1" si="6"/>
        <v/>
      </c>
      <c r="V28" s="68" t="str">
        <f t="shared" ca="1" si="6"/>
        <v/>
      </c>
      <c r="W28" s="68" t="str">
        <f t="shared" ca="1" si="12"/>
        <v/>
      </c>
      <c r="X28" s="68" t="str">
        <f t="shared" ca="1" si="14"/>
        <v/>
      </c>
      <c r="Y28" s="68" t="str">
        <f t="shared" ca="1" si="14"/>
        <v/>
      </c>
      <c r="Z28" s="68" t="str">
        <f t="shared" ca="1" si="14"/>
        <v/>
      </c>
      <c r="AA28" s="68" t="str">
        <f t="shared" ca="1" si="14"/>
        <v/>
      </c>
      <c r="AB28" s="68" t="str">
        <f t="shared" ca="1" si="14"/>
        <v/>
      </c>
      <c r="AC28" s="68" t="str">
        <f t="shared" ca="1" si="14"/>
        <v/>
      </c>
      <c r="AD28" s="68" t="str">
        <f t="shared" ca="1" si="14"/>
        <v/>
      </c>
      <c r="AE28" s="68" t="str">
        <f t="shared" ca="1" si="14"/>
        <v/>
      </c>
      <c r="AF28" s="68" t="str">
        <f t="shared" ca="1" si="14"/>
        <v/>
      </c>
      <c r="AG28" s="68" t="str">
        <f t="shared" ca="1" si="14"/>
        <v/>
      </c>
      <c r="AH28" s="68" t="str">
        <f t="shared" ca="1" si="14"/>
        <v/>
      </c>
      <c r="AI28" s="68" t="str">
        <f t="shared" ca="1" si="14"/>
        <v/>
      </c>
      <c r="AJ28" s="68" t="str">
        <f t="shared" ca="1" si="14"/>
        <v/>
      </c>
      <c r="AK28" s="68" t="str">
        <f t="shared" ca="1" si="14"/>
        <v/>
      </c>
      <c r="AL28" s="68" t="str">
        <f t="shared" ca="1" si="14"/>
        <v/>
      </c>
      <c r="AM28" s="68" t="str">
        <f t="shared" ca="1" si="14"/>
        <v/>
      </c>
      <c r="AN28" s="68" t="str">
        <f t="shared" ca="1" si="14"/>
        <v/>
      </c>
      <c r="AO28" s="68" t="str">
        <f t="shared" ca="1" si="14"/>
        <v/>
      </c>
      <c r="AP28" s="68" t="str">
        <f t="shared" ca="1" si="14"/>
        <v/>
      </c>
      <c r="AQ28" s="68" t="str">
        <f t="shared" ca="1" si="14"/>
        <v/>
      </c>
      <c r="AR28" s="68" t="str">
        <f t="shared" ca="1" si="14"/>
        <v/>
      </c>
      <c r="AS28" s="68" t="str">
        <f t="shared" ca="1" si="14"/>
        <v/>
      </c>
      <c r="AT28" s="68" t="str">
        <f t="shared" ca="1" si="14"/>
        <v/>
      </c>
      <c r="AU28" s="68" t="str">
        <f t="shared" ca="1" si="14"/>
        <v/>
      </c>
      <c r="AV28" s="68" t="str">
        <f t="shared" ca="1" si="14"/>
        <v/>
      </c>
      <c r="AW28" s="68" t="str">
        <f t="shared" ca="1" si="14"/>
        <v/>
      </c>
      <c r="AX28" s="68" t="str">
        <f t="shared" ca="1" si="14"/>
        <v/>
      </c>
      <c r="AY28" s="68" t="str">
        <f t="shared" ca="1" si="14"/>
        <v/>
      </c>
      <c r="AZ28" s="68" t="str">
        <f t="shared" ca="1" si="14"/>
        <v/>
      </c>
      <c r="BA28" s="68" t="str">
        <f t="shared" ca="1" si="14"/>
        <v/>
      </c>
      <c r="BB28" s="68" t="str">
        <f t="shared" ca="1" si="14"/>
        <v/>
      </c>
      <c r="BC28" s="68" t="str">
        <f t="shared" ca="1" si="14"/>
        <v/>
      </c>
      <c r="BD28" s="68" t="str">
        <f t="shared" ca="1" si="14"/>
        <v/>
      </c>
      <c r="BE28" s="68" t="str">
        <f t="shared" ca="1" si="14"/>
        <v/>
      </c>
      <c r="BF28" s="68" t="str">
        <f t="shared" ca="1" si="14"/>
        <v/>
      </c>
      <c r="BG28" s="68" t="str">
        <f t="shared" ca="1" si="14"/>
        <v/>
      </c>
      <c r="BH28" s="68" t="str">
        <f t="shared" ca="1" si="14"/>
        <v/>
      </c>
      <c r="BI28" s="68" t="str">
        <f t="shared" ca="1" si="14"/>
        <v/>
      </c>
      <c r="BJ28" s="68" t="str">
        <f t="shared" ca="1" si="14"/>
        <v/>
      </c>
      <c r="BK28" s="68" t="str">
        <f t="shared" ca="1" si="14"/>
        <v/>
      </c>
      <c r="BL28" s="68" t="str">
        <f t="shared" ca="1" si="14"/>
        <v/>
      </c>
      <c r="BM28" s="68"/>
    </row>
    <row r="29" spans="1:65" s="1" customFormat="1" ht="18" customHeight="1" x14ac:dyDescent="0.25">
      <c r="A29" s="144"/>
      <c r="B29" s="64" t="s">
        <v>32</v>
      </c>
      <c r="C29" s="55" t="s">
        <v>5</v>
      </c>
      <c r="D29" s="56" t="s">
        <v>44</v>
      </c>
      <c r="E29" s="57"/>
      <c r="F29" s="70">
        <f>Plan_Sommer[[#This Row],[Ende]]-Plan_Sommer[[#This Row],[Dauer
in Tage]]</f>
        <v>-3</v>
      </c>
      <c r="G29" s="71">
        <v>3</v>
      </c>
      <c r="H29" s="72">
        <f>H30</f>
        <v>0</v>
      </c>
      <c r="I29" s="44" t="str">
        <f t="shared" ref="I29:X44" ca="1" si="15">IF(AND($C29="Ziel",$H29=I$7),2,IF(AND($C29="Meilenstein",$H29=I$7),1,""))</f>
        <v/>
      </c>
      <c r="J29" s="44" t="str">
        <f t="shared" ca="1" si="15"/>
        <v/>
      </c>
      <c r="K29" s="44" t="str">
        <f t="shared" ca="1" si="15"/>
        <v/>
      </c>
      <c r="L29" s="44" t="str">
        <f t="shared" ca="1" si="15"/>
        <v/>
      </c>
      <c r="M29" s="44" t="str">
        <f t="shared" ca="1" si="15"/>
        <v/>
      </c>
      <c r="N29" s="44" t="str">
        <f t="shared" ca="1" si="15"/>
        <v/>
      </c>
      <c r="O29" s="44" t="str">
        <f t="shared" ca="1" si="15"/>
        <v/>
      </c>
      <c r="P29" s="44" t="str">
        <f t="shared" ca="1" si="15"/>
        <v/>
      </c>
      <c r="Q29" s="44" t="str">
        <f t="shared" ca="1" si="15"/>
        <v/>
      </c>
      <c r="R29" s="44" t="str">
        <f t="shared" ca="1" si="15"/>
        <v/>
      </c>
      <c r="S29" s="44" t="str">
        <f t="shared" ca="1" si="15"/>
        <v/>
      </c>
      <c r="T29" s="44" t="str">
        <f t="shared" ca="1" si="15"/>
        <v/>
      </c>
      <c r="U29" s="44" t="str">
        <f t="shared" ca="1" si="15"/>
        <v/>
      </c>
      <c r="V29" s="44" t="str">
        <f t="shared" ca="1" si="15"/>
        <v/>
      </c>
      <c r="W29" s="44" t="str">
        <f t="shared" ca="1" si="12"/>
        <v/>
      </c>
      <c r="X29" s="44" t="str">
        <f t="shared" ca="1" si="15"/>
        <v/>
      </c>
      <c r="Y29" s="44" t="str">
        <f t="shared" ca="1" si="14"/>
        <v/>
      </c>
      <c r="Z29" s="44" t="str">
        <f t="shared" ca="1" si="14"/>
        <v/>
      </c>
      <c r="AA29" s="44" t="str">
        <f t="shared" ca="1" si="14"/>
        <v/>
      </c>
      <c r="AB29" s="44" t="str">
        <f t="shared" ca="1" si="14"/>
        <v/>
      </c>
      <c r="AC29" s="44" t="str">
        <f t="shared" ca="1" si="14"/>
        <v/>
      </c>
      <c r="AD29" s="44" t="str">
        <f t="shared" ca="1" si="14"/>
        <v/>
      </c>
      <c r="AE29" s="44" t="str">
        <f t="shared" ca="1" si="14"/>
        <v/>
      </c>
      <c r="AF29" s="44" t="str">
        <f t="shared" ca="1" si="14"/>
        <v/>
      </c>
      <c r="AG29" s="44" t="str">
        <f t="shared" ca="1" si="14"/>
        <v/>
      </c>
      <c r="AH29" s="44" t="str">
        <f t="shared" ca="1" si="14"/>
        <v/>
      </c>
      <c r="AI29" s="44" t="str">
        <f t="shared" ca="1" si="14"/>
        <v/>
      </c>
      <c r="AJ29" s="44" t="str">
        <f t="shared" ca="1" si="14"/>
        <v/>
      </c>
      <c r="AK29" s="44" t="str">
        <f t="shared" ca="1" si="14"/>
        <v/>
      </c>
      <c r="AL29" s="44" t="str">
        <f t="shared" ca="1" si="14"/>
        <v/>
      </c>
      <c r="AM29" s="44" t="str">
        <f t="shared" ca="1" si="14"/>
        <v/>
      </c>
      <c r="AN29" s="44" t="str">
        <f t="shared" ca="1" si="14"/>
        <v/>
      </c>
      <c r="AO29" s="44" t="str">
        <f t="shared" ca="1" si="14"/>
        <v/>
      </c>
      <c r="AP29" s="44" t="str">
        <f t="shared" ca="1" si="14"/>
        <v/>
      </c>
      <c r="AQ29" s="44" t="str">
        <f t="shared" ca="1" si="14"/>
        <v/>
      </c>
      <c r="AR29" s="44" t="str">
        <f t="shared" ca="1" si="14"/>
        <v/>
      </c>
      <c r="AS29" s="44" t="str">
        <f t="shared" ca="1" si="14"/>
        <v/>
      </c>
      <c r="AT29" s="44" t="str">
        <f t="shared" ca="1" si="14"/>
        <v/>
      </c>
      <c r="AU29" s="44" t="str">
        <f t="shared" ca="1" si="14"/>
        <v/>
      </c>
      <c r="AV29" s="44" t="str">
        <f t="shared" ca="1" si="14"/>
        <v/>
      </c>
      <c r="AW29" s="44" t="str">
        <f t="shared" ca="1" si="14"/>
        <v/>
      </c>
      <c r="AX29" s="44" t="str">
        <f t="shared" ca="1" si="14"/>
        <v/>
      </c>
      <c r="AY29" s="44" t="str">
        <f t="shared" ca="1" si="14"/>
        <v/>
      </c>
      <c r="AZ29" s="44" t="str">
        <f t="shared" ca="1" si="14"/>
        <v/>
      </c>
      <c r="BA29" s="44" t="str">
        <f t="shared" ca="1" si="14"/>
        <v/>
      </c>
      <c r="BB29" s="44" t="str">
        <f t="shared" ca="1" si="14"/>
        <v/>
      </c>
      <c r="BC29" s="44" t="str">
        <f t="shared" ca="1" si="14"/>
        <v/>
      </c>
      <c r="BD29" s="44" t="str">
        <f t="shared" ca="1" si="14"/>
        <v/>
      </c>
      <c r="BE29" s="44" t="str">
        <f t="shared" ca="1" si="14"/>
        <v/>
      </c>
      <c r="BF29" s="44" t="str">
        <f t="shared" ca="1" si="14"/>
        <v/>
      </c>
      <c r="BG29" s="44" t="str">
        <f t="shared" ca="1" si="14"/>
        <v/>
      </c>
      <c r="BH29" s="44" t="str">
        <f t="shared" ca="1" si="14"/>
        <v/>
      </c>
      <c r="BI29" s="44" t="str">
        <f t="shared" ca="1" si="14"/>
        <v/>
      </c>
      <c r="BJ29" s="44" t="str">
        <f t="shared" ca="1" si="14"/>
        <v/>
      </c>
      <c r="BK29" s="44" t="str">
        <f t="shared" ca="1" si="14"/>
        <v/>
      </c>
      <c r="BL29" s="44" t="str">
        <f t="shared" ca="1" si="14"/>
        <v/>
      </c>
      <c r="BM29" s="44"/>
    </row>
    <row r="30" spans="1:65" s="1" customFormat="1" ht="18" customHeight="1" x14ac:dyDescent="0.25">
      <c r="A30" s="144"/>
      <c r="B30" s="64" t="s">
        <v>45</v>
      </c>
      <c r="C30" s="55" t="s">
        <v>5</v>
      </c>
      <c r="D30" s="56"/>
      <c r="E30" s="57"/>
      <c r="F30" s="70">
        <f>Plan_Sommer[[#This Row],[Ende]]-Plan_Sommer[[#This Row],[Dauer
in Tage]]</f>
        <v>-3</v>
      </c>
      <c r="G30" s="71">
        <v>3</v>
      </c>
      <c r="H30" s="72">
        <f>H31</f>
        <v>0</v>
      </c>
      <c r="I30" s="44" t="str">
        <f t="shared" ca="1" si="15"/>
        <v/>
      </c>
      <c r="J30" s="44" t="str">
        <f t="shared" ca="1" si="15"/>
        <v/>
      </c>
      <c r="K30" s="44" t="str">
        <f t="shared" ca="1" si="15"/>
        <v/>
      </c>
      <c r="L30" s="44" t="str">
        <f t="shared" ca="1" si="15"/>
        <v/>
      </c>
      <c r="M30" s="44" t="str">
        <f t="shared" ca="1" si="15"/>
        <v/>
      </c>
      <c r="N30" s="44" t="str">
        <f t="shared" ca="1" si="15"/>
        <v/>
      </c>
      <c r="O30" s="44" t="str">
        <f t="shared" ca="1" si="15"/>
        <v/>
      </c>
      <c r="P30" s="44" t="str">
        <f t="shared" ca="1" si="15"/>
        <v/>
      </c>
      <c r="Q30" s="44" t="str">
        <f t="shared" ca="1" si="15"/>
        <v/>
      </c>
      <c r="R30" s="44" t="str">
        <f t="shared" ca="1" si="15"/>
        <v/>
      </c>
      <c r="S30" s="44" t="str">
        <f t="shared" ca="1" si="15"/>
        <v/>
      </c>
      <c r="T30" s="44" t="str">
        <f t="shared" ca="1" si="15"/>
        <v/>
      </c>
      <c r="U30" s="44" t="str">
        <f t="shared" ca="1" si="15"/>
        <v/>
      </c>
      <c r="V30" s="44" t="str">
        <f t="shared" ca="1" si="15"/>
        <v/>
      </c>
      <c r="W30" s="44" t="str">
        <f t="shared" ca="1" si="12"/>
        <v/>
      </c>
      <c r="X30" s="44" t="str">
        <f t="shared" ca="1" si="14"/>
        <v/>
      </c>
      <c r="Y30" s="44" t="str">
        <f t="shared" ca="1" si="14"/>
        <v/>
      </c>
      <c r="Z30" s="44" t="str">
        <f t="shared" ca="1" si="14"/>
        <v/>
      </c>
      <c r="AA30" s="44" t="str">
        <f t="shared" ca="1" si="14"/>
        <v/>
      </c>
      <c r="AB30" s="44" t="str">
        <f t="shared" ca="1" si="14"/>
        <v/>
      </c>
      <c r="AC30" s="44" t="str">
        <f t="shared" ca="1" si="14"/>
        <v/>
      </c>
      <c r="AD30" s="44" t="str">
        <f t="shared" ca="1" si="14"/>
        <v/>
      </c>
      <c r="AE30" s="44" t="str">
        <f t="shared" ca="1" si="14"/>
        <v/>
      </c>
      <c r="AF30" s="44" t="str">
        <f t="shared" ca="1" si="14"/>
        <v/>
      </c>
      <c r="AG30" s="44" t="str">
        <f t="shared" ca="1" si="14"/>
        <v/>
      </c>
      <c r="AH30" s="44" t="str">
        <f t="shared" ca="1" si="14"/>
        <v/>
      </c>
      <c r="AI30" s="44" t="str">
        <f t="shared" ca="1" si="14"/>
        <v/>
      </c>
      <c r="AJ30" s="44" t="str">
        <f t="shared" ca="1" si="14"/>
        <v/>
      </c>
      <c r="AK30" s="44" t="str">
        <f t="shared" ca="1" si="14"/>
        <v/>
      </c>
      <c r="AL30" s="44" t="str">
        <f t="shared" ca="1" si="14"/>
        <v/>
      </c>
      <c r="AM30" s="44" t="str">
        <f t="shared" ca="1" si="14"/>
        <v/>
      </c>
      <c r="AN30" s="44" t="str">
        <f t="shared" ca="1" si="14"/>
        <v/>
      </c>
      <c r="AO30" s="44" t="str">
        <f t="shared" ca="1" si="14"/>
        <v/>
      </c>
      <c r="AP30" s="44" t="str">
        <f t="shared" ca="1" si="14"/>
        <v/>
      </c>
      <c r="AQ30" s="44" t="str">
        <f t="shared" ca="1" si="14"/>
        <v/>
      </c>
      <c r="AR30" s="44" t="str">
        <f t="shared" ca="1" si="14"/>
        <v/>
      </c>
      <c r="AS30" s="44" t="str">
        <f t="shared" ca="1" si="14"/>
        <v/>
      </c>
      <c r="AT30" s="44" t="str">
        <f t="shared" ca="1" si="14"/>
        <v/>
      </c>
      <c r="AU30" s="44" t="str">
        <f t="shared" ca="1" si="14"/>
        <v/>
      </c>
      <c r="AV30" s="44" t="str">
        <f t="shared" ca="1" si="14"/>
        <v/>
      </c>
      <c r="AW30" s="44" t="str">
        <f t="shared" ca="1" si="14"/>
        <v/>
      </c>
      <c r="AX30" s="44" t="str">
        <f t="shared" ca="1" si="14"/>
        <v/>
      </c>
      <c r="AY30" s="44" t="str">
        <f t="shared" ca="1" si="14"/>
        <v/>
      </c>
      <c r="AZ30" s="44" t="str">
        <f t="shared" ca="1" si="14"/>
        <v/>
      </c>
      <c r="BA30" s="44" t="str">
        <f t="shared" ca="1" si="14"/>
        <v/>
      </c>
      <c r="BB30" s="44" t="str">
        <f t="shared" ca="1" si="14"/>
        <v/>
      </c>
      <c r="BC30" s="44" t="str">
        <f t="shared" ca="1" si="14"/>
        <v/>
      </c>
      <c r="BD30" s="44" t="str">
        <f t="shared" ca="1" si="14"/>
        <v/>
      </c>
      <c r="BE30" s="44" t="str">
        <f t="shared" ca="1" si="14"/>
        <v/>
      </c>
      <c r="BF30" s="44" t="str">
        <f t="shared" ca="1" si="14"/>
        <v/>
      </c>
      <c r="BG30" s="44" t="str">
        <f t="shared" ca="1" si="14"/>
        <v/>
      </c>
      <c r="BH30" s="44" t="str">
        <f t="shared" ca="1" si="14"/>
        <v/>
      </c>
      <c r="BI30" s="44" t="str">
        <f t="shared" ca="1" si="14"/>
        <v/>
      </c>
      <c r="BJ30" s="44" t="str">
        <f t="shared" ca="1" si="14"/>
        <v/>
      </c>
      <c r="BK30" s="44" t="str">
        <f t="shared" ca="1" si="14"/>
        <v/>
      </c>
      <c r="BL30" s="44" t="str">
        <f t="shared" ca="1" si="14"/>
        <v/>
      </c>
      <c r="BM30" s="44"/>
    </row>
    <row r="31" spans="1:65" s="1" customFormat="1" ht="18" customHeight="1" x14ac:dyDescent="0.25">
      <c r="A31" s="144"/>
      <c r="B31" s="91" t="s">
        <v>46</v>
      </c>
      <c r="C31" s="90" t="s">
        <v>8</v>
      </c>
      <c r="D31" s="56">
        <v>1</v>
      </c>
      <c r="E31" s="57"/>
      <c r="F31" s="70"/>
      <c r="G31" s="74"/>
      <c r="H31" s="75"/>
      <c r="I31" s="44" t="str">
        <f t="shared" ca="1" si="15"/>
        <v/>
      </c>
      <c r="J31" s="44" t="str">
        <f t="shared" ca="1" si="15"/>
        <v/>
      </c>
      <c r="K31" s="44" t="str">
        <f t="shared" ca="1" si="15"/>
        <v/>
      </c>
      <c r="L31" s="44" t="str">
        <f t="shared" ca="1" si="15"/>
        <v/>
      </c>
      <c r="M31" s="44" t="str">
        <f t="shared" ca="1" si="15"/>
        <v/>
      </c>
      <c r="N31" s="44" t="str">
        <f t="shared" ca="1" si="15"/>
        <v/>
      </c>
      <c r="O31" s="44" t="str">
        <f t="shared" ca="1" si="15"/>
        <v/>
      </c>
      <c r="P31" s="44" t="str">
        <f t="shared" ca="1" si="15"/>
        <v/>
      </c>
      <c r="Q31" s="44" t="str">
        <f t="shared" ca="1" si="15"/>
        <v/>
      </c>
      <c r="R31" s="44" t="str">
        <f t="shared" ca="1" si="15"/>
        <v/>
      </c>
      <c r="S31" s="44" t="str">
        <f t="shared" ca="1" si="15"/>
        <v/>
      </c>
      <c r="T31" s="44" t="str">
        <f t="shared" ca="1" si="15"/>
        <v/>
      </c>
      <c r="U31" s="44" t="str">
        <f t="shared" ca="1" si="15"/>
        <v/>
      </c>
      <c r="V31" s="44" t="str">
        <f t="shared" ca="1" si="15"/>
        <v/>
      </c>
      <c r="W31" s="44" t="str">
        <f t="shared" ca="1" si="12"/>
        <v/>
      </c>
      <c r="X31" s="44" t="str">
        <f t="shared" ca="1" si="14"/>
        <v/>
      </c>
      <c r="Y31" s="44" t="str">
        <f t="shared" ca="1" si="14"/>
        <v/>
      </c>
      <c r="Z31" s="44" t="str">
        <f t="shared" ca="1" si="14"/>
        <v/>
      </c>
      <c r="AA31" s="44" t="str">
        <f t="shared" ca="1" si="14"/>
        <v/>
      </c>
      <c r="AB31" s="44" t="str">
        <f t="shared" ca="1" si="14"/>
        <v/>
      </c>
      <c r="AC31" s="44" t="str">
        <f t="shared" ca="1" si="14"/>
        <v/>
      </c>
      <c r="AD31" s="44" t="str">
        <f t="shared" ca="1" si="14"/>
        <v/>
      </c>
      <c r="AE31" s="44" t="str">
        <f t="shared" ca="1" si="14"/>
        <v/>
      </c>
      <c r="AF31" s="44" t="str">
        <f t="shared" ca="1" si="14"/>
        <v/>
      </c>
      <c r="AG31" s="44" t="str">
        <f t="shared" ca="1" si="14"/>
        <v/>
      </c>
      <c r="AH31" s="44" t="str">
        <f t="shared" ca="1" si="14"/>
        <v/>
      </c>
      <c r="AI31" s="44" t="str">
        <f t="shared" ref="X31:BL37" ca="1" si="16">IF(AND($C31="Ziel",$H31=AI$7),2,IF(AND($C31="Meilenstein",$H31=AI$7),1,""))</f>
        <v/>
      </c>
      <c r="AJ31" s="44" t="str">
        <f t="shared" ca="1" si="16"/>
        <v/>
      </c>
      <c r="AK31" s="44" t="str">
        <f t="shared" ca="1" si="16"/>
        <v/>
      </c>
      <c r="AL31" s="44" t="str">
        <f t="shared" ca="1" si="16"/>
        <v/>
      </c>
      <c r="AM31" s="44" t="str">
        <f t="shared" ca="1" si="16"/>
        <v/>
      </c>
      <c r="AN31" s="44" t="str">
        <f t="shared" ca="1" si="16"/>
        <v/>
      </c>
      <c r="AO31" s="44" t="str">
        <f t="shared" ca="1" si="16"/>
        <v/>
      </c>
      <c r="AP31" s="44" t="str">
        <f t="shared" ca="1" si="16"/>
        <v/>
      </c>
      <c r="AQ31" s="44" t="str">
        <f t="shared" ca="1" si="16"/>
        <v/>
      </c>
      <c r="AR31" s="44" t="str">
        <f t="shared" ca="1" si="16"/>
        <v/>
      </c>
      <c r="AS31" s="44" t="str">
        <f t="shared" ca="1" si="16"/>
        <v/>
      </c>
      <c r="AT31" s="44" t="str">
        <f t="shared" ca="1" si="16"/>
        <v/>
      </c>
      <c r="AU31" s="44" t="str">
        <f t="shared" ca="1" si="16"/>
        <v/>
      </c>
      <c r="AV31" s="44" t="str">
        <f t="shared" ca="1" si="16"/>
        <v/>
      </c>
      <c r="AW31" s="44" t="str">
        <f t="shared" ca="1" si="16"/>
        <v/>
      </c>
      <c r="AX31" s="44" t="str">
        <f t="shared" ca="1" si="16"/>
        <v/>
      </c>
      <c r="AY31" s="44" t="str">
        <f t="shared" ca="1" si="16"/>
        <v/>
      </c>
      <c r="AZ31" s="44" t="str">
        <f t="shared" ca="1" si="16"/>
        <v/>
      </c>
      <c r="BA31" s="44" t="str">
        <f t="shared" ca="1" si="16"/>
        <v/>
      </c>
      <c r="BB31" s="44" t="str">
        <f t="shared" ca="1" si="16"/>
        <v/>
      </c>
      <c r="BC31" s="44" t="str">
        <f t="shared" ca="1" si="16"/>
        <v/>
      </c>
      <c r="BD31" s="44" t="str">
        <f t="shared" ca="1" si="16"/>
        <v/>
      </c>
      <c r="BE31" s="44" t="str">
        <f t="shared" ca="1" si="16"/>
        <v/>
      </c>
      <c r="BF31" s="44" t="str">
        <f t="shared" ca="1" si="16"/>
        <v/>
      </c>
      <c r="BG31" s="44" t="str">
        <f t="shared" ca="1" si="16"/>
        <v/>
      </c>
      <c r="BH31" s="44" t="str">
        <f t="shared" ca="1" si="16"/>
        <v/>
      </c>
      <c r="BI31" s="44" t="str">
        <f t="shared" ca="1" si="16"/>
        <v/>
      </c>
      <c r="BJ31" s="44" t="str">
        <f t="shared" ca="1" si="16"/>
        <v/>
      </c>
      <c r="BK31" s="44" t="str">
        <f t="shared" ca="1" si="16"/>
        <v/>
      </c>
      <c r="BL31" s="44" t="str">
        <f t="shared" ca="1" si="16"/>
        <v/>
      </c>
      <c r="BM31" s="44"/>
    </row>
    <row r="32" spans="1:65" s="1" customFormat="1" ht="18" customHeight="1" x14ac:dyDescent="0.25">
      <c r="A32" s="144"/>
      <c r="B32" s="91" t="s">
        <v>46</v>
      </c>
      <c r="C32" s="90" t="s">
        <v>8</v>
      </c>
      <c r="D32" s="56">
        <v>2</v>
      </c>
      <c r="E32" s="57"/>
      <c r="F32" s="70"/>
      <c r="G32" s="74"/>
      <c r="H32" s="75"/>
      <c r="I32" s="44" t="str">
        <f t="shared" ca="1" si="15"/>
        <v/>
      </c>
      <c r="J32" s="44" t="str">
        <f t="shared" ca="1" si="15"/>
        <v/>
      </c>
      <c r="K32" s="44" t="str">
        <f t="shared" ca="1" si="15"/>
        <v/>
      </c>
      <c r="L32" s="44" t="str">
        <f t="shared" ca="1" si="15"/>
        <v/>
      </c>
      <c r="M32" s="44" t="str">
        <f t="shared" ca="1" si="15"/>
        <v/>
      </c>
      <c r="N32" s="44" t="str">
        <f t="shared" ca="1" si="15"/>
        <v/>
      </c>
      <c r="O32" s="44" t="str">
        <f t="shared" ca="1" si="15"/>
        <v/>
      </c>
      <c r="P32" s="44" t="str">
        <f t="shared" ca="1" si="15"/>
        <v/>
      </c>
      <c r="Q32" s="44" t="str">
        <f t="shared" ca="1" si="15"/>
        <v/>
      </c>
      <c r="R32" s="44" t="str">
        <f t="shared" ca="1" si="15"/>
        <v/>
      </c>
      <c r="S32" s="44" t="str">
        <f t="shared" ca="1" si="15"/>
        <v/>
      </c>
      <c r="T32" s="44" t="str">
        <f t="shared" ca="1" si="15"/>
        <v/>
      </c>
      <c r="U32" s="44" t="str">
        <f t="shared" ca="1" si="15"/>
        <v/>
      </c>
      <c r="V32" s="44" t="str">
        <f t="shared" ca="1" si="15"/>
        <v/>
      </c>
      <c r="W32" s="44" t="str">
        <f t="shared" ca="1" si="12"/>
        <v/>
      </c>
      <c r="X32" s="44" t="str">
        <f t="shared" ca="1" si="16"/>
        <v/>
      </c>
      <c r="Y32" s="44" t="str">
        <f t="shared" ca="1" si="16"/>
        <v/>
      </c>
      <c r="Z32" s="44" t="str">
        <f t="shared" ca="1" si="16"/>
        <v/>
      </c>
      <c r="AA32" s="44" t="str">
        <f t="shared" ca="1" si="16"/>
        <v/>
      </c>
      <c r="AB32" s="44" t="str">
        <f t="shared" ca="1" si="16"/>
        <v/>
      </c>
      <c r="AC32" s="44" t="str">
        <f t="shared" ca="1" si="16"/>
        <v/>
      </c>
      <c r="AD32" s="44" t="str">
        <f t="shared" ca="1" si="16"/>
        <v/>
      </c>
      <c r="AE32" s="44" t="str">
        <f t="shared" ca="1" si="16"/>
        <v/>
      </c>
      <c r="AF32" s="44" t="str">
        <f t="shared" ca="1" si="16"/>
        <v/>
      </c>
      <c r="AG32" s="44" t="str">
        <f t="shared" ca="1" si="16"/>
        <v/>
      </c>
      <c r="AH32" s="44" t="str">
        <f t="shared" ca="1" si="16"/>
        <v/>
      </c>
      <c r="AI32" s="44" t="str">
        <f t="shared" ca="1" si="16"/>
        <v/>
      </c>
      <c r="AJ32" s="44" t="str">
        <f t="shared" ca="1" si="16"/>
        <v/>
      </c>
      <c r="AK32" s="44" t="str">
        <f t="shared" ca="1" si="16"/>
        <v/>
      </c>
      <c r="AL32" s="44" t="str">
        <f t="shared" ca="1" si="16"/>
        <v/>
      </c>
      <c r="AM32" s="44" t="str">
        <f t="shared" ca="1" si="16"/>
        <v/>
      </c>
      <c r="AN32" s="44" t="str">
        <f t="shared" ca="1" si="16"/>
        <v/>
      </c>
      <c r="AO32" s="44" t="str">
        <f t="shared" ca="1" si="16"/>
        <v/>
      </c>
      <c r="AP32" s="44" t="str">
        <f t="shared" ca="1" si="16"/>
        <v/>
      </c>
      <c r="AQ32" s="44" t="str">
        <f t="shared" ca="1" si="16"/>
        <v/>
      </c>
      <c r="AR32" s="44" t="str">
        <f t="shared" ca="1" si="16"/>
        <v/>
      </c>
      <c r="AS32" s="44" t="str">
        <f t="shared" ca="1" si="16"/>
        <v/>
      </c>
      <c r="AT32" s="44" t="str">
        <f t="shared" ca="1" si="16"/>
        <v/>
      </c>
      <c r="AU32" s="44" t="str">
        <f t="shared" ca="1" si="16"/>
        <v/>
      </c>
      <c r="AV32" s="44" t="str">
        <f t="shared" ca="1" si="16"/>
        <v/>
      </c>
      <c r="AW32" s="44" t="str">
        <f t="shared" ca="1" si="16"/>
        <v/>
      </c>
      <c r="AX32" s="44" t="str">
        <f t="shared" ca="1" si="16"/>
        <v/>
      </c>
      <c r="AY32" s="44" t="str">
        <f t="shared" ca="1" si="16"/>
        <v/>
      </c>
      <c r="AZ32" s="44" t="str">
        <f t="shared" ca="1" si="16"/>
        <v/>
      </c>
      <c r="BA32" s="44" t="str">
        <f t="shared" ca="1" si="16"/>
        <v/>
      </c>
      <c r="BB32" s="44" t="str">
        <f t="shared" ca="1" si="16"/>
        <v/>
      </c>
      <c r="BC32" s="44" t="str">
        <f t="shared" ca="1" si="16"/>
        <v/>
      </c>
      <c r="BD32" s="44" t="str">
        <f t="shared" ca="1" si="16"/>
        <v/>
      </c>
      <c r="BE32" s="44" t="str">
        <f t="shared" ca="1" si="16"/>
        <v/>
      </c>
      <c r="BF32" s="44" t="str">
        <f t="shared" ca="1" si="16"/>
        <v/>
      </c>
      <c r="BG32" s="44" t="str">
        <f t="shared" ca="1" si="16"/>
        <v/>
      </c>
      <c r="BH32" s="44" t="str">
        <f t="shared" ca="1" si="16"/>
        <v/>
      </c>
      <c r="BI32" s="44" t="str">
        <f t="shared" ca="1" si="16"/>
        <v/>
      </c>
      <c r="BJ32" s="44" t="str">
        <f t="shared" ca="1" si="16"/>
        <v/>
      </c>
      <c r="BK32" s="44" t="str">
        <f t="shared" ca="1" si="16"/>
        <v/>
      </c>
      <c r="BL32" s="44" t="str">
        <f t="shared" ca="1" si="16"/>
        <v/>
      </c>
      <c r="BM32" s="44"/>
    </row>
    <row r="33" spans="1:65" s="1" customFormat="1" ht="18" customHeight="1" x14ac:dyDescent="0.25">
      <c r="A33" s="144"/>
      <c r="B33" s="91" t="s">
        <v>46</v>
      </c>
      <c r="C33" s="90" t="s">
        <v>8</v>
      </c>
      <c r="D33" s="56">
        <v>3</v>
      </c>
      <c r="E33" s="57"/>
      <c r="F33" s="70"/>
      <c r="G33" s="74"/>
      <c r="H33" s="75"/>
      <c r="I33" s="44" t="str">
        <f t="shared" ca="1" si="15"/>
        <v/>
      </c>
      <c r="J33" s="44" t="str">
        <f t="shared" ca="1" si="15"/>
        <v/>
      </c>
      <c r="K33" s="44" t="str">
        <f t="shared" ca="1" si="15"/>
        <v/>
      </c>
      <c r="L33" s="44" t="str">
        <f t="shared" ca="1" si="15"/>
        <v/>
      </c>
      <c r="M33" s="44" t="str">
        <f t="shared" ca="1" si="15"/>
        <v/>
      </c>
      <c r="N33" s="44" t="str">
        <f t="shared" ca="1" si="15"/>
        <v/>
      </c>
      <c r="O33" s="44" t="str">
        <f t="shared" ca="1" si="15"/>
        <v/>
      </c>
      <c r="P33" s="44" t="str">
        <f t="shared" ca="1" si="15"/>
        <v/>
      </c>
      <c r="Q33" s="44" t="str">
        <f t="shared" ca="1" si="15"/>
        <v/>
      </c>
      <c r="R33" s="44" t="str">
        <f t="shared" ca="1" si="15"/>
        <v/>
      </c>
      <c r="S33" s="44" t="str">
        <f t="shared" ca="1" si="15"/>
        <v/>
      </c>
      <c r="T33" s="44" t="str">
        <f t="shared" ca="1" si="15"/>
        <v/>
      </c>
      <c r="U33" s="44" t="str">
        <f t="shared" ca="1" si="15"/>
        <v/>
      </c>
      <c r="V33" s="44" t="str">
        <f t="shared" ca="1" si="15"/>
        <v/>
      </c>
      <c r="W33" s="44" t="str">
        <f t="shared" ca="1" si="12"/>
        <v/>
      </c>
      <c r="X33" s="44" t="str">
        <f t="shared" ca="1" si="16"/>
        <v/>
      </c>
      <c r="Y33" s="44" t="str">
        <f t="shared" ca="1" si="16"/>
        <v/>
      </c>
      <c r="Z33" s="44" t="str">
        <f t="shared" ca="1" si="16"/>
        <v/>
      </c>
      <c r="AA33" s="44" t="str">
        <f t="shared" ca="1" si="16"/>
        <v/>
      </c>
      <c r="AB33" s="44" t="str">
        <f t="shared" ca="1" si="16"/>
        <v/>
      </c>
      <c r="AC33" s="44" t="str">
        <f t="shared" ca="1" si="16"/>
        <v/>
      </c>
      <c r="AD33" s="44" t="str">
        <f t="shared" ca="1" si="16"/>
        <v/>
      </c>
      <c r="AE33" s="44" t="str">
        <f t="shared" ca="1" si="16"/>
        <v/>
      </c>
      <c r="AF33" s="44" t="str">
        <f t="shared" ca="1" si="16"/>
        <v/>
      </c>
      <c r="AG33" s="44" t="str">
        <f t="shared" ca="1" si="16"/>
        <v/>
      </c>
      <c r="AH33" s="44" t="str">
        <f t="shared" ca="1" si="16"/>
        <v/>
      </c>
      <c r="AI33" s="44" t="str">
        <f t="shared" ca="1" si="16"/>
        <v/>
      </c>
      <c r="AJ33" s="44" t="str">
        <f t="shared" ca="1" si="16"/>
        <v/>
      </c>
      <c r="AK33" s="44" t="str">
        <f t="shared" ca="1" si="16"/>
        <v/>
      </c>
      <c r="AL33" s="44" t="str">
        <f t="shared" ca="1" si="16"/>
        <v/>
      </c>
      <c r="AM33" s="44" t="str">
        <f t="shared" ca="1" si="16"/>
        <v/>
      </c>
      <c r="AN33" s="44" t="str">
        <f t="shared" ca="1" si="16"/>
        <v/>
      </c>
      <c r="AO33" s="44" t="str">
        <f t="shared" ca="1" si="16"/>
        <v/>
      </c>
      <c r="AP33" s="44" t="str">
        <f t="shared" ca="1" si="16"/>
        <v/>
      </c>
      <c r="AQ33" s="44" t="str">
        <f t="shared" ca="1" si="16"/>
        <v/>
      </c>
      <c r="AR33" s="44" t="str">
        <f t="shared" ca="1" si="16"/>
        <v/>
      </c>
      <c r="AS33" s="44" t="str">
        <f t="shared" ca="1" si="16"/>
        <v/>
      </c>
      <c r="AT33" s="44" t="str">
        <f t="shared" ca="1" si="16"/>
        <v/>
      </c>
      <c r="AU33" s="44" t="str">
        <f t="shared" ca="1" si="16"/>
        <v/>
      </c>
      <c r="AV33" s="44" t="str">
        <f t="shared" ca="1" si="16"/>
        <v/>
      </c>
      <c r="AW33" s="44" t="str">
        <f t="shared" ca="1" si="16"/>
        <v/>
      </c>
      <c r="AX33" s="44" t="str">
        <f t="shared" ca="1" si="16"/>
        <v/>
      </c>
      <c r="AY33" s="44" t="str">
        <f t="shared" ca="1" si="16"/>
        <v/>
      </c>
      <c r="AZ33" s="44" t="str">
        <f t="shared" ca="1" si="16"/>
        <v/>
      </c>
      <c r="BA33" s="44" t="str">
        <f t="shared" ca="1" si="16"/>
        <v/>
      </c>
      <c r="BB33" s="44" t="str">
        <f t="shared" ca="1" si="16"/>
        <v/>
      </c>
      <c r="BC33" s="44" t="str">
        <f t="shared" ca="1" si="16"/>
        <v/>
      </c>
      <c r="BD33" s="44" t="str">
        <f t="shared" ca="1" si="16"/>
        <v/>
      </c>
      <c r="BE33" s="44" t="str">
        <f t="shared" ca="1" si="16"/>
        <v/>
      </c>
      <c r="BF33" s="44" t="str">
        <f t="shared" ca="1" si="16"/>
        <v/>
      </c>
      <c r="BG33" s="44" t="str">
        <f t="shared" ca="1" si="16"/>
        <v/>
      </c>
      <c r="BH33" s="44" t="str">
        <f t="shared" ca="1" si="16"/>
        <v/>
      </c>
      <c r="BI33" s="44" t="str">
        <f t="shared" ca="1" si="16"/>
        <v/>
      </c>
      <c r="BJ33" s="44" t="str">
        <f t="shared" ca="1" si="16"/>
        <v/>
      </c>
      <c r="BK33" s="44" t="str">
        <f t="shared" ca="1" si="16"/>
        <v/>
      </c>
      <c r="BL33" s="44" t="str">
        <f t="shared" ca="1" si="16"/>
        <v/>
      </c>
      <c r="BM33" s="44"/>
    </row>
    <row r="34" spans="1:65" s="1" customFormat="1" ht="18" customHeight="1" x14ac:dyDescent="0.25">
      <c r="A34" s="144"/>
      <c r="B34" s="92" t="s">
        <v>46</v>
      </c>
      <c r="C34" s="89" t="s">
        <v>8</v>
      </c>
      <c r="D34" s="78">
        <v>4</v>
      </c>
      <c r="E34" s="79"/>
      <c r="F34" s="80"/>
      <c r="G34" s="84"/>
      <c r="H34" s="86"/>
      <c r="I34" s="83" t="str">
        <f t="shared" ca="1" si="15"/>
        <v/>
      </c>
      <c r="J34" s="83" t="str">
        <f t="shared" ca="1" si="15"/>
        <v/>
      </c>
      <c r="K34" s="83" t="str">
        <f t="shared" ca="1" si="15"/>
        <v/>
      </c>
      <c r="L34" s="83" t="str">
        <f t="shared" ca="1" si="15"/>
        <v/>
      </c>
      <c r="M34" s="83" t="str">
        <f t="shared" ca="1" si="15"/>
        <v/>
      </c>
      <c r="N34" s="83" t="str">
        <f t="shared" ca="1" si="15"/>
        <v/>
      </c>
      <c r="O34" s="83" t="str">
        <f t="shared" ca="1" si="15"/>
        <v/>
      </c>
      <c r="P34" s="83" t="str">
        <f t="shared" ca="1" si="15"/>
        <v/>
      </c>
      <c r="Q34" s="83" t="str">
        <f t="shared" ca="1" si="15"/>
        <v/>
      </c>
      <c r="R34" s="83" t="str">
        <f t="shared" ca="1" si="15"/>
        <v/>
      </c>
      <c r="S34" s="83" t="str">
        <f t="shared" ca="1" si="15"/>
        <v/>
      </c>
      <c r="T34" s="83" t="str">
        <f t="shared" ca="1" si="15"/>
        <v/>
      </c>
      <c r="U34" s="83" t="str">
        <f t="shared" ca="1" si="15"/>
        <v/>
      </c>
      <c r="V34" s="83" t="str">
        <f t="shared" ca="1" si="15"/>
        <v/>
      </c>
      <c r="W34" s="83" t="str">
        <f t="shared" ca="1" si="12"/>
        <v/>
      </c>
      <c r="X34" s="83" t="str">
        <f t="shared" ca="1" si="16"/>
        <v/>
      </c>
      <c r="Y34" s="83" t="str">
        <f t="shared" ca="1" si="16"/>
        <v/>
      </c>
      <c r="Z34" s="83" t="str">
        <f t="shared" ca="1" si="16"/>
        <v/>
      </c>
      <c r="AA34" s="83" t="str">
        <f t="shared" ca="1" si="16"/>
        <v/>
      </c>
      <c r="AB34" s="83" t="str">
        <f t="shared" ca="1" si="16"/>
        <v/>
      </c>
      <c r="AC34" s="83" t="str">
        <f t="shared" ca="1" si="16"/>
        <v/>
      </c>
      <c r="AD34" s="83" t="str">
        <f t="shared" ca="1" si="16"/>
        <v/>
      </c>
      <c r="AE34" s="83" t="str">
        <f t="shared" ca="1" si="16"/>
        <v/>
      </c>
      <c r="AF34" s="83" t="str">
        <f t="shared" ca="1" si="16"/>
        <v/>
      </c>
      <c r="AG34" s="83" t="str">
        <f t="shared" ca="1" si="16"/>
        <v/>
      </c>
      <c r="AH34" s="83" t="str">
        <f t="shared" ca="1" si="16"/>
        <v/>
      </c>
      <c r="AI34" s="83" t="str">
        <f t="shared" ca="1" si="16"/>
        <v/>
      </c>
      <c r="AJ34" s="83" t="str">
        <f t="shared" ca="1" si="16"/>
        <v/>
      </c>
      <c r="AK34" s="83" t="str">
        <f t="shared" ca="1" si="16"/>
        <v/>
      </c>
      <c r="AL34" s="83" t="str">
        <f t="shared" ca="1" si="16"/>
        <v/>
      </c>
      <c r="AM34" s="83" t="str">
        <f t="shared" ca="1" si="16"/>
        <v/>
      </c>
      <c r="AN34" s="83" t="str">
        <f t="shared" ca="1" si="16"/>
        <v/>
      </c>
      <c r="AO34" s="83" t="str">
        <f t="shared" ca="1" si="16"/>
        <v/>
      </c>
      <c r="AP34" s="83" t="str">
        <f t="shared" ca="1" si="16"/>
        <v/>
      </c>
      <c r="AQ34" s="83" t="str">
        <f t="shared" ca="1" si="16"/>
        <v/>
      </c>
      <c r="AR34" s="83" t="str">
        <f t="shared" ca="1" si="16"/>
        <v/>
      </c>
      <c r="AS34" s="83" t="str">
        <f t="shared" ca="1" si="16"/>
        <v/>
      </c>
      <c r="AT34" s="83" t="str">
        <f t="shared" ca="1" si="16"/>
        <v/>
      </c>
      <c r="AU34" s="83" t="str">
        <f t="shared" ca="1" si="16"/>
        <v/>
      </c>
      <c r="AV34" s="83" t="str">
        <f t="shared" ca="1" si="16"/>
        <v/>
      </c>
      <c r="AW34" s="83" t="str">
        <f t="shared" ca="1" si="16"/>
        <v/>
      </c>
      <c r="AX34" s="83" t="str">
        <f t="shared" ca="1" si="16"/>
        <v/>
      </c>
      <c r="AY34" s="83" t="str">
        <f t="shared" ca="1" si="16"/>
        <v/>
      </c>
      <c r="AZ34" s="83" t="str">
        <f t="shared" ca="1" si="16"/>
        <v/>
      </c>
      <c r="BA34" s="83" t="str">
        <f t="shared" ca="1" si="16"/>
        <v/>
      </c>
      <c r="BB34" s="83" t="str">
        <f t="shared" ca="1" si="16"/>
        <v/>
      </c>
      <c r="BC34" s="83" t="str">
        <f t="shared" ca="1" si="16"/>
        <v/>
      </c>
      <c r="BD34" s="83" t="str">
        <f t="shared" ca="1" si="16"/>
        <v/>
      </c>
      <c r="BE34" s="83" t="str">
        <f t="shared" ca="1" si="16"/>
        <v/>
      </c>
      <c r="BF34" s="83" t="str">
        <f t="shared" ca="1" si="16"/>
        <v/>
      </c>
      <c r="BG34" s="83" t="str">
        <f t="shared" ca="1" si="16"/>
        <v/>
      </c>
      <c r="BH34" s="83" t="str">
        <f t="shared" ca="1" si="16"/>
        <v/>
      </c>
      <c r="BI34" s="83" t="str">
        <f t="shared" ca="1" si="16"/>
        <v/>
      </c>
      <c r="BJ34" s="83" t="str">
        <f t="shared" ca="1" si="16"/>
        <v/>
      </c>
      <c r="BK34" s="83" t="str">
        <f t="shared" ca="1" si="16"/>
        <v/>
      </c>
      <c r="BL34" s="83" t="str">
        <f t="shared" ca="1" si="16"/>
        <v/>
      </c>
      <c r="BM34" s="83"/>
    </row>
    <row r="35" spans="1:65" s="1" customFormat="1" ht="18" customHeight="1" x14ac:dyDescent="0.25">
      <c r="A35" s="144"/>
      <c r="B35" s="65" t="s">
        <v>47</v>
      </c>
      <c r="C35" s="55"/>
      <c r="D35" s="56"/>
      <c r="E35" s="57"/>
      <c r="F35" s="70"/>
      <c r="G35" s="71"/>
      <c r="H35" s="72"/>
      <c r="I35" s="68" t="str">
        <f t="shared" ca="1" si="15"/>
        <v/>
      </c>
      <c r="J35" s="68" t="str">
        <f t="shared" ca="1" si="15"/>
        <v/>
      </c>
      <c r="K35" s="68" t="str">
        <f t="shared" ca="1" si="15"/>
        <v/>
      </c>
      <c r="L35" s="68" t="str">
        <f t="shared" ca="1" si="15"/>
        <v/>
      </c>
      <c r="M35" s="68" t="str">
        <f t="shared" ca="1" si="15"/>
        <v/>
      </c>
      <c r="N35" s="68" t="str">
        <f t="shared" ca="1" si="15"/>
        <v/>
      </c>
      <c r="O35" s="68" t="str">
        <f t="shared" ca="1" si="15"/>
        <v/>
      </c>
      <c r="P35" s="68" t="str">
        <f t="shared" ca="1" si="15"/>
        <v/>
      </c>
      <c r="Q35" s="68" t="str">
        <f t="shared" ca="1" si="15"/>
        <v/>
      </c>
      <c r="R35" s="68" t="str">
        <f t="shared" ca="1" si="15"/>
        <v/>
      </c>
      <c r="S35" s="68" t="str">
        <f t="shared" ca="1" si="15"/>
        <v/>
      </c>
      <c r="T35" s="68" t="str">
        <f t="shared" ca="1" si="15"/>
        <v/>
      </c>
      <c r="U35" s="68" t="str">
        <f t="shared" ca="1" si="15"/>
        <v/>
      </c>
      <c r="V35" s="68" t="str">
        <f t="shared" ca="1" si="15"/>
        <v/>
      </c>
      <c r="W35" s="68" t="str">
        <f t="shared" ca="1" si="12"/>
        <v/>
      </c>
      <c r="X35" s="68" t="str">
        <f t="shared" ca="1" si="16"/>
        <v/>
      </c>
      <c r="Y35" s="68" t="str">
        <f t="shared" ca="1" si="16"/>
        <v/>
      </c>
      <c r="Z35" s="68" t="str">
        <f t="shared" ca="1" si="16"/>
        <v/>
      </c>
      <c r="AA35" s="68" t="str">
        <f t="shared" ca="1" si="16"/>
        <v/>
      </c>
      <c r="AB35" s="68" t="str">
        <f t="shared" ca="1" si="16"/>
        <v/>
      </c>
      <c r="AC35" s="68" t="str">
        <f t="shared" ca="1" si="16"/>
        <v/>
      </c>
      <c r="AD35" s="68" t="str">
        <f t="shared" ca="1" si="16"/>
        <v/>
      </c>
      <c r="AE35" s="68" t="str">
        <f t="shared" ca="1" si="16"/>
        <v/>
      </c>
      <c r="AF35" s="68" t="str">
        <f t="shared" ca="1" si="16"/>
        <v/>
      </c>
      <c r="AG35" s="68" t="str">
        <f t="shared" ca="1" si="16"/>
        <v/>
      </c>
      <c r="AH35" s="68" t="str">
        <f t="shared" ca="1" si="16"/>
        <v/>
      </c>
      <c r="AI35" s="68" t="str">
        <f t="shared" ca="1" si="16"/>
        <v/>
      </c>
      <c r="AJ35" s="68" t="str">
        <f t="shared" ca="1" si="16"/>
        <v/>
      </c>
      <c r="AK35" s="68" t="str">
        <f t="shared" ca="1" si="16"/>
        <v/>
      </c>
      <c r="AL35" s="68" t="str">
        <f t="shared" ca="1" si="16"/>
        <v/>
      </c>
      <c r="AM35" s="68" t="str">
        <f t="shared" ca="1" si="16"/>
        <v/>
      </c>
      <c r="AN35" s="68" t="str">
        <f t="shared" ca="1" si="16"/>
        <v/>
      </c>
      <c r="AO35" s="68" t="str">
        <f t="shared" ca="1" si="16"/>
        <v/>
      </c>
      <c r="AP35" s="68" t="str">
        <f t="shared" ca="1" si="16"/>
        <v/>
      </c>
      <c r="AQ35" s="68" t="str">
        <f t="shared" ca="1" si="16"/>
        <v/>
      </c>
      <c r="AR35" s="68" t="str">
        <f t="shared" ca="1" si="16"/>
        <v/>
      </c>
      <c r="AS35" s="68" t="str">
        <f t="shared" ca="1" si="16"/>
        <v/>
      </c>
      <c r="AT35" s="68" t="str">
        <f t="shared" ca="1" si="16"/>
        <v/>
      </c>
      <c r="AU35" s="68" t="str">
        <f t="shared" ca="1" si="16"/>
        <v/>
      </c>
      <c r="AV35" s="68" t="str">
        <f t="shared" ca="1" si="16"/>
        <v/>
      </c>
      <c r="AW35" s="68" t="str">
        <f t="shared" ca="1" si="16"/>
        <v/>
      </c>
      <c r="AX35" s="68" t="str">
        <f t="shared" ca="1" si="16"/>
        <v/>
      </c>
      <c r="AY35" s="68" t="str">
        <f t="shared" ca="1" si="16"/>
        <v/>
      </c>
      <c r="AZ35" s="68" t="str">
        <f t="shared" ca="1" si="16"/>
        <v/>
      </c>
      <c r="BA35" s="68" t="str">
        <f t="shared" ca="1" si="16"/>
        <v/>
      </c>
      <c r="BB35" s="68" t="str">
        <f t="shared" ca="1" si="16"/>
        <v/>
      </c>
      <c r="BC35" s="68" t="str">
        <f t="shared" ca="1" si="16"/>
        <v/>
      </c>
      <c r="BD35" s="68" t="str">
        <f t="shared" ca="1" si="16"/>
        <v/>
      </c>
      <c r="BE35" s="68" t="str">
        <f t="shared" ca="1" si="16"/>
        <v/>
      </c>
      <c r="BF35" s="68" t="str">
        <f t="shared" ca="1" si="16"/>
        <v/>
      </c>
      <c r="BG35" s="68" t="str">
        <f t="shared" ca="1" si="16"/>
        <v/>
      </c>
      <c r="BH35" s="68" t="str">
        <f t="shared" ca="1" si="16"/>
        <v/>
      </c>
      <c r="BI35" s="68" t="str">
        <f t="shared" ca="1" si="16"/>
        <v/>
      </c>
      <c r="BJ35" s="68" t="str">
        <f t="shared" ca="1" si="16"/>
        <v/>
      </c>
      <c r="BK35" s="68" t="str">
        <f t="shared" ca="1" si="16"/>
        <v/>
      </c>
      <c r="BL35" s="68" t="str">
        <f t="shared" ca="1" si="16"/>
        <v/>
      </c>
      <c r="BM35" s="68"/>
    </row>
    <row r="36" spans="1:65" s="1" customFormat="1" ht="18" customHeight="1" x14ac:dyDescent="0.25">
      <c r="A36" s="144"/>
      <c r="B36" s="64" t="s">
        <v>48</v>
      </c>
      <c r="C36" s="55" t="s">
        <v>5</v>
      </c>
      <c r="D36" s="56"/>
      <c r="E36" s="57"/>
      <c r="F36" s="70">
        <f>Plan_Sommer[[#This Row],[Ende]]-Plan_Sommer[[#This Row],[Dauer
in Tage]]</f>
        <v>-3</v>
      </c>
      <c r="G36" s="71">
        <v>3</v>
      </c>
      <c r="H36" s="72">
        <f>H38</f>
        <v>0</v>
      </c>
      <c r="I36" s="44" t="str">
        <f t="shared" ca="1" si="15"/>
        <v/>
      </c>
      <c r="J36" s="44" t="str">
        <f t="shared" ca="1" si="15"/>
        <v/>
      </c>
      <c r="K36" s="44" t="str">
        <f t="shared" ca="1" si="15"/>
        <v/>
      </c>
      <c r="L36" s="44" t="str">
        <f t="shared" ca="1" si="15"/>
        <v/>
      </c>
      <c r="M36" s="44" t="str">
        <f t="shared" ca="1" si="15"/>
        <v/>
      </c>
      <c r="N36" s="44" t="str">
        <f t="shared" ca="1" si="15"/>
        <v/>
      </c>
      <c r="O36" s="44" t="str">
        <f t="shared" ca="1" si="15"/>
        <v/>
      </c>
      <c r="P36" s="44" t="str">
        <f t="shared" ca="1" si="15"/>
        <v/>
      </c>
      <c r="Q36" s="44" t="str">
        <f t="shared" ca="1" si="15"/>
        <v/>
      </c>
      <c r="R36" s="44" t="str">
        <f t="shared" ca="1" si="15"/>
        <v/>
      </c>
      <c r="S36" s="44" t="str">
        <f t="shared" ca="1" si="15"/>
        <v/>
      </c>
      <c r="T36" s="44" t="str">
        <f t="shared" ca="1" si="15"/>
        <v/>
      </c>
      <c r="U36" s="44" t="str">
        <f t="shared" ca="1" si="15"/>
        <v/>
      </c>
      <c r="V36" s="44" t="str">
        <f t="shared" ca="1" si="15"/>
        <v/>
      </c>
      <c r="W36" s="44" t="str">
        <f t="shared" ca="1" si="12"/>
        <v/>
      </c>
      <c r="X36" s="44" t="str">
        <f t="shared" ca="1" si="16"/>
        <v/>
      </c>
      <c r="Y36" s="44" t="str">
        <f t="shared" ca="1" si="16"/>
        <v/>
      </c>
      <c r="Z36" s="44" t="str">
        <f t="shared" ca="1" si="16"/>
        <v/>
      </c>
      <c r="AA36" s="44" t="str">
        <f t="shared" ca="1" si="16"/>
        <v/>
      </c>
      <c r="AB36" s="44" t="str">
        <f t="shared" ca="1" si="16"/>
        <v/>
      </c>
      <c r="AC36" s="44" t="str">
        <f t="shared" ca="1" si="16"/>
        <v/>
      </c>
      <c r="AD36" s="44" t="str">
        <f t="shared" ca="1" si="16"/>
        <v/>
      </c>
      <c r="AE36" s="44" t="str">
        <f t="shared" ca="1" si="16"/>
        <v/>
      </c>
      <c r="AF36" s="44" t="str">
        <f t="shared" ca="1" si="16"/>
        <v/>
      </c>
      <c r="AG36" s="44" t="str">
        <f t="shared" ca="1" si="16"/>
        <v/>
      </c>
      <c r="AH36" s="44" t="str">
        <f t="shared" ca="1" si="16"/>
        <v/>
      </c>
      <c r="AI36" s="44" t="str">
        <f t="shared" ca="1" si="16"/>
        <v/>
      </c>
      <c r="AJ36" s="44" t="str">
        <f t="shared" ca="1" si="16"/>
        <v/>
      </c>
      <c r="AK36" s="44" t="str">
        <f t="shared" ca="1" si="16"/>
        <v/>
      </c>
      <c r="AL36" s="44" t="str">
        <f t="shared" ca="1" si="16"/>
        <v/>
      </c>
      <c r="AM36" s="44" t="str">
        <f t="shared" ca="1" si="16"/>
        <v/>
      </c>
      <c r="AN36" s="44" t="str">
        <f t="shared" ca="1" si="16"/>
        <v/>
      </c>
      <c r="AO36" s="44" t="str">
        <f t="shared" ca="1" si="16"/>
        <v/>
      </c>
      <c r="AP36" s="44" t="str">
        <f t="shared" ca="1" si="16"/>
        <v/>
      </c>
      <c r="AQ36" s="44" t="str">
        <f t="shared" ca="1" si="16"/>
        <v/>
      </c>
      <c r="AR36" s="44" t="str">
        <f t="shared" ca="1" si="16"/>
        <v/>
      </c>
      <c r="AS36" s="44" t="str">
        <f t="shared" ca="1" si="16"/>
        <v/>
      </c>
      <c r="AT36" s="44" t="str">
        <f t="shared" ca="1" si="16"/>
        <v/>
      </c>
      <c r="AU36" s="44" t="str">
        <f t="shared" ca="1" si="16"/>
        <v/>
      </c>
      <c r="AV36" s="44" t="str">
        <f t="shared" ca="1" si="16"/>
        <v/>
      </c>
      <c r="AW36" s="44" t="str">
        <f t="shared" ca="1" si="16"/>
        <v/>
      </c>
      <c r="AX36" s="44" t="str">
        <f t="shared" ca="1" si="16"/>
        <v/>
      </c>
      <c r="AY36" s="44" t="str">
        <f t="shared" ca="1" si="16"/>
        <v/>
      </c>
      <c r="AZ36" s="44" t="str">
        <f t="shared" ca="1" si="16"/>
        <v/>
      </c>
      <c r="BA36" s="44" t="str">
        <f t="shared" ca="1" si="16"/>
        <v/>
      </c>
      <c r="BB36" s="44" t="str">
        <f t="shared" ca="1" si="16"/>
        <v/>
      </c>
      <c r="BC36" s="44" t="str">
        <f t="shared" ca="1" si="16"/>
        <v/>
      </c>
      <c r="BD36" s="44" t="str">
        <f t="shared" ca="1" si="16"/>
        <v/>
      </c>
      <c r="BE36" s="44" t="str">
        <f t="shared" ca="1" si="16"/>
        <v/>
      </c>
      <c r="BF36" s="44" t="str">
        <f t="shared" ca="1" si="16"/>
        <v/>
      </c>
      <c r="BG36" s="44" t="str">
        <f t="shared" ca="1" si="16"/>
        <v/>
      </c>
      <c r="BH36" s="44" t="str">
        <f t="shared" ca="1" si="16"/>
        <v/>
      </c>
      <c r="BI36" s="44" t="str">
        <f t="shared" ca="1" si="16"/>
        <v/>
      </c>
      <c r="BJ36" s="44" t="str">
        <f t="shared" ca="1" si="16"/>
        <v/>
      </c>
      <c r="BK36" s="44" t="str">
        <f t="shared" ca="1" si="16"/>
        <v/>
      </c>
      <c r="BL36" s="44" t="str">
        <f t="shared" ca="1" si="16"/>
        <v/>
      </c>
      <c r="BM36" s="44"/>
    </row>
    <row r="37" spans="1:65" s="1" customFormat="1" ht="18" customHeight="1" x14ac:dyDescent="0.25">
      <c r="A37" s="144"/>
      <c r="B37" s="64" t="s">
        <v>36</v>
      </c>
      <c r="C37" s="55" t="s">
        <v>5</v>
      </c>
      <c r="D37" s="56"/>
      <c r="E37" s="57"/>
      <c r="F37" s="70">
        <f>Plan_Sommer[[#This Row],[Ende]]-Plan_Sommer[[#This Row],[Dauer
in Tage]]</f>
        <v>-3</v>
      </c>
      <c r="G37" s="71">
        <v>3</v>
      </c>
      <c r="H37" s="72">
        <f>H38</f>
        <v>0</v>
      </c>
      <c r="I37" s="44" t="str">
        <f t="shared" ca="1" si="15"/>
        <v/>
      </c>
      <c r="J37" s="44" t="str">
        <f t="shared" ca="1" si="15"/>
        <v/>
      </c>
      <c r="K37" s="44" t="str">
        <f t="shared" ca="1" si="15"/>
        <v/>
      </c>
      <c r="L37" s="44" t="str">
        <f t="shared" ca="1" si="15"/>
        <v/>
      </c>
      <c r="M37" s="44" t="str">
        <f t="shared" ca="1" si="15"/>
        <v/>
      </c>
      <c r="N37" s="44" t="str">
        <f t="shared" ca="1" si="15"/>
        <v/>
      </c>
      <c r="O37" s="44" t="str">
        <f t="shared" ca="1" si="15"/>
        <v/>
      </c>
      <c r="P37" s="44" t="str">
        <f t="shared" ca="1" si="15"/>
        <v/>
      </c>
      <c r="Q37" s="44" t="str">
        <f t="shared" ca="1" si="15"/>
        <v/>
      </c>
      <c r="R37" s="44" t="str">
        <f t="shared" ca="1" si="15"/>
        <v/>
      </c>
      <c r="S37" s="44" t="str">
        <f t="shared" ca="1" si="15"/>
        <v/>
      </c>
      <c r="T37" s="44" t="str">
        <f t="shared" ca="1" si="15"/>
        <v/>
      </c>
      <c r="U37" s="44" t="str">
        <f t="shared" ca="1" si="15"/>
        <v/>
      </c>
      <c r="V37" s="44" t="str">
        <f t="shared" ca="1" si="15"/>
        <v/>
      </c>
      <c r="W37" s="44" t="str">
        <f t="shared" ca="1" si="12"/>
        <v/>
      </c>
      <c r="X37" s="44" t="str">
        <f t="shared" ca="1" si="16"/>
        <v/>
      </c>
      <c r="Y37" s="44" t="str">
        <f t="shared" ca="1" si="16"/>
        <v/>
      </c>
      <c r="Z37" s="44" t="str">
        <f t="shared" ca="1" si="16"/>
        <v/>
      </c>
      <c r="AA37" s="44" t="str">
        <f t="shared" ca="1" si="16"/>
        <v/>
      </c>
      <c r="AB37" s="44" t="str">
        <f t="shared" ca="1" si="16"/>
        <v/>
      </c>
      <c r="AC37" s="44" t="str">
        <f t="shared" ca="1" si="16"/>
        <v/>
      </c>
      <c r="AD37" s="44" t="str">
        <f t="shared" ca="1" si="16"/>
        <v/>
      </c>
      <c r="AE37" s="44" t="str">
        <f t="shared" ca="1" si="16"/>
        <v/>
      </c>
      <c r="AF37" s="44" t="str">
        <f t="shared" ca="1" si="16"/>
        <v/>
      </c>
      <c r="AG37" s="44" t="str">
        <f t="shared" ca="1" si="16"/>
        <v/>
      </c>
      <c r="AH37" s="44" t="str">
        <f t="shared" ca="1" si="16"/>
        <v/>
      </c>
      <c r="AI37" s="44" t="str">
        <f t="shared" ca="1" si="16"/>
        <v/>
      </c>
      <c r="AJ37" s="44" t="str">
        <f t="shared" ca="1" si="16"/>
        <v/>
      </c>
      <c r="AK37" s="44" t="str">
        <f t="shared" ca="1" si="16"/>
        <v/>
      </c>
      <c r="AL37" s="44" t="str">
        <f t="shared" ref="X37:BL43" ca="1" si="17">IF(AND($C37="Ziel",$H37=AL$7),2,IF(AND($C37="Meilenstein",$H37=AL$7),1,""))</f>
        <v/>
      </c>
      <c r="AM37" s="44" t="str">
        <f t="shared" ca="1" si="17"/>
        <v/>
      </c>
      <c r="AN37" s="44" t="str">
        <f t="shared" ca="1" si="17"/>
        <v/>
      </c>
      <c r="AO37" s="44" t="str">
        <f t="shared" ca="1" si="17"/>
        <v/>
      </c>
      <c r="AP37" s="44" t="str">
        <f t="shared" ca="1" si="17"/>
        <v/>
      </c>
      <c r="AQ37" s="44" t="str">
        <f t="shared" ca="1" si="17"/>
        <v/>
      </c>
      <c r="AR37" s="44" t="str">
        <f t="shared" ca="1" si="17"/>
        <v/>
      </c>
      <c r="AS37" s="44" t="str">
        <f t="shared" ca="1" si="17"/>
        <v/>
      </c>
      <c r="AT37" s="44" t="str">
        <f t="shared" ca="1" si="17"/>
        <v/>
      </c>
      <c r="AU37" s="44" t="str">
        <f t="shared" ca="1" si="17"/>
        <v/>
      </c>
      <c r="AV37" s="44" t="str">
        <f t="shared" ca="1" si="17"/>
        <v/>
      </c>
      <c r="AW37" s="44" t="str">
        <f t="shared" ca="1" si="17"/>
        <v/>
      </c>
      <c r="AX37" s="44" t="str">
        <f t="shared" ca="1" si="17"/>
        <v/>
      </c>
      <c r="AY37" s="44" t="str">
        <f t="shared" ca="1" si="17"/>
        <v/>
      </c>
      <c r="AZ37" s="44" t="str">
        <f t="shared" ca="1" si="17"/>
        <v/>
      </c>
      <c r="BA37" s="44" t="str">
        <f t="shared" ca="1" si="17"/>
        <v/>
      </c>
      <c r="BB37" s="44" t="str">
        <f t="shared" ca="1" si="17"/>
        <v/>
      </c>
      <c r="BC37" s="44" t="str">
        <f t="shared" ca="1" si="17"/>
        <v/>
      </c>
      <c r="BD37" s="44" t="str">
        <f t="shared" ca="1" si="17"/>
        <v/>
      </c>
      <c r="BE37" s="44" t="str">
        <f t="shared" ca="1" si="17"/>
        <v/>
      </c>
      <c r="BF37" s="44" t="str">
        <f t="shared" ca="1" si="17"/>
        <v/>
      </c>
      <c r="BG37" s="44" t="str">
        <f t="shared" ca="1" si="17"/>
        <v/>
      </c>
      <c r="BH37" s="44" t="str">
        <f t="shared" ca="1" si="17"/>
        <v/>
      </c>
      <c r="BI37" s="44" t="str">
        <f t="shared" ca="1" si="17"/>
        <v/>
      </c>
      <c r="BJ37" s="44" t="str">
        <f t="shared" ca="1" si="17"/>
        <v/>
      </c>
      <c r="BK37" s="44" t="str">
        <f t="shared" ca="1" si="17"/>
        <v/>
      </c>
      <c r="BL37" s="44" t="str">
        <f t="shared" ca="1" si="17"/>
        <v/>
      </c>
      <c r="BM37" s="44"/>
    </row>
    <row r="38" spans="1:65" s="1" customFormat="1" ht="18" customHeight="1" x14ac:dyDescent="0.25">
      <c r="A38" s="144"/>
      <c r="B38" s="91" t="s">
        <v>46</v>
      </c>
      <c r="C38" s="90" t="s">
        <v>8</v>
      </c>
      <c r="D38" s="56">
        <v>1</v>
      </c>
      <c r="E38" s="57"/>
      <c r="F38" s="70"/>
      <c r="G38" s="74"/>
      <c r="H38" s="75"/>
      <c r="I38" s="44" t="str">
        <f t="shared" ca="1" si="15"/>
        <v/>
      </c>
      <c r="J38" s="44" t="str">
        <f t="shared" ca="1" si="15"/>
        <v/>
      </c>
      <c r="K38" s="44" t="str">
        <f t="shared" ca="1" si="15"/>
        <v/>
      </c>
      <c r="L38" s="44" t="str">
        <f t="shared" ca="1" si="15"/>
        <v/>
      </c>
      <c r="M38" s="44" t="str">
        <f t="shared" ca="1" si="15"/>
        <v/>
      </c>
      <c r="N38" s="44" t="str">
        <f t="shared" ca="1" si="15"/>
        <v/>
      </c>
      <c r="O38" s="44" t="str">
        <f t="shared" ca="1" si="15"/>
        <v/>
      </c>
      <c r="P38" s="44" t="str">
        <f t="shared" ca="1" si="15"/>
        <v/>
      </c>
      <c r="Q38" s="44" t="str">
        <f t="shared" ca="1" si="15"/>
        <v/>
      </c>
      <c r="R38" s="44" t="str">
        <f t="shared" ca="1" si="15"/>
        <v/>
      </c>
      <c r="S38" s="44" t="str">
        <f t="shared" ca="1" si="15"/>
        <v/>
      </c>
      <c r="T38" s="44" t="str">
        <f t="shared" ca="1" si="15"/>
        <v/>
      </c>
      <c r="U38" s="44" t="str">
        <f t="shared" ca="1" si="15"/>
        <v/>
      </c>
      <c r="V38" s="44" t="str">
        <f t="shared" ca="1" si="15"/>
        <v/>
      </c>
      <c r="W38" s="44" t="str">
        <f t="shared" ca="1" si="12"/>
        <v/>
      </c>
      <c r="X38" s="44" t="str">
        <f t="shared" ca="1" si="17"/>
        <v/>
      </c>
      <c r="Y38" s="44" t="str">
        <f t="shared" ca="1" si="17"/>
        <v/>
      </c>
      <c r="Z38" s="44" t="str">
        <f t="shared" ca="1" si="17"/>
        <v/>
      </c>
      <c r="AA38" s="44" t="str">
        <f t="shared" ca="1" si="17"/>
        <v/>
      </c>
      <c r="AB38" s="44" t="str">
        <f t="shared" ca="1" si="17"/>
        <v/>
      </c>
      <c r="AC38" s="44" t="str">
        <f t="shared" ca="1" si="17"/>
        <v/>
      </c>
      <c r="AD38" s="44" t="str">
        <f t="shared" ca="1" si="17"/>
        <v/>
      </c>
      <c r="AE38" s="44" t="str">
        <f t="shared" ca="1" si="17"/>
        <v/>
      </c>
      <c r="AF38" s="44" t="str">
        <f t="shared" ca="1" si="17"/>
        <v/>
      </c>
      <c r="AG38" s="44" t="str">
        <f t="shared" ca="1" si="17"/>
        <v/>
      </c>
      <c r="AH38" s="44" t="str">
        <f t="shared" ca="1" si="17"/>
        <v/>
      </c>
      <c r="AI38" s="44" t="str">
        <f t="shared" ca="1" si="17"/>
        <v/>
      </c>
      <c r="AJ38" s="44" t="str">
        <f t="shared" ca="1" si="17"/>
        <v/>
      </c>
      <c r="AK38" s="44" t="str">
        <f t="shared" ca="1" si="17"/>
        <v/>
      </c>
      <c r="AL38" s="44" t="str">
        <f t="shared" ca="1" si="17"/>
        <v/>
      </c>
      <c r="AM38" s="44" t="str">
        <f t="shared" ca="1" si="17"/>
        <v/>
      </c>
      <c r="AN38" s="44" t="str">
        <f t="shared" ca="1" si="17"/>
        <v/>
      </c>
      <c r="AO38" s="44" t="str">
        <f t="shared" ca="1" si="17"/>
        <v/>
      </c>
      <c r="AP38" s="44" t="str">
        <f t="shared" ca="1" si="17"/>
        <v/>
      </c>
      <c r="AQ38" s="44" t="str">
        <f t="shared" ca="1" si="17"/>
        <v/>
      </c>
      <c r="AR38" s="44" t="str">
        <f t="shared" ca="1" si="17"/>
        <v/>
      </c>
      <c r="AS38" s="44" t="str">
        <f t="shared" ca="1" si="17"/>
        <v/>
      </c>
      <c r="AT38" s="44" t="str">
        <f t="shared" ca="1" si="17"/>
        <v/>
      </c>
      <c r="AU38" s="44" t="str">
        <f t="shared" ca="1" si="17"/>
        <v/>
      </c>
      <c r="AV38" s="44" t="str">
        <f t="shared" ca="1" si="17"/>
        <v/>
      </c>
      <c r="AW38" s="44" t="str">
        <f t="shared" ca="1" si="17"/>
        <v/>
      </c>
      <c r="AX38" s="44" t="str">
        <f t="shared" ca="1" si="17"/>
        <v/>
      </c>
      <c r="AY38" s="44" t="str">
        <f t="shared" ca="1" si="17"/>
        <v/>
      </c>
      <c r="AZ38" s="44" t="str">
        <f t="shared" ca="1" si="17"/>
        <v/>
      </c>
      <c r="BA38" s="44" t="str">
        <f t="shared" ca="1" si="17"/>
        <v/>
      </c>
      <c r="BB38" s="44" t="str">
        <f t="shared" ca="1" si="17"/>
        <v/>
      </c>
      <c r="BC38" s="44" t="str">
        <f t="shared" ca="1" si="17"/>
        <v/>
      </c>
      <c r="BD38" s="44" t="str">
        <f t="shared" ca="1" si="17"/>
        <v/>
      </c>
      <c r="BE38" s="44" t="str">
        <f t="shared" ca="1" si="17"/>
        <v/>
      </c>
      <c r="BF38" s="44" t="str">
        <f t="shared" ca="1" si="17"/>
        <v/>
      </c>
      <c r="BG38" s="44" t="str">
        <f t="shared" ca="1" si="17"/>
        <v/>
      </c>
      <c r="BH38" s="44" t="str">
        <f t="shared" ca="1" si="17"/>
        <v/>
      </c>
      <c r="BI38" s="44" t="str">
        <f t="shared" ca="1" si="17"/>
        <v/>
      </c>
      <c r="BJ38" s="44" t="str">
        <f t="shared" ca="1" si="17"/>
        <v/>
      </c>
      <c r="BK38" s="44" t="str">
        <f t="shared" ca="1" si="17"/>
        <v/>
      </c>
      <c r="BL38" s="44" t="str">
        <f t="shared" ca="1" si="17"/>
        <v/>
      </c>
      <c r="BM38" s="44"/>
    </row>
    <row r="39" spans="1:65" s="1" customFormat="1" ht="18" customHeight="1" x14ac:dyDescent="0.25">
      <c r="A39" s="144"/>
      <c r="B39" s="91" t="s">
        <v>46</v>
      </c>
      <c r="C39" s="90" t="s">
        <v>8</v>
      </c>
      <c r="D39" s="56">
        <v>2</v>
      </c>
      <c r="E39" s="57"/>
      <c r="F39" s="70"/>
      <c r="G39" s="74"/>
      <c r="H39" s="75"/>
      <c r="I39" s="44" t="str">
        <f t="shared" ca="1" si="15"/>
        <v/>
      </c>
      <c r="J39" s="44" t="str">
        <f t="shared" ca="1" si="15"/>
        <v/>
      </c>
      <c r="K39" s="44" t="str">
        <f t="shared" ca="1" si="15"/>
        <v/>
      </c>
      <c r="L39" s="44" t="str">
        <f t="shared" ca="1" si="15"/>
        <v/>
      </c>
      <c r="M39" s="44" t="str">
        <f t="shared" ca="1" si="15"/>
        <v/>
      </c>
      <c r="N39" s="44" t="str">
        <f t="shared" ca="1" si="15"/>
        <v/>
      </c>
      <c r="O39" s="44" t="str">
        <f t="shared" ca="1" si="15"/>
        <v/>
      </c>
      <c r="P39" s="44" t="str">
        <f t="shared" ca="1" si="15"/>
        <v/>
      </c>
      <c r="Q39" s="44" t="str">
        <f t="shared" ca="1" si="15"/>
        <v/>
      </c>
      <c r="R39" s="44" t="str">
        <f t="shared" ca="1" si="15"/>
        <v/>
      </c>
      <c r="S39" s="44" t="str">
        <f t="shared" ca="1" si="15"/>
        <v/>
      </c>
      <c r="T39" s="44" t="str">
        <f t="shared" ca="1" si="15"/>
        <v/>
      </c>
      <c r="U39" s="44" t="str">
        <f t="shared" ca="1" si="15"/>
        <v/>
      </c>
      <c r="V39" s="44" t="str">
        <f t="shared" ca="1" si="15"/>
        <v/>
      </c>
      <c r="W39" s="44" t="str">
        <f t="shared" ca="1" si="12"/>
        <v/>
      </c>
      <c r="X39" s="44" t="str">
        <f t="shared" ca="1" si="17"/>
        <v/>
      </c>
      <c r="Y39" s="44" t="str">
        <f t="shared" ca="1" si="17"/>
        <v/>
      </c>
      <c r="Z39" s="44" t="str">
        <f t="shared" ca="1" si="17"/>
        <v/>
      </c>
      <c r="AA39" s="44" t="str">
        <f t="shared" ca="1" si="17"/>
        <v/>
      </c>
      <c r="AB39" s="44" t="str">
        <f t="shared" ca="1" si="17"/>
        <v/>
      </c>
      <c r="AC39" s="44" t="str">
        <f t="shared" ca="1" si="17"/>
        <v/>
      </c>
      <c r="AD39" s="44" t="str">
        <f t="shared" ca="1" si="17"/>
        <v/>
      </c>
      <c r="AE39" s="44" t="str">
        <f t="shared" ca="1" si="17"/>
        <v/>
      </c>
      <c r="AF39" s="44" t="str">
        <f t="shared" ca="1" si="17"/>
        <v/>
      </c>
      <c r="AG39" s="44" t="str">
        <f t="shared" ca="1" si="17"/>
        <v/>
      </c>
      <c r="AH39" s="44" t="str">
        <f t="shared" ca="1" si="17"/>
        <v/>
      </c>
      <c r="AI39" s="44" t="str">
        <f t="shared" ca="1" si="17"/>
        <v/>
      </c>
      <c r="AJ39" s="44" t="str">
        <f t="shared" ca="1" si="17"/>
        <v/>
      </c>
      <c r="AK39" s="44" t="str">
        <f t="shared" ca="1" si="17"/>
        <v/>
      </c>
      <c r="AL39" s="44" t="str">
        <f t="shared" ca="1" si="17"/>
        <v/>
      </c>
      <c r="AM39" s="44" t="str">
        <f t="shared" ca="1" si="17"/>
        <v/>
      </c>
      <c r="AN39" s="44" t="str">
        <f t="shared" ca="1" si="17"/>
        <v/>
      </c>
      <c r="AO39" s="44" t="str">
        <f t="shared" ca="1" si="17"/>
        <v/>
      </c>
      <c r="AP39" s="44" t="str">
        <f t="shared" ca="1" si="17"/>
        <v/>
      </c>
      <c r="AQ39" s="44" t="str">
        <f t="shared" ca="1" si="17"/>
        <v/>
      </c>
      <c r="AR39" s="44" t="str">
        <f t="shared" ca="1" si="17"/>
        <v/>
      </c>
      <c r="AS39" s="44" t="str">
        <f t="shared" ca="1" si="17"/>
        <v/>
      </c>
      <c r="AT39" s="44" t="str">
        <f t="shared" ca="1" si="17"/>
        <v/>
      </c>
      <c r="AU39" s="44" t="str">
        <f t="shared" ca="1" si="17"/>
        <v/>
      </c>
      <c r="AV39" s="44" t="str">
        <f t="shared" ca="1" si="17"/>
        <v/>
      </c>
      <c r="AW39" s="44" t="str">
        <f t="shared" ca="1" si="17"/>
        <v/>
      </c>
      <c r="AX39" s="44" t="str">
        <f t="shared" ca="1" si="17"/>
        <v/>
      </c>
      <c r="AY39" s="44" t="str">
        <f t="shared" ca="1" si="17"/>
        <v/>
      </c>
      <c r="AZ39" s="44" t="str">
        <f t="shared" ca="1" si="17"/>
        <v/>
      </c>
      <c r="BA39" s="44" t="str">
        <f t="shared" ca="1" si="17"/>
        <v/>
      </c>
      <c r="BB39" s="44" t="str">
        <f t="shared" ca="1" si="17"/>
        <v/>
      </c>
      <c r="BC39" s="44" t="str">
        <f t="shared" ca="1" si="17"/>
        <v/>
      </c>
      <c r="BD39" s="44" t="str">
        <f t="shared" ca="1" si="17"/>
        <v/>
      </c>
      <c r="BE39" s="44" t="str">
        <f t="shared" ca="1" si="17"/>
        <v/>
      </c>
      <c r="BF39" s="44" t="str">
        <f t="shared" ca="1" si="17"/>
        <v/>
      </c>
      <c r="BG39" s="44" t="str">
        <f t="shared" ca="1" si="17"/>
        <v/>
      </c>
      <c r="BH39" s="44" t="str">
        <f t="shared" ca="1" si="17"/>
        <v/>
      </c>
      <c r="BI39" s="44" t="str">
        <f t="shared" ca="1" si="17"/>
        <v/>
      </c>
      <c r="BJ39" s="44" t="str">
        <f t="shared" ca="1" si="17"/>
        <v/>
      </c>
      <c r="BK39" s="44" t="str">
        <f t="shared" ca="1" si="17"/>
        <v/>
      </c>
      <c r="BL39" s="44" t="str">
        <f t="shared" ca="1" si="17"/>
        <v/>
      </c>
      <c r="BM39" s="44"/>
    </row>
    <row r="40" spans="1:65" s="1" customFormat="1" ht="18" customHeight="1" x14ac:dyDescent="0.25">
      <c r="A40" s="144"/>
      <c r="B40" s="91" t="s">
        <v>46</v>
      </c>
      <c r="C40" s="90" t="s">
        <v>8</v>
      </c>
      <c r="D40" s="56">
        <v>3</v>
      </c>
      <c r="E40" s="57"/>
      <c r="F40" s="70"/>
      <c r="G40" s="74"/>
      <c r="H40" s="75"/>
      <c r="I40" s="44" t="str">
        <f t="shared" ca="1" si="15"/>
        <v/>
      </c>
      <c r="J40" s="44" t="str">
        <f t="shared" ca="1" si="15"/>
        <v/>
      </c>
      <c r="K40" s="44" t="str">
        <f t="shared" ca="1" si="15"/>
        <v/>
      </c>
      <c r="L40" s="44" t="str">
        <f t="shared" ca="1" si="15"/>
        <v/>
      </c>
      <c r="M40" s="44" t="str">
        <f t="shared" ca="1" si="15"/>
        <v/>
      </c>
      <c r="N40" s="44" t="str">
        <f t="shared" ca="1" si="15"/>
        <v/>
      </c>
      <c r="O40" s="44" t="str">
        <f t="shared" ca="1" si="15"/>
        <v/>
      </c>
      <c r="P40" s="44" t="str">
        <f t="shared" ca="1" si="15"/>
        <v/>
      </c>
      <c r="Q40" s="44" t="str">
        <f t="shared" ca="1" si="15"/>
        <v/>
      </c>
      <c r="R40" s="44" t="str">
        <f t="shared" ca="1" si="15"/>
        <v/>
      </c>
      <c r="S40" s="44" t="str">
        <f t="shared" ca="1" si="15"/>
        <v/>
      </c>
      <c r="T40" s="44" t="str">
        <f t="shared" ca="1" si="15"/>
        <v/>
      </c>
      <c r="U40" s="44" t="str">
        <f t="shared" ca="1" si="15"/>
        <v/>
      </c>
      <c r="V40" s="44" t="str">
        <f t="shared" ca="1" si="15"/>
        <v/>
      </c>
      <c r="W40" s="44" t="str">
        <f t="shared" ca="1" si="12"/>
        <v/>
      </c>
      <c r="X40" s="44" t="str">
        <f t="shared" ca="1" si="17"/>
        <v/>
      </c>
      <c r="Y40" s="44" t="str">
        <f t="shared" ca="1" si="17"/>
        <v/>
      </c>
      <c r="Z40" s="44" t="str">
        <f t="shared" ca="1" si="17"/>
        <v/>
      </c>
      <c r="AA40" s="44" t="str">
        <f t="shared" ca="1" si="17"/>
        <v/>
      </c>
      <c r="AB40" s="44" t="str">
        <f t="shared" ca="1" si="17"/>
        <v/>
      </c>
      <c r="AC40" s="44" t="str">
        <f t="shared" ca="1" si="17"/>
        <v/>
      </c>
      <c r="AD40" s="44" t="str">
        <f t="shared" ca="1" si="17"/>
        <v/>
      </c>
      <c r="AE40" s="44" t="str">
        <f t="shared" ca="1" si="17"/>
        <v/>
      </c>
      <c r="AF40" s="44" t="str">
        <f t="shared" ca="1" si="17"/>
        <v/>
      </c>
      <c r="AG40" s="44" t="str">
        <f t="shared" ca="1" si="17"/>
        <v/>
      </c>
      <c r="AH40" s="44" t="str">
        <f t="shared" ca="1" si="17"/>
        <v/>
      </c>
      <c r="AI40" s="44" t="str">
        <f t="shared" ca="1" si="17"/>
        <v/>
      </c>
      <c r="AJ40" s="44" t="str">
        <f t="shared" ca="1" si="17"/>
        <v/>
      </c>
      <c r="AK40" s="44" t="str">
        <f t="shared" ca="1" si="17"/>
        <v/>
      </c>
      <c r="AL40" s="44" t="str">
        <f t="shared" ca="1" si="17"/>
        <v/>
      </c>
      <c r="AM40" s="44" t="str">
        <f t="shared" ca="1" si="17"/>
        <v/>
      </c>
      <c r="AN40" s="44" t="str">
        <f t="shared" ca="1" si="17"/>
        <v/>
      </c>
      <c r="AO40" s="44" t="str">
        <f t="shared" ca="1" si="17"/>
        <v/>
      </c>
      <c r="AP40" s="44" t="str">
        <f t="shared" ca="1" si="17"/>
        <v/>
      </c>
      <c r="AQ40" s="44" t="str">
        <f t="shared" ca="1" si="17"/>
        <v/>
      </c>
      <c r="AR40" s="44" t="str">
        <f t="shared" ca="1" si="17"/>
        <v/>
      </c>
      <c r="AS40" s="44" t="str">
        <f t="shared" ca="1" si="17"/>
        <v/>
      </c>
      <c r="AT40" s="44" t="str">
        <f t="shared" ca="1" si="17"/>
        <v/>
      </c>
      <c r="AU40" s="44" t="str">
        <f t="shared" ca="1" si="17"/>
        <v/>
      </c>
      <c r="AV40" s="44" t="str">
        <f t="shared" ca="1" si="17"/>
        <v/>
      </c>
      <c r="AW40" s="44" t="str">
        <f t="shared" ca="1" si="17"/>
        <v/>
      </c>
      <c r="AX40" s="44" t="str">
        <f t="shared" ca="1" si="17"/>
        <v/>
      </c>
      <c r="AY40" s="44" t="str">
        <f t="shared" ca="1" si="17"/>
        <v/>
      </c>
      <c r="AZ40" s="44" t="str">
        <f t="shared" ca="1" si="17"/>
        <v/>
      </c>
      <c r="BA40" s="44" t="str">
        <f t="shared" ca="1" si="17"/>
        <v/>
      </c>
      <c r="BB40" s="44" t="str">
        <f t="shared" ca="1" si="17"/>
        <v/>
      </c>
      <c r="BC40" s="44" t="str">
        <f t="shared" ca="1" si="17"/>
        <v/>
      </c>
      <c r="BD40" s="44" t="str">
        <f t="shared" ca="1" si="17"/>
        <v/>
      </c>
      <c r="BE40" s="44" t="str">
        <f t="shared" ca="1" si="17"/>
        <v/>
      </c>
      <c r="BF40" s="44" t="str">
        <f t="shared" ca="1" si="17"/>
        <v/>
      </c>
      <c r="BG40" s="44" t="str">
        <f t="shared" ca="1" si="17"/>
        <v/>
      </c>
      <c r="BH40" s="44" t="str">
        <f t="shared" ca="1" si="17"/>
        <v/>
      </c>
      <c r="BI40" s="44" t="str">
        <f t="shared" ca="1" si="17"/>
        <v/>
      </c>
      <c r="BJ40" s="44" t="str">
        <f t="shared" ca="1" si="17"/>
        <v/>
      </c>
      <c r="BK40" s="44" t="str">
        <f t="shared" ca="1" si="17"/>
        <v/>
      </c>
      <c r="BL40" s="44" t="str">
        <f t="shared" ca="1" si="17"/>
        <v/>
      </c>
      <c r="BM40" s="44"/>
    </row>
    <row r="41" spans="1:65" s="1" customFormat="1" ht="18" customHeight="1" x14ac:dyDescent="0.25">
      <c r="A41" s="144"/>
      <c r="B41" s="92" t="s">
        <v>46</v>
      </c>
      <c r="C41" s="89" t="s">
        <v>8</v>
      </c>
      <c r="D41" s="78">
        <v>4</v>
      </c>
      <c r="E41" s="79"/>
      <c r="F41" s="80"/>
      <c r="G41" s="84"/>
      <c r="H41" s="86"/>
      <c r="I41" s="83" t="str">
        <f t="shared" ca="1" si="15"/>
        <v/>
      </c>
      <c r="J41" s="83" t="str">
        <f t="shared" ca="1" si="15"/>
        <v/>
      </c>
      <c r="K41" s="83" t="str">
        <f t="shared" ca="1" si="15"/>
        <v/>
      </c>
      <c r="L41" s="83" t="str">
        <f t="shared" ca="1" si="15"/>
        <v/>
      </c>
      <c r="M41" s="83" t="str">
        <f t="shared" ca="1" si="15"/>
        <v/>
      </c>
      <c r="N41" s="83" t="str">
        <f t="shared" ca="1" si="15"/>
        <v/>
      </c>
      <c r="O41" s="83" t="str">
        <f t="shared" ca="1" si="15"/>
        <v/>
      </c>
      <c r="P41" s="83" t="str">
        <f t="shared" ca="1" si="15"/>
        <v/>
      </c>
      <c r="Q41" s="83" t="str">
        <f t="shared" ca="1" si="15"/>
        <v/>
      </c>
      <c r="R41" s="83" t="str">
        <f t="shared" ca="1" si="15"/>
        <v/>
      </c>
      <c r="S41" s="83" t="str">
        <f t="shared" ca="1" si="15"/>
        <v/>
      </c>
      <c r="T41" s="83" t="str">
        <f t="shared" ca="1" si="15"/>
        <v/>
      </c>
      <c r="U41" s="83" t="str">
        <f t="shared" ca="1" si="15"/>
        <v/>
      </c>
      <c r="V41" s="83" t="str">
        <f t="shared" ca="1" si="15"/>
        <v/>
      </c>
      <c r="W41" s="83" t="str">
        <f t="shared" ca="1" si="12"/>
        <v/>
      </c>
      <c r="X41" s="83" t="str">
        <f t="shared" ca="1" si="17"/>
        <v/>
      </c>
      <c r="Y41" s="83" t="str">
        <f t="shared" ca="1" si="17"/>
        <v/>
      </c>
      <c r="Z41" s="83" t="str">
        <f t="shared" ca="1" si="17"/>
        <v/>
      </c>
      <c r="AA41" s="83" t="str">
        <f t="shared" ca="1" si="17"/>
        <v/>
      </c>
      <c r="AB41" s="83" t="str">
        <f t="shared" ca="1" si="17"/>
        <v/>
      </c>
      <c r="AC41" s="83" t="str">
        <f t="shared" ca="1" si="17"/>
        <v/>
      </c>
      <c r="AD41" s="83" t="str">
        <f t="shared" ca="1" si="17"/>
        <v/>
      </c>
      <c r="AE41" s="83" t="str">
        <f t="shared" ca="1" si="17"/>
        <v/>
      </c>
      <c r="AF41" s="83" t="str">
        <f t="shared" ca="1" si="17"/>
        <v/>
      </c>
      <c r="AG41" s="83" t="str">
        <f t="shared" ca="1" si="17"/>
        <v/>
      </c>
      <c r="AH41" s="83" t="str">
        <f t="shared" ca="1" si="17"/>
        <v/>
      </c>
      <c r="AI41" s="83" t="str">
        <f t="shared" ca="1" si="17"/>
        <v/>
      </c>
      <c r="AJ41" s="83" t="str">
        <f t="shared" ca="1" si="17"/>
        <v/>
      </c>
      <c r="AK41" s="83" t="str">
        <f t="shared" ca="1" si="17"/>
        <v/>
      </c>
      <c r="AL41" s="83" t="str">
        <f t="shared" ca="1" si="17"/>
        <v/>
      </c>
      <c r="AM41" s="83" t="str">
        <f t="shared" ca="1" si="17"/>
        <v/>
      </c>
      <c r="AN41" s="83" t="str">
        <f t="shared" ca="1" si="17"/>
        <v/>
      </c>
      <c r="AO41" s="83" t="str">
        <f t="shared" ca="1" si="17"/>
        <v/>
      </c>
      <c r="AP41" s="83" t="str">
        <f t="shared" ca="1" si="17"/>
        <v/>
      </c>
      <c r="AQ41" s="83" t="str">
        <f t="shared" ca="1" si="17"/>
        <v/>
      </c>
      <c r="AR41" s="83" t="str">
        <f t="shared" ca="1" si="17"/>
        <v/>
      </c>
      <c r="AS41" s="83" t="str">
        <f t="shared" ca="1" si="17"/>
        <v/>
      </c>
      <c r="AT41" s="83" t="str">
        <f t="shared" ca="1" si="17"/>
        <v/>
      </c>
      <c r="AU41" s="83" t="str">
        <f t="shared" ca="1" si="17"/>
        <v/>
      </c>
      <c r="AV41" s="83" t="str">
        <f t="shared" ca="1" si="17"/>
        <v/>
      </c>
      <c r="AW41" s="83" t="str">
        <f t="shared" ca="1" si="17"/>
        <v/>
      </c>
      <c r="AX41" s="83" t="str">
        <f t="shared" ca="1" si="17"/>
        <v/>
      </c>
      <c r="AY41" s="83" t="str">
        <f t="shared" ca="1" si="17"/>
        <v/>
      </c>
      <c r="AZ41" s="83" t="str">
        <f t="shared" ca="1" si="17"/>
        <v/>
      </c>
      <c r="BA41" s="83" t="str">
        <f t="shared" ca="1" si="17"/>
        <v/>
      </c>
      <c r="BB41" s="83" t="str">
        <f t="shared" ca="1" si="17"/>
        <v/>
      </c>
      <c r="BC41" s="83" t="str">
        <f t="shared" ca="1" si="17"/>
        <v/>
      </c>
      <c r="BD41" s="83" t="str">
        <f t="shared" ca="1" si="17"/>
        <v/>
      </c>
      <c r="BE41" s="83" t="str">
        <f t="shared" ca="1" si="17"/>
        <v/>
      </c>
      <c r="BF41" s="83" t="str">
        <f t="shared" ca="1" si="17"/>
        <v/>
      </c>
      <c r="BG41" s="83" t="str">
        <f t="shared" ca="1" si="17"/>
        <v/>
      </c>
      <c r="BH41" s="83" t="str">
        <f t="shared" ca="1" si="17"/>
        <v/>
      </c>
      <c r="BI41" s="83" t="str">
        <f t="shared" ca="1" si="17"/>
        <v/>
      </c>
      <c r="BJ41" s="83" t="str">
        <f t="shared" ca="1" si="17"/>
        <v/>
      </c>
      <c r="BK41" s="83" t="str">
        <f t="shared" ca="1" si="17"/>
        <v/>
      </c>
      <c r="BL41" s="83" t="str">
        <f t="shared" ca="1" si="17"/>
        <v/>
      </c>
      <c r="BM41" s="83"/>
    </row>
    <row r="42" spans="1:65" s="1" customFormat="1" ht="18" customHeight="1" x14ac:dyDescent="0.25">
      <c r="A42" s="144"/>
      <c r="B42" s="65" t="s">
        <v>49</v>
      </c>
      <c r="C42" s="55"/>
      <c r="D42" s="56"/>
      <c r="E42" s="57"/>
      <c r="F42" s="70"/>
      <c r="G42" s="71"/>
      <c r="H42" s="72"/>
      <c r="I42" s="68" t="str">
        <f t="shared" ca="1" si="15"/>
        <v/>
      </c>
      <c r="J42" s="68" t="str">
        <f t="shared" ca="1" si="15"/>
        <v/>
      </c>
      <c r="K42" s="68" t="str">
        <f t="shared" ca="1" si="15"/>
        <v/>
      </c>
      <c r="L42" s="68" t="str">
        <f t="shared" ca="1" si="15"/>
        <v/>
      </c>
      <c r="M42" s="68" t="str">
        <f t="shared" ca="1" si="15"/>
        <v/>
      </c>
      <c r="N42" s="68" t="str">
        <f t="shared" ca="1" si="15"/>
        <v/>
      </c>
      <c r="O42" s="68" t="str">
        <f t="shared" ca="1" si="15"/>
        <v/>
      </c>
      <c r="P42" s="68" t="str">
        <f t="shared" ca="1" si="15"/>
        <v/>
      </c>
      <c r="Q42" s="68" t="str">
        <f t="shared" ca="1" si="15"/>
        <v/>
      </c>
      <c r="R42" s="68" t="str">
        <f t="shared" ca="1" si="15"/>
        <v/>
      </c>
      <c r="S42" s="68" t="str">
        <f t="shared" ca="1" si="15"/>
        <v/>
      </c>
      <c r="T42" s="68" t="str">
        <f t="shared" ca="1" si="15"/>
        <v/>
      </c>
      <c r="U42" s="68" t="str">
        <f t="shared" ca="1" si="15"/>
        <v/>
      </c>
      <c r="V42" s="68" t="str">
        <f t="shared" ca="1" si="15"/>
        <v/>
      </c>
      <c r="W42" s="68" t="str">
        <f t="shared" ca="1" si="12"/>
        <v/>
      </c>
      <c r="X42" s="68" t="str">
        <f t="shared" ca="1" si="17"/>
        <v/>
      </c>
      <c r="Y42" s="68" t="str">
        <f t="shared" ca="1" si="17"/>
        <v/>
      </c>
      <c r="Z42" s="68" t="str">
        <f t="shared" ca="1" si="17"/>
        <v/>
      </c>
      <c r="AA42" s="68" t="str">
        <f t="shared" ca="1" si="17"/>
        <v/>
      </c>
      <c r="AB42" s="68" t="str">
        <f t="shared" ca="1" si="17"/>
        <v/>
      </c>
      <c r="AC42" s="68" t="str">
        <f t="shared" ca="1" si="17"/>
        <v/>
      </c>
      <c r="AD42" s="68" t="str">
        <f t="shared" ca="1" si="17"/>
        <v/>
      </c>
      <c r="AE42" s="68" t="str">
        <f t="shared" ca="1" si="17"/>
        <v/>
      </c>
      <c r="AF42" s="68" t="str">
        <f t="shared" ca="1" si="17"/>
        <v/>
      </c>
      <c r="AG42" s="68" t="str">
        <f t="shared" ca="1" si="17"/>
        <v/>
      </c>
      <c r="AH42" s="68" t="str">
        <f t="shared" ca="1" si="17"/>
        <v/>
      </c>
      <c r="AI42" s="68" t="str">
        <f t="shared" ca="1" si="17"/>
        <v/>
      </c>
      <c r="AJ42" s="68" t="str">
        <f t="shared" ca="1" si="17"/>
        <v/>
      </c>
      <c r="AK42" s="68" t="str">
        <f t="shared" ca="1" si="17"/>
        <v/>
      </c>
      <c r="AL42" s="68" t="str">
        <f t="shared" ca="1" si="17"/>
        <v/>
      </c>
      <c r="AM42" s="68" t="str">
        <f t="shared" ca="1" si="17"/>
        <v/>
      </c>
      <c r="AN42" s="68" t="str">
        <f t="shared" ca="1" si="17"/>
        <v/>
      </c>
      <c r="AO42" s="68" t="str">
        <f t="shared" ca="1" si="17"/>
        <v/>
      </c>
      <c r="AP42" s="68" t="str">
        <f t="shared" ca="1" si="17"/>
        <v/>
      </c>
      <c r="AQ42" s="68" t="str">
        <f t="shared" ca="1" si="17"/>
        <v/>
      </c>
      <c r="AR42" s="68" t="str">
        <f t="shared" ca="1" si="17"/>
        <v/>
      </c>
      <c r="AS42" s="68" t="str">
        <f t="shared" ca="1" si="17"/>
        <v/>
      </c>
      <c r="AT42" s="68" t="str">
        <f t="shared" ca="1" si="17"/>
        <v/>
      </c>
      <c r="AU42" s="68" t="str">
        <f t="shared" ca="1" si="17"/>
        <v/>
      </c>
      <c r="AV42" s="68" t="str">
        <f t="shared" ca="1" si="17"/>
        <v/>
      </c>
      <c r="AW42" s="68" t="str">
        <f t="shared" ca="1" si="17"/>
        <v/>
      </c>
      <c r="AX42" s="68" t="str">
        <f t="shared" ca="1" si="17"/>
        <v/>
      </c>
      <c r="AY42" s="68" t="str">
        <f t="shared" ca="1" si="17"/>
        <v/>
      </c>
      <c r="AZ42" s="68" t="str">
        <f t="shared" ca="1" si="17"/>
        <v/>
      </c>
      <c r="BA42" s="68" t="str">
        <f t="shared" ca="1" si="17"/>
        <v/>
      </c>
      <c r="BB42" s="68" t="str">
        <f t="shared" ca="1" si="17"/>
        <v/>
      </c>
      <c r="BC42" s="68" t="str">
        <f t="shared" ca="1" si="17"/>
        <v/>
      </c>
      <c r="BD42" s="68" t="str">
        <f t="shared" ca="1" si="17"/>
        <v/>
      </c>
      <c r="BE42" s="68" t="str">
        <f t="shared" ca="1" si="17"/>
        <v/>
      </c>
      <c r="BF42" s="68" t="str">
        <f t="shared" ca="1" si="17"/>
        <v/>
      </c>
      <c r="BG42" s="68" t="str">
        <f t="shared" ca="1" si="17"/>
        <v/>
      </c>
      <c r="BH42" s="68" t="str">
        <f t="shared" ca="1" si="17"/>
        <v/>
      </c>
      <c r="BI42" s="68" t="str">
        <f t="shared" ca="1" si="17"/>
        <v/>
      </c>
      <c r="BJ42" s="68" t="str">
        <f t="shared" ca="1" si="17"/>
        <v/>
      </c>
      <c r="BK42" s="68" t="str">
        <f t="shared" ca="1" si="17"/>
        <v/>
      </c>
      <c r="BL42" s="68" t="str">
        <f t="shared" ca="1" si="17"/>
        <v/>
      </c>
      <c r="BM42" s="68"/>
    </row>
    <row r="43" spans="1:65" s="1" customFormat="1" ht="18" customHeight="1" x14ac:dyDescent="0.25">
      <c r="A43" s="144"/>
      <c r="B43" s="64" t="s">
        <v>32</v>
      </c>
      <c r="C43" s="55"/>
      <c r="D43" s="56"/>
      <c r="E43" s="57"/>
      <c r="F43" s="70">
        <f>Plan_Sommer[[#This Row],[Ende]]-Plan_Sommer[[#This Row],[Dauer
in Tage]]</f>
        <v>46565</v>
      </c>
      <c r="G43" s="71">
        <v>5</v>
      </c>
      <c r="H43" s="72">
        <f>F45</f>
        <v>46570</v>
      </c>
      <c r="I43" s="44" t="str">
        <f t="shared" ca="1" si="15"/>
        <v/>
      </c>
      <c r="J43" s="44" t="str">
        <f t="shared" ca="1" si="15"/>
        <v/>
      </c>
      <c r="K43" s="44" t="str">
        <f t="shared" ca="1" si="15"/>
        <v/>
      </c>
      <c r="L43" s="44" t="str">
        <f t="shared" ca="1" si="15"/>
        <v/>
      </c>
      <c r="M43" s="44" t="str">
        <f t="shared" ca="1" si="15"/>
        <v/>
      </c>
      <c r="N43" s="44" t="str">
        <f t="shared" ca="1" si="15"/>
        <v/>
      </c>
      <c r="O43" s="44" t="str">
        <f t="shared" ca="1" si="15"/>
        <v/>
      </c>
      <c r="P43" s="44" t="str">
        <f t="shared" ca="1" si="15"/>
        <v/>
      </c>
      <c r="Q43" s="44" t="str">
        <f t="shared" ca="1" si="15"/>
        <v/>
      </c>
      <c r="R43" s="44" t="str">
        <f t="shared" ca="1" si="15"/>
        <v/>
      </c>
      <c r="S43" s="44" t="str">
        <f t="shared" ca="1" si="15"/>
        <v/>
      </c>
      <c r="T43" s="44" t="str">
        <f t="shared" ca="1" si="15"/>
        <v/>
      </c>
      <c r="U43" s="44" t="str">
        <f t="shared" ca="1" si="15"/>
        <v/>
      </c>
      <c r="V43" s="44" t="str">
        <f t="shared" ca="1" si="15"/>
        <v/>
      </c>
      <c r="W43" s="44" t="str">
        <f t="shared" ca="1" si="12"/>
        <v/>
      </c>
      <c r="X43" s="44" t="str">
        <f t="shared" ca="1" si="17"/>
        <v/>
      </c>
      <c r="Y43" s="44" t="str">
        <f t="shared" ca="1" si="17"/>
        <v/>
      </c>
      <c r="Z43" s="44" t="str">
        <f t="shared" ca="1" si="17"/>
        <v/>
      </c>
      <c r="AA43" s="44" t="str">
        <f t="shared" ca="1" si="17"/>
        <v/>
      </c>
      <c r="AB43" s="44" t="str">
        <f t="shared" ca="1" si="17"/>
        <v/>
      </c>
      <c r="AC43" s="44" t="str">
        <f t="shared" ca="1" si="17"/>
        <v/>
      </c>
      <c r="AD43" s="44" t="str">
        <f t="shared" ca="1" si="17"/>
        <v/>
      </c>
      <c r="AE43" s="44" t="str">
        <f t="shared" ca="1" si="17"/>
        <v/>
      </c>
      <c r="AF43" s="44" t="str">
        <f t="shared" ca="1" si="17"/>
        <v/>
      </c>
      <c r="AG43" s="44" t="str">
        <f t="shared" ca="1" si="17"/>
        <v/>
      </c>
      <c r="AH43" s="44" t="str">
        <f t="shared" ca="1" si="17"/>
        <v/>
      </c>
      <c r="AI43" s="44" t="str">
        <f t="shared" ca="1" si="17"/>
        <v/>
      </c>
      <c r="AJ43" s="44" t="str">
        <f t="shared" ca="1" si="17"/>
        <v/>
      </c>
      <c r="AK43" s="44" t="str">
        <f t="shared" ca="1" si="17"/>
        <v/>
      </c>
      <c r="AL43" s="44" t="str">
        <f t="shared" ca="1" si="17"/>
        <v/>
      </c>
      <c r="AM43" s="44" t="str">
        <f t="shared" ca="1" si="17"/>
        <v/>
      </c>
      <c r="AN43" s="44" t="str">
        <f t="shared" ca="1" si="17"/>
        <v/>
      </c>
      <c r="AO43" s="44" t="str">
        <f t="shared" ref="X43:BL45" ca="1" si="18">IF(AND($C43="Ziel",$H43=AO$7),2,IF(AND($C43="Meilenstein",$H43=AO$7),1,""))</f>
        <v/>
      </c>
      <c r="AP43" s="44" t="str">
        <f t="shared" ca="1" si="18"/>
        <v/>
      </c>
      <c r="AQ43" s="44" t="str">
        <f t="shared" ca="1" si="18"/>
        <v/>
      </c>
      <c r="AR43" s="44" t="str">
        <f t="shared" ca="1" si="18"/>
        <v/>
      </c>
      <c r="AS43" s="44" t="str">
        <f t="shared" ca="1" si="18"/>
        <v/>
      </c>
      <c r="AT43" s="44" t="str">
        <f t="shared" ca="1" si="18"/>
        <v/>
      </c>
      <c r="AU43" s="44" t="str">
        <f t="shared" ca="1" si="18"/>
        <v/>
      </c>
      <c r="AV43" s="44" t="str">
        <f t="shared" ca="1" si="18"/>
        <v/>
      </c>
      <c r="AW43" s="44" t="str">
        <f t="shared" ca="1" si="18"/>
        <v/>
      </c>
      <c r="AX43" s="44" t="str">
        <f t="shared" ca="1" si="18"/>
        <v/>
      </c>
      <c r="AY43" s="44" t="str">
        <f t="shared" ca="1" si="18"/>
        <v/>
      </c>
      <c r="AZ43" s="44" t="str">
        <f t="shared" ca="1" si="18"/>
        <v/>
      </c>
      <c r="BA43" s="44" t="str">
        <f t="shared" ca="1" si="18"/>
        <v/>
      </c>
      <c r="BB43" s="44" t="str">
        <f t="shared" ca="1" si="18"/>
        <v/>
      </c>
      <c r="BC43" s="44" t="str">
        <f t="shared" ca="1" si="18"/>
        <v/>
      </c>
      <c r="BD43" s="44" t="str">
        <f t="shared" ca="1" si="18"/>
        <v/>
      </c>
      <c r="BE43" s="44" t="str">
        <f t="shared" ca="1" si="18"/>
        <v/>
      </c>
      <c r="BF43" s="44" t="str">
        <f t="shared" ca="1" si="18"/>
        <v/>
      </c>
      <c r="BG43" s="44" t="str">
        <f t="shared" ca="1" si="18"/>
        <v/>
      </c>
      <c r="BH43" s="44" t="str">
        <f t="shared" ca="1" si="18"/>
        <v/>
      </c>
      <c r="BI43" s="44" t="str">
        <f t="shared" ca="1" si="18"/>
        <v/>
      </c>
      <c r="BJ43" s="44" t="str">
        <f t="shared" ca="1" si="18"/>
        <v/>
      </c>
      <c r="BK43" s="44" t="str">
        <f t="shared" ca="1" si="18"/>
        <v/>
      </c>
      <c r="BL43" s="44" t="str">
        <f t="shared" ca="1" si="18"/>
        <v/>
      </c>
      <c r="BM43" s="44"/>
    </row>
    <row r="44" spans="1:65" s="1" customFormat="1" ht="18" customHeight="1" x14ac:dyDescent="0.25">
      <c r="A44" s="144"/>
      <c r="B44" s="64" t="s">
        <v>34</v>
      </c>
      <c r="C44" s="55"/>
      <c r="D44" s="56"/>
      <c r="E44" s="57"/>
      <c r="F44" s="70">
        <f>Plan_Sommer[[#This Row],[Ende]]-Plan_Sommer[[#This Row],[Dauer
in Tage]]</f>
        <v>46565</v>
      </c>
      <c r="G44" s="71">
        <v>5</v>
      </c>
      <c r="H44" s="72">
        <f>F45</f>
        <v>46570</v>
      </c>
      <c r="I44" s="44" t="str">
        <f t="shared" ca="1" si="15"/>
        <v/>
      </c>
      <c r="J44" s="44" t="str">
        <f t="shared" ca="1" si="15"/>
        <v/>
      </c>
      <c r="K44" s="44" t="str">
        <f t="shared" ca="1" si="15"/>
        <v/>
      </c>
      <c r="L44" s="44" t="str">
        <f t="shared" ca="1" si="15"/>
        <v/>
      </c>
      <c r="M44" s="44" t="str">
        <f t="shared" ca="1" si="15"/>
        <v/>
      </c>
      <c r="N44" s="44" t="str">
        <f t="shared" ca="1" si="15"/>
        <v/>
      </c>
      <c r="O44" s="44" t="str">
        <f t="shared" ca="1" si="15"/>
        <v/>
      </c>
      <c r="P44" s="44" t="str">
        <f t="shared" ca="1" si="15"/>
        <v/>
      </c>
      <c r="Q44" s="44" t="str">
        <f t="shared" ca="1" si="15"/>
        <v/>
      </c>
      <c r="R44" s="44" t="str">
        <f t="shared" ca="1" si="15"/>
        <v/>
      </c>
      <c r="S44" s="44" t="str">
        <f t="shared" ca="1" si="15"/>
        <v/>
      </c>
      <c r="T44" s="44" t="str">
        <f t="shared" ca="1" si="15"/>
        <v/>
      </c>
      <c r="U44" s="44" t="str">
        <f t="shared" ca="1" si="15"/>
        <v/>
      </c>
      <c r="V44" s="44" t="str">
        <f t="shared" ca="1" si="15"/>
        <v/>
      </c>
      <c r="W44" s="44" t="str">
        <f t="shared" ca="1" si="12"/>
        <v/>
      </c>
      <c r="X44" s="44" t="str">
        <f t="shared" ca="1" si="18"/>
        <v/>
      </c>
      <c r="Y44" s="44" t="str">
        <f t="shared" ca="1" si="18"/>
        <v/>
      </c>
      <c r="Z44" s="44" t="str">
        <f t="shared" ca="1" si="18"/>
        <v/>
      </c>
      <c r="AA44" s="44" t="str">
        <f t="shared" ca="1" si="18"/>
        <v/>
      </c>
      <c r="AB44" s="44" t="str">
        <f t="shared" ca="1" si="18"/>
        <v/>
      </c>
      <c r="AC44" s="44" t="str">
        <f t="shared" ca="1" si="18"/>
        <v/>
      </c>
      <c r="AD44" s="44" t="str">
        <f t="shared" ca="1" si="18"/>
        <v/>
      </c>
      <c r="AE44" s="44" t="str">
        <f t="shared" ca="1" si="18"/>
        <v/>
      </c>
      <c r="AF44" s="44" t="str">
        <f t="shared" ca="1" si="18"/>
        <v/>
      </c>
      <c r="AG44" s="44" t="str">
        <f t="shared" ca="1" si="18"/>
        <v/>
      </c>
      <c r="AH44" s="44" t="str">
        <f t="shared" ca="1" si="18"/>
        <v/>
      </c>
      <c r="AI44" s="44" t="str">
        <f t="shared" ca="1" si="18"/>
        <v/>
      </c>
      <c r="AJ44" s="44" t="str">
        <f t="shared" ca="1" si="18"/>
        <v/>
      </c>
      <c r="AK44" s="44" t="str">
        <f t="shared" ca="1" si="18"/>
        <v/>
      </c>
      <c r="AL44" s="44" t="str">
        <f t="shared" ca="1" si="18"/>
        <v/>
      </c>
      <c r="AM44" s="44" t="str">
        <f t="shared" ca="1" si="18"/>
        <v/>
      </c>
      <c r="AN44" s="44" t="str">
        <f t="shared" ca="1" si="18"/>
        <v/>
      </c>
      <c r="AO44" s="44" t="str">
        <f t="shared" ca="1" si="18"/>
        <v/>
      </c>
      <c r="AP44" s="44" t="str">
        <f t="shared" ca="1" si="18"/>
        <v/>
      </c>
      <c r="AQ44" s="44" t="str">
        <f t="shared" ca="1" si="18"/>
        <v/>
      </c>
      <c r="AR44" s="44" t="str">
        <f t="shared" ca="1" si="18"/>
        <v/>
      </c>
      <c r="AS44" s="44" t="str">
        <f t="shared" ca="1" si="18"/>
        <v/>
      </c>
      <c r="AT44" s="44" t="str">
        <f t="shared" ca="1" si="18"/>
        <v/>
      </c>
      <c r="AU44" s="44" t="str">
        <f t="shared" ca="1" si="18"/>
        <v/>
      </c>
      <c r="AV44" s="44" t="str">
        <f t="shared" ca="1" si="18"/>
        <v/>
      </c>
      <c r="AW44" s="44" t="str">
        <f t="shared" ca="1" si="18"/>
        <v/>
      </c>
      <c r="AX44" s="44" t="str">
        <f t="shared" ca="1" si="18"/>
        <v/>
      </c>
      <c r="AY44" s="44" t="str">
        <f t="shared" ca="1" si="18"/>
        <v/>
      </c>
      <c r="AZ44" s="44" t="str">
        <f t="shared" ca="1" si="18"/>
        <v/>
      </c>
      <c r="BA44" s="44" t="str">
        <f t="shared" ca="1" si="18"/>
        <v/>
      </c>
      <c r="BB44" s="44" t="str">
        <f t="shared" ca="1" si="18"/>
        <v/>
      </c>
      <c r="BC44" s="44" t="str">
        <f t="shared" ca="1" si="18"/>
        <v/>
      </c>
      <c r="BD44" s="44" t="str">
        <f t="shared" ca="1" si="18"/>
        <v/>
      </c>
      <c r="BE44" s="44" t="str">
        <f t="shared" ca="1" si="18"/>
        <v/>
      </c>
      <c r="BF44" s="44" t="str">
        <f t="shared" ca="1" si="18"/>
        <v/>
      </c>
      <c r="BG44" s="44" t="str">
        <f t="shared" ca="1" si="18"/>
        <v/>
      </c>
      <c r="BH44" s="44" t="str">
        <f t="shared" ca="1" si="18"/>
        <v/>
      </c>
      <c r="BI44" s="44" t="str">
        <f t="shared" ca="1" si="18"/>
        <v/>
      </c>
      <c r="BJ44" s="44" t="str">
        <f t="shared" ca="1" si="18"/>
        <v/>
      </c>
      <c r="BK44" s="44" t="str">
        <f t="shared" ca="1" si="18"/>
        <v/>
      </c>
      <c r="BL44" s="44" t="str">
        <f t="shared" ca="1" si="18"/>
        <v/>
      </c>
      <c r="BM44" s="44"/>
    </row>
    <row r="45" spans="1:65" s="1" customFormat="1" ht="18" customHeight="1" x14ac:dyDescent="0.25">
      <c r="A45" s="144"/>
      <c r="B45" s="64" t="s">
        <v>50</v>
      </c>
      <c r="C45" s="55"/>
      <c r="D45" s="56" t="s">
        <v>51</v>
      </c>
      <c r="E45" s="57"/>
      <c r="F45" s="70">
        <f>Plan_Sommer[[#This Row],[Ende]]-Plan_Sommer[[#This Row],[Dauer
in Tage]]</f>
        <v>46570</v>
      </c>
      <c r="G45" s="71">
        <v>1</v>
      </c>
      <c r="H45" s="72">
        <f>H27+14</f>
        <v>46571</v>
      </c>
      <c r="I45" s="44" t="str">
        <f t="shared" ref="I45:BL45" ca="1" si="19">IF(AND($C45="Ziel",$H45=I$7),2,IF(AND($C45="Meilenstein",$H45=I$7),1,""))</f>
        <v/>
      </c>
      <c r="J45" s="44" t="str">
        <f t="shared" ca="1" si="19"/>
        <v/>
      </c>
      <c r="K45" s="44" t="str">
        <f t="shared" ca="1" si="19"/>
        <v/>
      </c>
      <c r="L45" s="44" t="str">
        <f t="shared" ca="1" si="19"/>
        <v/>
      </c>
      <c r="M45" s="44" t="str">
        <f t="shared" ca="1" si="19"/>
        <v/>
      </c>
      <c r="N45" s="44" t="str">
        <f t="shared" ca="1" si="19"/>
        <v/>
      </c>
      <c r="O45" s="44" t="str">
        <f t="shared" ca="1" si="19"/>
        <v/>
      </c>
      <c r="P45" s="44" t="str">
        <f t="shared" ca="1" si="19"/>
        <v/>
      </c>
      <c r="Q45" s="44" t="str">
        <f t="shared" ca="1" si="19"/>
        <v/>
      </c>
      <c r="R45" s="44" t="str">
        <f t="shared" ca="1" si="19"/>
        <v/>
      </c>
      <c r="S45" s="44" t="str">
        <f t="shared" ca="1" si="19"/>
        <v/>
      </c>
      <c r="T45" s="44" t="str">
        <f t="shared" ca="1" si="19"/>
        <v/>
      </c>
      <c r="U45" s="44" t="str">
        <f t="shared" ca="1" si="19"/>
        <v/>
      </c>
      <c r="V45" s="44" t="str">
        <f t="shared" ca="1" si="19"/>
        <v/>
      </c>
      <c r="W45" s="44" t="str">
        <f t="shared" ca="1" si="12"/>
        <v/>
      </c>
      <c r="X45" s="44" t="str">
        <f t="shared" ca="1" si="19"/>
        <v/>
      </c>
      <c r="Y45" s="44" t="str">
        <f t="shared" ca="1" si="19"/>
        <v/>
      </c>
      <c r="Z45" s="44" t="str">
        <f t="shared" ca="1" si="19"/>
        <v/>
      </c>
      <c r="AA45" s="44" t="str">
        <f t="shared" ca="1" si="19"/>
        <v/>
      </c>
      <c r="AB45" s="44" t="str">
        <f t="shared" ca="1" si="19"/>
        <v/>
      </c>
      <c r="AC45" s="44" t="str">
        <f t="shared" ca="1" si="19"/>
        <v/>
      </c>
      <c r="AD45" s="44" t="str">
        <f t="shared" ca="1" si="19"/>
        <v/>
      </c>
      <c r="AE45" s="44" t="str">
        <f t="shared" ca="1" si="19"/>
        <v/>
      </c>
      <c r="AF45" s="44" t="str">
        <f t="shared" ca="1" si="19"/>
        <v/>
      </c>
      <c r="AG45" s="44" t="str">
        <f t="shared" ca="1" si="19"/>
        <v/>
      </c>
      <c r="AH45" s="44" t="str">
        <f t="shared" ca="1" si="19"/>
        <v/>
      </c>
      <c r="AI45" s="44" t="str">
        <f t="shared" ca="1" si="19"/>
        <v/>
      </c>
      <c r="AJ45" s="44" t="str">
        <f t="shared" ca="1" si="19"/>
        <v/>
      </c>
      <c r="AK45" s="44" t="str">
        <f t="shared" ca="1" si="19"/>
        <v/>
      </c>
      <c r="AL45" s="44" t="str">
        <f t="shared" ca="1" si="18"/>
        <v/>
      </c>
      <c r="AM45" s="44" t="str">
        <f t="shared" ca="1" si="19"/>
        <v/>
      </c>
      <c r="AN45" s="44" t="str">
        <f t="shared" ca="1" si="19"/>
        <v/>
      </c>
      <c r="AO45" s="44" t="str">
        <f t="shared" ca="1" si="19"/>
        <v/>
      </c>
      <c r="AP45" s="44" t="str">
        <f t="shared" ca="1" si="19"/>
        <v/>
      </c>
      <c r="AQ45" s="44" t="str">
        <f t="shared" ca="1" si="19"/>
        <v/>
      </c>
      <c r="AR45" s="44" t="str">
        <f t="shared" ca="1" si="19"/>
        <v/>
      </c>
      <c r="AS45" s="44" t="str">
        <f t="shared" ca="1" si="19"/>
        <v/>
      </c>
      <c r="AT45" s="44" t="str">
        <f t="shared" ca="1" si="19"/>
        <v/>
      </c>
      <c r="AU45" s="44" t="str">
        <f t="shared" ca="1" si="19"/>
        <v/>
      </c>
      <c r="AV45" s="44" t="str">
        <f t="shared" ca="1" si="19"/>
        <v/>
      </c>
      <c r="AW45" s="44" t="str">
        <f t="shared" ca="1" si="19"/>
        <v/>
      </c>
      <c r="AX45" s="44" t="str">
        <f t="shared" ca="1" si="19"/>
        <v/>
      </c>
      <c r="AY45" s="44" t="str">
        <f t="shared" ca="1" si="19"/>
        <v/>
      </c>
      <c r="AZ45" s="44" t="str">
        <f t="shared" ca="1" si="19"/>
        <v/>
      </c>
      <c r="BA45" s="44" t="str">
        <f t="shared" ca="1" si="18"/>
        <v/>
      </c>
      <c r="BB45" s="44" t="str">
        <f t="shared" ca="1" si="19"/>
        <v/>
      </c>
      <c r="BC45" s="44" t="str">
        <f t="shared" ca="1" si="19"/>
        <v/>
      </c>
      <c r="BD45" s="44" t="str">
        <f t="shared" ca="1" si="19"/>
        <v/>
      </c>
      <c r="BE45" s="44" t="str">
        <f t="shared" ca="1" si="19"/>
        <v/>
      </c>
      <c r="BF45" s="44" t="str">
        <f t="shared" ca="1" si="19"/>
        <v/>
      </c>
      <c r="BG45" s="44" t="str">
        <f t="shared" ca="1" si="19"/>
        <v/>
      </c>
      <c r="BH45" s="44" t="str">
        <f t="shared" ca="1" si="19"/>
        <v/>
      </c>
      <c r="BI45" s="44" t="str">
        <f t="shared" ca="1" si="19"/>
        <v/>
      </c>
      <c r="BJ45" s="44" t="str">
        <f t="shared" ca="1" si="19"/>
        <v/>
      </c>
      <c r="BK45" s="44" t="str">
        <f t="shared" ca="1" si="19"/>
        <v/>
      </c>
      <c r="BL45" s="44" t="str">
        <f t="shared" ca="1" si="19"/>
        <v/>
      </c>
      <c r="BM45" s="44"/>
    </row>
    <row r="46" spans="1:65" s="1" customFormat="1" ht="40.15" customHeight="1" x14ac:dyDescent="0.25">
      <c r="A46" s="7"/>
      <c r="B46" s="40" t="s">
        <v>52</v>
      </c>
      <c r="C46" s="24"/>
      <c r="D46" s="24"/>
      <c r="E46" s="19"/>
      <c r="F46" s="25"/>
      <c r="G46" s="60"/>
      <c r="H46" s="61"/>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row>
    <row r="47" spans="1:65" ht="30" customHeight="1" x14ac:dyDescent="0.25">
      <c r="D47" s="4"/>
      <c r="G47" s="8"/>
      <c r="H47" s="3"/>
    </row>
    <row r="48" spans="1:65" ht="30" customHeight="1" x14ac:dyDescent="0.25">
      <c r="D48" s="5"/>
    </row>
  </sheetData>
  <mergeCells count="14">
    <mergeCell ref="E4:F4"/>
    <mergeCell ref="A28:A41"/>
    <mergeCell ref="A42:A45"/>
    <mergeCell ref="O2:T2"/>
    <mergeCell ref="AJ4:AO4"/>
    <mergeCell ref="AD4:AH4"/>
    <mergeCell ref="W4:AB4"/>
    <mergeCell ref="P4:U4"/>
    <mergeCell ref="AF2:AX2"/>
    <mergeCell ref="A16:A27"/>
    <mergeCell ref="B2:H2"/>
    <mergeCell ref="A11:A15"/>
    <mergeCell ref="I2:N2"/>
    <mergeCell ref="I4:N4"/>
  </mergeCells>
  <conditionalFormatting sqref="C11:C12">
    <cfRule type="expression" dxfId="68" priority="1584">
      <formula>$C11:$C52=$E$5</formula>
    </cfRule>
    <cfRule type="expression" dxfId="67" priority="1585">
      <formula>$C11:$C52=$F$5</formula>
    </cfRule>
    <cfRule type="expression" dxfId="66" priority="1586">
      <formula>$C11:$C52=$D$5</formula>
    </cfRule>
    <cfRule type="expression" dxfId="65" priority="1587">
      <formula>$C11:$C52=$C$5</formula>
    </cfRule>
  </conditionalFormatting>
  <conditionalFormatting sqref="C13:C25">
    <cfRule type="expression" dxfId="64" priority="1580">
      <formula>$C13:$C53=$E$5</formula>
    </cfRule>
    <cfRule type="expression" dxfId="63" priority="1581">
      <formula>$C13:$C53=$F$5</formula>
    </cfRule>
    <cfRule type="expression" dxfId="62" priority="1582">
      <formula>$C13:$C53=$D$5</formula>
    </cfRule>
    <cfRule type="expression" dxfId="61" priority="1583">
      <formula>$C13:$C53=$C$5</formula>
    </cfRule>
  </conditionalFormatting>
  <conditionalFormatting sqref="C26:C43">
    <cfRule type="expression" dxfId="60" priority="1570">
      <formula>$C26:$C65=$E$5</formula>
    </cfRule>
    <cfRule type="expression" dxfId="59" priority="1571">
      <formula>$C26:$C65=$F$5</formula>
    </cfRule>
    <cfRule type="expression" dxfId="58" priority="1572">
      <formula>$C26:$C65=$D$5</formula>
    </cfRule>
    <cfRule type="expression" dxfId="57" priority="1573">
      <formula>$C26:$C65=$C$5</formula>
    </cfRule>
  </conditionalFormatting>
  <conditionalFormatting sqref="C44:C45">
    <cfRule type="expression" dxfId="56" priority="3">
      <formula>$C44:$C82=$E$5</formula>
    </cfRule>
    <cfRule type="expression" dxfId="55" priority="1536">
      <formula>$C44:$C82=$C$5</formula>
    </cfRule>
    <cfRule type="expression" dxfId="54" priority="1535">
      <formula>$C44:$C82=$D$5</formula>
    </cfRule>
    <cfRule type="expression" dxfId="53" priority="1534">
      <formula>$C44:$C82=$F$5</formula>
    </cfRule>
  </conditionalFormatting>
  <conditionalFormatting sqref="C47:C48">
    <cfRule type="expression" dxfId="52" priority="1600">
      <formula>$C15:$C47=$E$5</formula>
    </cfRule>
  </conditionalFormatting>
  <conditionalFormatting sqref="C49:C50">
    <cfRule type="expression" dxfId="51" priority="1579">
      <formula>$C18:$C49=$E$5</formula>
    </cfRule>
  </conditionalFormatting>
  <conditionalFormatting sqref="C51">
    <cfRule type="expression" dxfId="50" priority="1398">
      <formula>$C16:$C51=$E$5</formula>
    </cfRule>
  </conditionalFormatting>
  <conditionalFormatting sqref="E9:E46">
    <cfRule type="dataBar" priority="5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E7:F7">
    <cfRule type="expression" dxfId="49" priority="43" stopIfTrue="1">
      <formula>AND(LEN($C7)=0,E$7&gt;=$F7,E$7&lt;=$F7+$G7-1)</formula>
    </cfRule>
  </conditionalFormatting>
  <conditionalFormatting sqref="F7">
    <cfRule type="expression" dxfId="48" priority="37">
      <formula>AND(TODAY()&gt;=F$7,TODAY()&lt;G$7)</formula>
    </cfRule>
  </conditionalFormatting>
  <conditionalFormatting sqref="I6:AM6">
    <cfRule type="expression" dxfId="46" priority="54">
      <formula>I$7&lt;=EOMONTH($I$7,0)</formula>
    </cfRule>
  </conditionalFormatting>
  <conditionalFormatting sqref="I6:BL6">
    <cfRule type="expression" dxfId="45" priority="52">
      <formula>AND(I$7&lt;=EOMONTH($I$7,1),I$7&gt;EOMONTH($I$7,0))</formula>
    </cfRule>
  </conditionalFormatting>
  <conditionalFormatting sqref="I7:BL7">
    <cfRule type="expression" dxfId="44" priority="29">
      <formula>AND(TODAY()&gt;=I$7,TODAY()&lt;J$7)</formula>
    </cfRule>
  </conditionalFormatting>
  <conditionalFormatting sqref="I8:BL10 I11:BM45">
    <cfRule type="expression" dxfId="43" priority="60" stopIfTrue="1">
      <formula>AND($C8=$C$5,I$7&gt;=$F8,I$7&lt;=$F8+$G8-1)</formula>
    </cfRule>
    <cfRule type="expression" dxfId="42" priority="61" stopIfTrue="1">
      <formula>AND($C8=$D$5,I$7&gt;=$F8,I$7&lt;=$F8+$G8-1)</formula>
    </cfRule>
    <cfRule type="expression" dxfId="41" priority="62" stopIfTrue="1">
      <formula>AND($C8=$E$5,I$7&gt;=$F8,I$7&lt;=$F8+$G8-1)</formula>
    </cfRule>
    <cfRule type="expression" dxfId="40" priority="63" stopIfTrue="1">
      <formula>AND($C8=$F$5,I$7&gt;=$F8,I$7&lt;=$F8+$G8-1)</formula>
    </cfRule>
    <cfRule type="expression" dxfId="39" priority="64" stopIfTrue="1">
      <formula>AND(LEN($C8)=0,I$7&gt;=$F8,I$7&lt;=$F8+$G8-1)</formula>
    </cfRule>
  </conditionalFormatting>
  <conditionalFormatting sqref="I9:BL9">
    <cfRule type="expression" dxfId="38" priority="1">
      <formula>I$9="S"</formula>
    </cfRule>
  </conditionalFormatting>
  <conditionalFormatting sqref="I11:BM45 I8:BL10">
    <cfRule type="expression" dxfId="37" priority="30">
      <formula>AND(TODAY()&gt;=I$7,TODAY()&lt;J$7)</formula>
    </cfRule>
  </conditionalFormatting>
  <conditionalFormatting sqref="I11:BM45">
    <cfRule type="expression" dxfId="36" priority="2">
      <formula>I$9="S"</formula>
    </cfRule>
  </conditionalFormatting>
  <conditionalFormatting sqref="J6:BL6">
    <cfRule type="expression" dxfId="35" priority="53">
      <formula>AND(J$7&lt;=EOMONTH($I$7,2),J$7&gt;EOMONTH($I$7,0),J$7&gt;EOMONTH($I$7,1))</formula>
    </cfRule>
  </conditionalFormatting>
  <dataValidations count="10">
    <dataValidation type="list" allowBlank="1" showInputMessage="1" showErrorMessage="1" sqref="C10" xr:uid="{E87210D7-3045-41D8-B549-D8254C353C87}">
      <formula1>"Ziel,Meilenstein,Im Plan, Geringes Risiko, Mittleres Risiko, Hohes Risiko"</formula1>
    </dataValidation>
    <dataValidation type="whole" operator="greaterThanOrEqual" allowBlank="1" showInputMessage="1" promptTitle="Scrollschrittweite" prompt="Das Ändern dieser Zahl bewirkt ein Scrollen in der Gantt-Diagrammansicht." sqref="C7" xr:uid="{419AE9F2-BCE1-4F6A-9768-A67B5FCDD8A0}">
      <formula1>0</formula1>
    </dataValidation>
    <dataValidation allowBlank="1" showInputMessage="1" showErrorMessage="1" prompt="Diese Zeile markiert das Ende der Gantt-Meilensteindaten. Geben Sie nichts in diese Zeile ein. _x000a_Um weitere Elemente hinzuzufügen, fügen Sie neue Zeilen darüber ein._x000a_" sqref="A46" xr:uid="{4850414A-5E22-42EA-AFF7-162E612580FF}"/>
    <dataValidation allowBlank="1" showInputMessage="1" showErrorMessage="1" sqref="A6" xr:uid="{CBD29B84-722C-45A1-9EE0-48AB22E9CD4A}"/>
    <dataValidation allowBlank="1" showInputMessage="1" showErrorMessage="1" prompt="Eine Scrollleiste befindet sich in den Zellen I8 bis BL8._x000a_Um in der Zeitleiste vorwärts oder rückwärts zu springen, geben Sie in Zelle C7 einen Wert von 0 oder höher ein._x000a_Ein Wert von 0 führt Sie zum Anfang des Diagramms." sqref="A8" xr:uid="{D44820DB-8FA1-4681-9AB4-FFF65D855EEA}"/>
    <dataValidation allowBlank="1" showInputMessage="1" showErrorMessage="1" prompt="Die Zellen I9 bis BL9 enthalten die Tagesnummer des Monats für den Monat, der im Zellenblock über jeder Datumszelle dargestellt ist, und werden automatisch berechnet._x000a_ Ändern Sie diese Zellen nicht._x000a_" sqref="A7" xr:uid="{53D63C25-3515-4419-9412-ED5834648770}"/>
    <dataValidation allowBlank="1" showInputMessage="1" showErrorMessage="1" prompt="Geben Sie den Firmennamen in Zelle B4._x000a_Eine Legende befindet sich in den Zellen I4 bis AC4. Das Legendenetikett befindet sich in Zelle G4." sqref="A4" xr:uid="{F055A774-EEDC-465F-8C73-A59C2A9BA7F0}"/>
    <dataValidation type="list" allowBlank="1" showInputMessage="1" showErrorMessage="1" sqref="C11:C45" xr:uid="{2B59BEAD-9C8D-422A-A3A2-A5C66751BF48}">
      <formula1>$C$5:$H$5</formula1>
    </dataValidation>
    <dataValidation type="list" allowBlank="1" showInputMessage="1" showErrorMessage="1" promptTitle="Verknüpfung" prompt="Name der Maßnahme auf Blatt „Jahresplanung“. Von hier kommt der PAL (Briefkasten-Datum). Der Vorlauf wird aus diesem Gantt nach Blatt 1 übertragen." sqref="E4" xr:uid="{00000000-0002-0000-0100-000008000000}">
      <formula1>JP_Massnahme</formula1>
    </dataValidation>
    <dataValidation allowBlank="1" showInputMessage="1" promptTitle="Briefkasten-Datum (PAL)" prompt="Wird aus Blatt „Jahresplanung“ übernommen – bitte dort ändern." sqref="C4" xr:uid="{00000000-0002-0000-0100-000009000000}"/>
  </dataValidations>
  <printOptions horizontalCentered="1"/>
  <pageMargins left="0.25" right="0.25" top="0.5" bottom="0.5" header="0.3" footer="0.3"/>
  <pageSetup paperSize="9" scale="42"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leiste 1">
              <controlPr defaultSize="0" autoPict="0" altText="Scrollleiste, um entlang der Gantt-Projektzeitachse zu scrollen.">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E9:E46</xm:sqref>
        </x14:conditionalFormatting>
        <x14:conditionalFormatting xmlns:xm="http://schemas.microsoft.com/office/excel/2006/main">
          <x14:cfRule type="iconSet" priority="1399" id="{1CF6AEBB-FEDB-4135-B0BB-2750D5B9504A}">
            <x14:iconSet showValue="0" custom="1">
              <x14:cfvo type="percent">
                <xm:f>0</xm:f>
              </x14:cfvo>
              <x14:cfvo type="num">
                <xm:f>1</xm:f>
              </x14:cfvo>
              <x14:cfvo type="num">
                <xm:f>2</xm:f>
              </x14:cfvo>
              <x14:cfIcon iconSet="NoIcons" iconId="0"/>
              <x14:cfIcon iconSet="3Flags" iconId="1"/>
              <x14:cfIcon iconSet="3Symbols" iconId="2"/>
            </x14:iconSet>
          </x14:cfRule>
          <xm:sqref>I11:BM45 I8:BL10</xm:sqref>
        </x14:conditionalFormatting>
        <x14:conditionalFormatting xmlns:xm="http://schemas.microsoft.com/office/excel/2006/main">
          <x14:cfRule type="iconSet" priority="1402" id="{D2196495-684F-453F-BBB6-788F505CB5C1}">
            <x14:iconSet showValue="0" custom="1">
              <x14:cfvo type="percent">
                <xm:f>0</xm:f>
              </x14:cfvo>
              <x14:cfvo type="num">
                <xm:f>1</xm:f>
              </x14:cfvo>
              <x14:cfvo type="num">
                <xm:f>2</xm:f>
              </x14:cfvo>
              <x14:cfIcon iconSet="NoIcons" iconId="0"/>
              <x14:cfIcon iconSet="3Flags" iconId="1"/>
              <x14:cfIcon iconSet="3Symbols" iconId="2"/>
            </x14:iconSet>
          </x14:cfRule>
          <xm:sqref>BI11:BM45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BA02D-1020-42FF-A791-7FE41C672114}">
  <sheetPr>
    <pageSetUpPr fitToPage="1"/>
  </sheetPr>
  <dimension ref="A1:BM48"/>
  <sheetViews>
    <sheetView showGridLines="0" showRuler="0" zoomScale="80" zoomScaleNormal="80" zoomScalePageLayoutView="70" workbookViewId="0">
      <selection activeCell="Z23" sqref="Z23"/>
    </sheetView>
  </sheetViews>
  <sheetFormatPr baseColWidth="10" defaultColWidth="8.85546875" defaultRowHeight="30" customHeight="1" x14ac:dyDescent="0.25"/>
  <cols>
    <col min="1" max="1" width="6.42578125" style="6" customWidth="1"/>
    <col min="2" max="2" width="34.28515625" customWidth="1"/>
    <col min="3" max="3" width="16.28515625" customWidth="1"/>
    <col min="4" max="4" width="21.5703125" customWidth="1"/>
    <col min="5" max="5" width="15.7109375" customWidth="1"/>
    <col min="6" max="6" width="11.5703125" style="2" customWidth="1"/>
    <col min="7" max="7" width="10.28515625" customWidth="1"/>
    <col min="8" max="8" width="10.7109375" customWidth="1"/>
    <col min="9" max="64" width="3.5703125" customWidth="1"/>
    <col min="65" max="65" width="2.7109375" customWidth="1"/>
  </cols>
  <sheetData>
    <row r="1" spans="1:65" ht="25.15" customHeight="1" x14ac:dyDescent="0.25"/>
    <row r="2" spans="1:65" ht="49.9" customHeight="1" x14ac:dyDescent="0.25">
      <c r="A2" s="7" t="s">
        <v>0</v>
      </c>
      <c r="B2" s="151" t="str">
        <f>"                    Weihnachtsmailing "&amp;Planungsjahr</f>
        <v xml:space="preserve">                    Weihnachtsmailing 2027</v>
      </c>
      <c r="C2" s="152"/>
      <c r="D2" s="152"/>
      <c r="E2" s="152"/>
      <c r="F2" s="152"/>
      <c r="G2" s="152"/>
      <c r="H2" s="152"/>
      <c r="I2" s="153"/>
      <c r="J2" s="154"/>
      <c r="K2" s="154"/>
      <c r="L2" s="154"/>
      <c r="M2" s="154"/>
      <c r="N2" s="154"/>
      <c r="O2" s="145"/>
      <c r="P2" s="145"/>
      <c r="Q2" s="145"/>
      <c r="R2" s="145"/>
      <c r="S2" s="145"/>
      <c r="T2" s="145"/>
      <c r="U2" s="50"/>
      <c r="V2" s="50"/>
      <c r="W2" s="50"/>
      <c r="X2" s="50"/>
      <c r="Y2" s="50"/>
      <c r="Z2" s="50"/>
      <c r="AA2" s="50"/>
      <c r="AB2" s="50"/>
      <c r="AC2" s="50"/>
      <c r="AD2" s="50"/>
      <c r="AE2" s="50"/>
      <c r="AF2" s="148"/>
      <c r="AG2" s="149"/>
      <c r="AH2" s="149"/>
      <c r="AI2" s="149"/>
      <c r="AJ2" s="149"/>
      <c r="AK2" s="149"/>
      <c r="AL2" s="149"/>
      <c r="AM2" s="149"/>
      <c r="AN2" s="149"/>
      <c r="AO2" s="149"/>
      <c r="AP2" s="149"/>
      <c r="AQ2" s="149"/>
      <c r="AR2" s="149"/>
      <c r="AS2" s="149"/>
      <c r="AT2" s="149"/>
      <c r="AU2" s="149"/>
      <c r="AV2" s="149"/>
      <c r="AW2" s="149"/>
      <c r="AX2" s="149"/>
      <c r="AY2" s="50"/>
      <c r="AZ2" s="50"/>
      <c r="BA2" s="50"/>
      <c r="BB2" s="50"/>
      <c r="BC2" s="50"/>
      <c r="BD2" s="50"/>
      <c r="BE2" s="50"/>
      <c r="BF2" s="50"/>
      <c r="BG2" s="50"/>
      <c r="BH2" s="50"/>
      <c r="BI2" s="50"/>
      <c r="BJ2" s="50"/>
      <c r="BK2" s="50"/>
      <c r="BL2" s="50"/>
      <c r="BM2" s="50"/>
    </row>
    <row r="3" spans="1:65" ht="19.899999999999999" customHeight="1" thickBot="1" x14ac:dyDescent="0.3">
      <c r="A3" s="7"/>
      <c r="B3" s="14"/>
      <c r="C3" s="15"/>
      <c r="D3" s="16"/>
      <c r="E3" s="16"/>
      <c r="F3" s="17"/>
      <c r="G3" s="16"/>
      <c r="H3" s="16"/>
      <c r="I3" s="23"/>
      <c r="J3" s="1"/>
      <c r="K3" s="1"/>
      <c r="L3" s="1"/>
    </row>
    <row r="4" spans="1:65" ht="30" customHeight="1" thickBot="1" x14ac:dyDescent="0.3">
      <c r="A4" s="7"/>
      <c r="B4" s="67" t="s">
        <v>1</v>
      </c>
      <c r="C4" s="88">
        <f>INDEX(JP_PAL,MATCH($E$4,JP_Massnahme,0))</f>
        <v>46717</v>
      </c>
      <c r="D4" s="112" t="s">
        <v>149</v>
      </c>
      <c r="E4" s="143" t="s">
        <v>55</v>
      </c>
      <c r="F4" s="118"/>
      <c r="G4" s="20"/>
      <c r="H4" s="19"/>
      <c r="I4" s="155"/>
      <c r="J4" s="155"/>
      <c r="K4" s="155"/>
      <c r="L4" s="155"/>
      <c r="M4" s="155"/>
      <c r="N4" s="155"/>
      <c r="P4" s="147"/>
      <c r="Q4" s="147"/>
      <c r="R4" s="147"/>
      <c r="S4" s="147"/>
      <c r="T4" s="147"/>
      <c r="U4" s="147"/>
      <c r="W4" s="147"/>
      <c r="X4" s="147"/>
      <c r="Y4" s="147"/>
      <c r="Z4" s="147"/>
      <c r="AA4" s="147"/>
      <c r="AB4" s="147"/>
      <c r="AD4" s="147"/>
      <c r="AE4" s="147"/>
      <c r="AF4" s="147"/>
      <c r="AG4" s="147"/>
      <c r="AH4" s="147"/>
      <c r="AJ4" s="146"/>
      <c r="AK4" s="146"/>
      <c r="AL4" s="146"/>
      <c r="AM4" s="146"/>
      <c r="AN4" s="146"/>
      <c r="AO4" s="146"/>
    </row>
    <row r="5" spans="1:65" ht="19.5" customHeight="1" thickBot="1" x14ac:dyDescent="0.4">
      <c r="A5" s="7" t="s">
        <v>2</v>
      </c>
      <c r="B5" s="49" t="s">
        <v>3</v>
      </c>
      <c r="C5" s="47" t="s">
        <v>4</v>
      </c>
      <c r="D5" s="48" t="s">
        <v>5</v>
      </c>
      <c r="E5" s="47" t="s">
        <v>6</v>
      </c>
      <c r="F5" s="47" t="s">
        <v>7</v>
      </c>
      <c r="G5" s="43" t="s">
        <v>8</v>
      </c>
      <c r="H5" s="43" t="s">
        <v>9</v>
      </c>
    </row>
    <row r="6" spans="1:65" ht="30" customHeight="1" thickTop="1" x14ac:dyDescent="0.35">
      <c r="A6" s="7" t="s">
        <v>10</v>
      </c>
      <c r="B6" s="41" t="s">
        <v>11</v>
      </c>
      <c r="C6" s="66">
        <f ca="1">IF(TODAY()&gt;=F11+7,TODAY()-7,F11)</f>
        <v>46641</v>
      </c>
      <c r="D6" s="21"/>
      <c r="E6" s="45"/>
      <c r="F6" s="46"/>
      <c r="G6" s="19"/>
      <c r="H6" s="19"/>
      <c r="I6" s="28" t="str">
        <f ca="1">TEXT(I7,"MMMM")</f>
        <v>September</v>
      </c>
      <c r="J6" s="28"/>
      <c r="K6" s="28"/>
      <c r="L6" s="28"/>
      <c r="M6" s="28"/>
      <c r="N6" s="28"/>
      <c r="O6" s="28"/>
      <c r="P6" s="28" t="str">
        <f ca="1">IF(TEXT(P7,"MMMM")=I6,"",TEXT(P7,"MMMM"))</f>
        <v/>
      </c>
      <c r="Q6" s="28"/>
      <c r="R6" s="28"/>
      <c r="S6" s="28"/>
      <c r="T6" s="28"/>
      <c r="U6" s="28"/>
      <c r="V6" s="28"/>
      <c r="W6" s="28" t="str">
        <f ca="1">IF(OR(TEXT(W7,"MMMM")=P6,TEXT(W7,"MMMM")=I6),"",TEXT(W7,"MMMM"))</f>
        <v/>
      </c>
      <c r="X6" s="28"/>
      <c r="Y6" s="28"/>
      <c r="Z6" s="28"/>
      <c r="AA6" s="28"/>
      <c r="AB6" s="28"/>
      <c r="AC6" s="28"/>
      <c r="AD6" s="28" t="str">
        <f ca="1">IF(OR(TEXT(AD7,"MMMM")=W6,TEXT(AD7,"MMMM")=P6,TEXT(AD7,"MMMM")=I6),"",TEXT(AD7,"MMMM"))</f>
        <v>Oktober</v>
      </c>
      <c r="AE6" s="28"/>
      <c r="AF6" s="28"/>
      <c r="AG6" s="28"/>
      <c r="AH6" s="28"/>
      <c r="AI6" s="28"/>
      <c r="AJ6" s="28"/>
      <c r="AK6" s="28" t="str">
        <f ca="1">IF(OR(TEXT(AK7,"MMMM")=AD6,TEXT(AK7,"MMMM")=W6,TEXT(AK7,"MMMM")=P6,TEXT(AK7,"MMMM")=I6),"",TEXT(AK7,"MMMM"))</f>
        <v/>
      </c>
      <c r="AL6" s="28"/>
      <c r="AM6" s="28"/>
      <c r="AN6" s="28"/>
      <c r="AO6" s="28"/>
      <c r="AP6" s="28"/>
      <c r="AQ6" s="28"/>
      <c r="AR6" s="28" t="str">
        <f ca="1">IF(OR(TEXT(AR7,"MMMM")=AK6,TEXT(AR7,"MMMM")=AD6,TEXT(AR7,"MMMM")=W6,TEXT(AR7,"MMMM")=P6),"",TEXT(AR7,"MMMM"))</f>
        <v/>
      </c>
      <c r="AS6" s="28"/>
      <c r="AT6" s="28"/>
      <c r="AU6" s="28"/>
      <c r="AV6" s="28"/>
      <c r="AW6" s="28"/>
      <c r="AX6" s="29"/>
      <c r="AY6" s="29" t="str">
        <f ca="1">IF(OR(TEXT(AY7,"MMMM")=AR6,TEXT(AY7,"MMMM")=AK6,TEXT(AY7,"MMMM")=AD6,TEXT(AY7,"MMMM")=W6),"",TEXT(AY7,"MMMM"))</f>
        <v/>
      </c>
      <c r="AZ6" s="29"/>
      <c r="BA6" s="29"/>
      <c r="BB6" s="30"/>
      <c r="BC6" s="27"/>
      <c r="BD6" s="27"/>
      <c r="BE6" s="27"/>
      <c r="BF6" s="27" t="str">
        <f ca="1">IF(OR(TEXT(BF7,"MMMM")=AY6,TEXT(BF7,"MMMM")=AR6,TEXT(BF7,"MMMM")=AK6,TEXT(BF7,"MMMM")=AD6),"",TEXT(BF7,"MMMM"))</f>
        <v/>
      </c>
      <c r="BG6" s="27"/>
      <c r="BH6" s="27"/>
      <c r="BI6" s="27"/>
      <c r="BJ6" s="27"/>
      <c r="BK6" s="27"/>
      <c r="BL6" s="27"/>
    </row>
    <row r="7" spans="1:65" ht="30" customHeight="1" x14ac:dyDescent="0.25">
      <c r="A7" s="7"/>
      <c r="B7" s="41" t="s">
        <v>12</v>
      </c>
      <c r="C7" s="42">
        <v>0</v>
      </c>
      <c r="D7" s="18"/>
      <c r="E7" s="26"/>
      <c r="F7" s="26"/>
      <c r="G7" s="19"/>
      <c r="H7" s="22"/>
      <c r="I7" s="31">
        <f ca="1">IFERROR(Projekt_Start+Scroll_Schrittweite,TODAY())</f>
        <v>46641</v>
      </c>
      <c r="J7" s="32">
        <f ca="1">I7+1</f>
        <v>46642</v>
      </c>
      <c r="K7" s="32">
        <f t="shared" ref="K7:AX7" ca="1" si="0">J7+1</f>
        <v>46643</v>
      </c>
      <c r="L7" s="32">
        <f t="shared" ca="1" si="0"/>
        <v>46644</v>
      </c>
      <c r="M7" s="32">
        <f t="shared" ca="1" si="0"/>
        <v>46645</v>
      </c>
      <c r="N7" s="32">
        <f t="shared" ca="1" si="0"/>
        <v>46646</v>
      </c>
      <c r="O7" s="33">
        <f t="shared" ca="1" si="0"/>
        <v>46647</v>
      </c>
      <c r="P7" s="32">
        <f ca="1">O7+1</f>
        <v>46648</v>
      </c>
      <c r="Q7" s="32">
        <f ca="1">P7+1</f>
        <v>46649</v>
      </c>
      <c r="R7" s="32">
        <f t="shared" ca="1" si="0"/>
        <v>46650</v>
      </c>
      <c r="S7" s="32">
        <f t="shared" ca="1" si="0"/>
        <v>46651</v>
      </c>
      <c r="T7" s="32">
        <f t="shared" ca="1" si="0"/>
        <v>46652</v>
      </c>
      <c r="U7" s="32">
        <f t="shared" ca="1" si="0"/>
        <v>46653</v>
      </c>
      <c r="V7" s="33">
        <f t="shared" ca="1" si="0"/>
        <v>46654</v>
      </c>
      <c r="W7" s="32">
        <f ca="1">V7+1</f>
        <v>46655</v>
      </c>
      <c r="X7" s="32">
        <f ca="1">W7+1</f>
        <v>46656</v>
      </c>
      <c r="Y7" s="32">
        <f t="shared" ca="1" si="0"/>
        <v>46657</v>
      </c>
      <c r="Z7" s="32">
        <f t="shared" ca="1" si="0"/>
        <v>46658</v>
      </c>
      <c r="AA7" s="32">
        <f t="shared" ca="1" si="0"/>
        <v>46659</v>
      </c>
      <c r="AB7" s="32">
        <f t="shared" ca="1" si="0"/>
        <v>46660</v>
      </c>
      <c r="AC7" s="33">
        <f t="shared" ca="1" si="0"/>
        <v>46661</v>
      </c>
      <c r="AD7" s="32">
        <f ca="1">AC7+1</f>
        <v>46662</v>
      </c>
      <c r="AE7" s="32">
        <f ca="1">AD7+1</f>
        <v>46663</v>
      </c>
      <c r="AF7" s="32">
        <f t="shared" ca="1" si="0"/>
        <v>46664</v>
      </c>
      <c r="AG7" s="32">
        <f t="shared" ca="1" si="0"/>
        <v>46665</v>
      </c>
      <c r="AH7" s="32">
        <f t="shared" ca="1" si="0"/>
        <v>46666</v>
      </c>
      <c r="AI7" s="32">
        <f t="shared" ca="1" si="0"/>
        <v>46667</v>
      </c>
      <c r="AJ7" s="33">
        <f t="shared" ca="1" si="0"/>
        <v>46668</v>
      </c>
      <c r="AK7" s="32">
        <f ca="1">AJ7+1</f>
        <v>46669</v>
      </c>
      <c r="AL7" s="32">
        <f ca="1">AK7+1</f>
        <v>46670</v>
      </c>
      <c r="AM7" s="32">
        <f t="shared" ca="1" si="0"/>
        <v>46671</v>
      </c>
      <c r="AN7" s="32">
        <f t="shared" ca="1" si="0"/>
        <v>46672</v>
      </c>
      <c r="AO7" s="32">
        <f t="shared" ca="1" si="0"/>
        <v>46673</v>
      </c>
      <c r="AP7" s="32">
        <f t="shared" ca="1" si="0"/>
        <v>46674</v>
      </c>
      <c r="AQ7" s="33">
        <f t="shared" ca="1" si="0"/>
        <v>46675</v>
      </c>
      <c r="AR7" s="32">
        <f ca="1">AQ7+1</f>
        <v>46676</v>
      </c>
      <c r="AS7" s="32">
        <f ca="1">AR7+1</f>
        <v>46677</v>
      </c>
      <c r="AT7" s="32">
        <f t="shared" ca="1" si="0"/>
        <v>46678</v>
      </c>
      <c r="AU7" s="32">
        <f t="shared" ca="1" si="0"/>
        <v>46679</v>
      </c>
      <c r="AV7" s="32">
        <f t="shared" ca="1" si="0"/>
        <v>46680</v>
      </c>
      <c r="AW7" s="32">
        <f t="shared" ca="1" si="0"/>
        <v>46681</v>
      </c>
      <c r="AX7" s="33">
        <f t="shared" ca="1" si="0"/>
        <v>46682</v>
      </c>
      <c r="AY7" s="32">
        <f ca="1">AX7+1</f>
        <v>46683</v>
      </c>
      <c r="AZ7" s="32">
        <f ca="1">AY7+1</f>
        <v>46684</v>
      </c>
      <c r="BA7" s="32">
        <f t="shared" ref="BA7:BE7" ca="1" si="1">AZ7+1</f>
        <v>46685</v>
      </c>
      <c r="BB7" s="32">
        <f t="shared" ca="1" si="1"/>
        <v>46686</v>
      </c>
      <c r="BC7" s="32">
        <f t="shared" ca="1" si="1"/>
        <v>46687</v>
      </c>
      <c r="BD7" s="32">
        <f t="shared" ca="1" si="1"/>
        <v>46688</v>
      </c>
      <c r="BE7" s="33">
        <f t="shared" ca="1" si="1"/>
        <v>46689</v>
      </c>
      <c r="BF7" s="32">
        <f ca="1">BE7+1</f>
        <v>46690</v>
      </c>
      <c r="BG7" s="32">
        <f ca="1">BF7+1</f>
        <v>46691</v>
      </c>
      <c r="BH7" s="32">
        <f t="shared" ref="BH7:BL7" ca="1" si="2">BG7+1</f>
        <v>46692</v>
      </c>
      <c r="BI7" s="32">
        <f t="shared" ca="1" si="2"/>
        <v>46693</v>
      </c>
      <c r="BJ7" s="32">
        <f t="shared" ca="1" si="2"/>
        <v>46694</v>
      </c>
      <c r="BK7" s="32">
        <f t="shared" ca="1" si="2"/>
        <v>46695</v>
      </c>
      <c r="BL7" s="33">
        <f t="shared" ca="1" si="2"/>
        <v>46696</v>
      </c>
    </row>
    <row r="8" spans="1:65" ht="19.899999999999999" customHeight="1" x14ac:dyDescent="0.25">
      <c r="A8" s="7"/>
      <c r="B8" s="18"/>
      <c r="C8" s="18"/>
      <c r="D8" s="18"/>
      <c r="E8" s="19"/>
      <c r="F8" s="19"/>
      <c r="G8" s="19"/>
      <c r="H8" s="22"/>
      <c r="I8" s="34"/>
      <c r="J8" s="35"/>
      <c r="K8" s="35"/>
      <c r="L8" s="35"/>
      <c r="M8" s="35"/>
      <c r="N8" s="35"/>
      <c r="O8" s="35"/>
      <c r="P8" s="36"/>
      <c r="Q8" s="35"/>
      <c r="R8" s="35"/>
      <c r="S8" s="35"/>
      <c r="T8" s="35"/>
      <c r="U8" s="35"/>
      <c r="V8" s="37"/>
      <c r="W8" s="35"/>
      <c r="X8" s="35"/>
      <c r="Y8" s="35"/>
      <c r="Z8" s="35"/>
      <c r="AA8" s="35"/>
      <c r="AB8" s="35"/>
      <c r="AC8" s="37"/>
      <c r="AD8" s="35"/>
      <c r="AE8" s="35"/>
      <c r="AF8" s="35"/>
      <c r="AG8" s="35"/>
      <c r="AH8" s="35"/>
      <c r="AI8" s="35"/>
      <c r="AJ8" s="37"/>
      <c r="AK8" s="35"/>
      <c r="AL8" s="35"/>
      <c r="AM8" s="35"/>
      <c r="AN8" s="35"/>
      <c r="AO8" s="35"/>
      <c r="AP8" s="35"/>
      <c r="AQ8" s="37"/>
      <c r="AR8" s="35"/>
      <c r="AS8" s="35"/>
      <c r="AT8" s="35"/>
      <c r="AU8" s="35"/>
      <c r="AV8" s="35"/>
      <c r="AW8" s="35"/>
      <c r="AX8" s="37"/>
      <c r="AY8" s="35"/>
      <c r="AZ8" s="35"/>
      <c r="BA8" s="35"/>
      <c r="BB8" s="35"/>
      <c r="BC8" s="35"/>
      <c r="BD8" s="35"/>
      <c r="BE8" s="37"/>
      <c r="BF8" s="35"/>
      <c r="BG8" s="35"/>
      <c r="BH8" s="35"/>
      <c r="BI8" s="35"/>
      <c r="BJ8" s="35"/>
      <c r="BK8" s="35"/>
      <c r="BL8" s="38"/>
    </row>
    <row r="9" spans="1:65" ht="40.15" customHeight="1" x14ac:dyDescent="0.25">
      <c r="A9" s="7" t="s">
        <v>13</v>
      </c>
      <c r="B9" s="51" t="s">
        <v>14</v>
      </c>
      <c r="C9" s="53" t="s">
        <v>15</v>
      </c>
      <c r="D9" s="52" t="s">
        <v>16</v>
      </c>
      <c r="E9" s="54" t="s">
        <v>17</v>
      </c>
      <c r="F9" s="54" t="s">
        <v>18</v>
      </c>
      <c r="G9" s="53" t="s">
        <v>19</v>
      </c>
      <c r="H9" s="58" t="s">
        <v>20</v>
      </c>
      <c r="I9" s="39" t="str">
        <f t="shared" ref="I9:AN9" ca="1" si="3">LEFT(TEXT(I7,"TTT"),1)</f>
        <v>S</v>
      </c>
      <c r="J9" s="39" t="str">
        <f t="shared" ca="1" si="3"/>
        <v>S</v>
      </c>
      <c r="K9" s="39" t="str">
        <f t="shared" ca="1" si="3"/>
        <v>M</v>
      </c>
      <c r="L9" s="39" t="str">
        <f t="shared" ca="1" si="3"/>
        <v>D</v>
      </c>
      <c r="M9" s="39" t="str">
        <f t="shared" ca="1" si="3"/>
        <v>M</v>
      </c>
      <c r="N9" s="39" t="str">
        <f t="shared" ca="1" si="3"/>
        <v>D</v>
      </c>
      <c r="O9" s="39" t="str">
        <f t="shared" ca="1" si="3"/>
        <v>F</v>
      </c>
      <c r="P9" s="39" t="str">
        <f t="shared" ca="1" si="3"/>
        <v>S</v>
      </c>
      <c r="Q9" s="39" t="str">
        <f t="shared" ca="1" si="3"/>
        <v>S</v>
      </c>
      <c r="R9" s="39" t="str">
        <f t="shared" ca="1" si="3"/>
        <v>M</v>
      </c>
      <c r="S9" s="39" t="str">
        <f t="shared" ca="1" si="3"/>
        <v>D</v>
      </c>
      <c r="T9" s="39" t="str">
        <f t="shared" ca="1" si="3"/>
        <v>M</v>
      </c>
      <c r="U9" s="39" t="str">
        <f t="shared" ca="1" si="3"/>
        <v>D</v>
      </c>
      <c r="V9" s="39" t="str">
        <f t="shared" ca="1" si="3"/>
        <v>F</v>
      </c>
      <c r="W9" s="39" t="str">
        <f t="shared" ca="1" si="3"/>
        <v>S</v>
      </c>
      <c r="X9" s="39" t="str">
        <f t="shared" ca="1" si="3"/>
        <v>S</v>
      </c>
      <c r="Y9" s="39" t="str">
        <f t="shared" ca="1" si="3"/>
        <v>M</v>
      </c>
      <c r="Z9" s="39" t="str">
        <f t="shared" ca="1" si="3"/>
        <v>D</v>
      </c>
      <c r="AA9" s="39" t="str">
        <f t="shared" ca="1" si="3"/>
        <v>M</v>
      </c>
      <c r="AB9" s="39" t="str">
        <f t="shared" ca="1" si="3"/>
        <v>D</v>
      </c>
      <c r="AC9" s="39" t="str">
        <f t="shared" ca="1" si="3"/>
        <v>F</v>
      </c>
      <c r="AD9" s="39" t="str">
        <f t="shared" ca="1" si="3"/>
        <v>S</v>
      </c>
      <c r="AE9" s="39" t="str">
        <f t="shared" ca="1" si="3"/>
        <v>S</v>
      </c>
      <c r="AF9" s="39" t="str">
        <f t="shared" ca="1" si="3"/>
        <v>M</v>
      </c>
      <c r="AG9" s="39" t="str">
        <f t="shared" ca="1" si="3"/>
        <v>D</v>
      </c>
      <c r="AH9" s="39" t="str">
        <f t="shared" ca="1" si="3"/>
        <v>M</v>
      </c>
      <c r="AI9" s="39" t="str">
        <f t="shared" ca="1" si="3"/>
        <v>D</v>
      </c>
      <c r="AJ9" s="39" t="str">
        <f t="shared" ca="1" si="3"/>
        <v>F</v>
      </c>
      <c r="AK9" s="39" t="str">
        <f t="shared" ca="1" si="3"/>
        <v>S</v>
      </c>
      <c r="AL9" s="39" t="str">
        <f t="shared" ca="1" si="3"/>
        <v>S</v>
      </c>
      <c r="AM9" s="39" t="str">
        <f t="shared" ca="1" si="3"/>
        <v>M</v>
      </c>
      <c r="AN9" s="39" t="str">
        <f t="shared" ca="1" si="3"/>
        <v>D</v>
      </c>
      <c r="AO9" s="39" t="str">
        <f t="shared" ref="AO9:BL9" ca="1" si="4">LEFT(TEXT(AO7,"TTT"),1)</f>
        <v>M</v>
      </c>
      <c r="AP9" s="39" t="str">
        <f t="shared" ca="1" si="4"/>
        <v>D</v>
      </c>
      <c r="AQ9" s="39" t="str">
        <f t="shared" ca="1" si="4"/>
        <v>F</v>
      </c>
      <c r="AR9" s="39" t="str">
        <f t="shared" ca="1" si="4"/>
        <v>S</v>
      </c>
      <c r="AS9" s="39" t="str">
        <f t="shared" ca="1" si="4"/>
        <v>S</v>
      </c>
      <c r="AT9" s="39" t="str">
        <f t="shared" ca="1" si="4"/>
        <v>M</v>
      </c>
      <c r="AU9" s="39" t="str">
        <f t="shared" ca="1" si="4"/>
        <v>D</v>
      </c>
      <c r="AV9" s="39" t="str">
        <f t="shared" ca="1" si="4"/>
        <v>M</v>
      </c>
      <c r="AW9" s="39" t="str">
        <f t="shared" ca="1" si="4"/>
        <v>D</v>
      </c>
      <c r="AX9" s="39" t="str">
        <f t="shared" ca="1" si="4"/>
        <v>F</v>
      </c>
      <c r="AY9" s="39" t="str">
        <f t="shared" ca="1" si="4"/>
        <v>S</v>
      </c>
      <c r="AZ9" s="39" t="str">
        <f t="shared" ca="1" si="4"/>
        <v>S</v>
      </c>
      <c r="BA9" s="39" t="str">
        <f t="shared" ca="1" si="4"/>
        <v>M</v>
      </c>
      <c r="BB9" s="39" t="str">
        <f t="shared" ca="1" si="4"/>
        <v>D</v>
      </c>
      <c r="BC9" s="39" t="str">
        <f t="shared" ca="1" si="4"/>
        <v>M</v>
      </c>
      <c r="BD9" s="39" t="str">
        <f t="shared" ca="1" si="4"/>
        <v>D</v>
      </c>
      <c r="BE9" s="39" t="str">
        <f t="shared" ca="1" si="4"/>
        <v>F</v>
      </c>
      <c r="BF9" s="39" t="str">
        <f t="shared" ca="1" si="4"/>
        <v>S</v>
      </c>
      <c r="BG9" s="39" t="str">
        <f t="shared" ca="1" si="4"/>
        <v>S</v>
      </c>
      <c r="BH9" s="39" t="str">
        <f t="shared" ca="1" si="4"/>
        <v>M</v>
      </c>
      <c r="BI9" s="39" t="str">
        <f t="shared" ca="1" si="4"/>
        <v>D</v>
      </c>
      <c r="BJ9" s="39" t="str">
        <f t="shared" ca="1" si="4"/>
        <v>M</v>
      </c>
      <c r="BK9" s="39" t="str">
        <f t="shared" ca="1" si="4"/>
        <v>D</v>
      </c>
      <c r="BL9" s="39" t="str">
        <f t="shared" ca="1" si="4"/>
        <v>F</v>
      </c>
    </row>
    <row r="10" spans="1:65" ht="15" hidden="1" customHeight="1" x14ac:dyDescent="0.25">
      <c r="B10" s="12"/>
      <c r="C10" s="10"/>
      <c r="D10" s="9"/>
      <c r="E10" s="10"/>
      <c r="F10" s="11">
        <f>H13-G11</f>
        <v>46646</v>
      </c>
      <c r="G10" s="59"/>
      <c r="H10" s="62">
        <f t="shared" ref="H10" si="5">$F10+$G10</f>
        <v>46646</v>
      </c>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row>
    <row r="11" spans="1:65" s="1" customFormat="1" ht="18" customHeight="1" x14ac:dyDescent="0.25">
      <c r="A11" s="144" t="s">
        <v>21</v>
      </c>
      <c r="B11" s="64" t="s">
        <v>22</v>
      </c>
      <c r="C11" s="55"/>
      <c r="D11" s="56" t="s">
        <v>23</v>
      </c>
      <c r="E11" s="57"/>
      <c r="F11" s="70">
        <f>Plan_Weihnachten[[#This Row],[Ende]]-Plan_Weihnachten[[#This Row],[Dauer
in Tage]]</f>
        <v>46641</v>
      </c>
      <c r="G11" s="71">
        <v>2</v>
      </c>
      <c r="H11" s="72">
        <f>F13</f>
        <v>46643</v>
      </c>
      <c r="I11" s="44" t="str">
        <f t="shared" ref="I11:X28" ca="1" si="6">IF(AND($C11="Ziel",$H11=I$7),2,IF(AND($C11="Meilenstein",$H11=I$7),1,""))</f>
        <v/>
      </c>
      <c r="J11" s="44" t="str">
        <f t="shared" ca="1" si="6"/>
        <v/>
      </c>
      <c r="K11" s="44" t="str">
        <f t="shared" ca="1" si="6"/>
        <v/>
      </c>
      <c r="L11" s="44" t="str">
        <f t="shared" ca="1" si="6"/>
        <v/>
      </c>
      <c r="M11" s="44" t="str">
        <f t="shared" ca="1" si="6"/>
        <v/>
      </c>
      <c r="N11" s="44" t="str">
        <f t="shared" ca="1" si="6"/>
        <v/>
      </c>
      <c r="O11" s="44" t="str">
        <f t="shared" ca="1" si="6"/>
        <v/>
      </c>
      <c r="P11" s="44" t="str">
        <f t="shared" ca="1" si="6"/>
        <v/>
      </c>
      <c r="Q11" s="44" t="str">
        <f t="shared" ca="1" si="6"/>
        <v/>
      </c>
      <c r="R11" s="44" t="str">
        <f t="shared" ca="1" si="6"/>
        <v/>
      </c>
      <c r="S11" s="44" t="str">
        <f t="shared" ca="1" si="6"/>
        <v/>
      </c>
      <c r="T11" s="44" t="str">
        <f t="shared" ca="1" si="6"/>
        <v/>
      </c>
      <c r="U11" s="44" t="str">
        <f t="shared" ca="1" si="6"/>
        <v/>
      </c>
      <c r="V11" s="44" t="str">
        <f t="shared" ca="1" si="6"/>
        <v/>
      </c>
      <c r="W11" s="44" t="str">
        <f t="shared" ca="1" si="6"/>
        <v/>
      </c>
      <c r="X11" s="44" t="str">
        <f t="shared" ca="1" si="6"/>
        <v/>
      </c>
      <c r="Y11" s="44" t="str">
        <f t="shared" ref="Y11:BL11" ca="1" si="7">IF(AND($C11="Ziel",$H11=Y$7),2,IF(AND($C11="Meilenstein",$H11=Y$7),1,""))</f>
        <v/>
      </c>
      <c r="Z11" s="44" t="str">
        <f t="shared" ca="1" si="7"/>
        <v/>
      </c>
      <c r="AA11" s="44" t="str">
        <f t="shared" ca="1" si="7"/>
        <v/>
      </c>
      <c r="AB11" s="44" t="str">
        <f t="shared" ca="1" si="7"/>
        <v/>
      </c>
      <c r="AC11" s="44" t="str">
        <f t="shared" ca="1" si="7"/>
        <v/>
      </c>
      <c r="AD11" s="44" t="str">
        <f t="shared" ca="1" si="7"/>
        <v/>
      </c>
      <c r="AE11" s="44" t="str">
        <f t="shared" ca="1" si="7"/>
        <v/>
      </c>
      <c r="AF11" s="44" t="str">
        <f t="shared" ca="1" si="7"/>
        <v/>
      </c>
      <c r="AG11" s="44" t="str">
        <f t="shared" ca="1" si="7"/>
        <v/>
      </c>
      <c r="AH11" s="44" t="str">
        <f t="shared" ca="1" si="7"/>
        <v/>
      </c>
      <c r="AI11" s="44" t="str">
        <f t="shared" ca="1" si="7"/>
        <v/>
      </c>
      <c r="AJ11" s="44" t="str">
        <f t="shared" ca="1" si="7"/>
        <v/>
      </c>
      <c r="AK11" s="44" t="str">
        <f t="shared" ca="1" si="7"/>
        <v/>
      </c>
      <c r="AL11" s="44" t="str">
        <f t="shared" ca="1" si="7"/>
        <v/>
      </c>
      <c r="AM11" s="44" t="str">
        <f t="shared" ca="1" si="7"/>
        <v/>
      </c>
      <c r="AN11" s="44" t="str">
        <f t="shared" ca="1" si="7"/>
        <v/>
      </c>
      <c r="AO11" s="44" t="str">
        <f t="shared" ca="1" si="7"/>
        <v/>
      </c>
      <c r="AP11" s="44" t="str">
        <f t="shared" ca="1" si="7"/>
        <v/>
      </c>
      <c r="AQ11" s="44" t="str">
        <f t="shared" ca="1" si="7"/>
        <v/>
      </c>
      <c r="AR11" s="44" t="str">
        <f t="shared" ca="1" si="7"/>
        <v/>
      </c>
      <c r="AS11" s="44" t="str">
        <f t="shared" ca="1" si="7"/>
        <v/>
      </c>
      <c r="AT11" s="44" t="str">
        <f t="shared" ca="1" si="7"/>
        <v/>
      </c>
      <c r="AU11" s="44" t="str">
        <f t="shared" ca="1" si="7"/>
        <v/>
      </c>
      <c r="AV11" s="44" t="str">
        <f t="shared" ca="1" si="7"/>
        <v/>
      </c>
      <c r="AW11" s="44" t="str">
        <f t="shared" ca="1" si="7"/>
        <v/>
      </c>
      <c r="AX11" s="44" t="str">
        <f t="shared" ca="1" si="7"/>
        <v/>
      </c>
      <c r="AY11" s="44" t="str">
        <f t="shared" ca="1" si="7"/>
        <v/>
      </c>
      <c r="AZ11" s="44" t="str">
        <f t="shared" ca="1" si="7"/>
        <v/>
      </c>
      <c r="BA11" s="44" t="str">
        <f t="shared" ca="1" si="7"/>
        <v/>
      </c>
      <c r="BB11" s="44" t="str">
        <f t="shared" ca="1" si="7"/>
        <v/>
      </c>
      <c r="BC11" s="44" t="str">
        <f t="shared" ca="1" si="7"/>
        <v/>
      </c>
      <c r="BD11" s="44" t="str">
        <f t="shared" ca="1" si="7"/>
        <v/>
      </c>
      <c r="BE11" s="44" t="str">
        <f t="shared" ca="1" si="7"/>
        <v/>
      </c>
      <c r="BF11" s="44" t="str">
        <f t="shared" ca="1" si="7"/>
        <v/>
      </c>
      <c r="BG11" s="44" t="str">
        <f t="shared" ca="1" si="7"/>
        <v/>
      </c>
      <c r="BH11" s="44" t="str">
        <f t="shared" ca="1" si="7"/>
        <v/>
      </c>
      <c r="BI11" s="44" t="str">
        <f t="shared" ca="1" si="7"/>
        <v/>
      </c>
      <c r="BJ11" s="44" t="str">
        <f t="shared" ca="1" si="7"/>
        <v/>
      </c>
      <c r="BK11" s="44" t="str">
        <f t="shared" ca="1" si="7"/>
        <v/>
      </c>
      <c r="BL11" s="44" t="str">
        <f t="shared" ca="1" si="7"/>
        <v/>
      </c>
      <c r="BM11" s="44"/>
    </row>
    <row r="12" spans="1:65" s="1" customFormat="1" ht="18" customHeight="1" x14ac:dyDescent="0.25">
      <c r="A12" s="144"/>
      <c r="B12" s="64" t="s">
        <v>24</v>
      </c>
      <c r="C12" s="55"/>
      <c r="D12" s="56"/>
      <c r="E12" s="57"/>
      <c r="F12" s="70">
        <f>Plan_Weihnachten[[#This Row],[Ende]]-Plan_Weihnachten[[#This Row],[Dauer
in Tage]]</f>
        <v>46686</v>
      </c>
      <c r="G12" s="71">
        <v>14</v>
      </c>
      <c r="H12" s="72">
        <f>H15</f>
        <v>46700</v>
      </c>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row>
    <row r="13" spans="1:65" s="1" customFormat="1" ht="18" customHeight="1" x14ac:dyDescent="0.25">
      <c r="A13" s="144"/>
      <c r="B13" s="64" t="s">
        <v>25</v>
      </c>
      <c r="C13" s="55"/>
      <c r="D13" s="56"/>
      <c r="E13" s="57"/>
      <c r="F13" s="70">
        <f>Plan_Weihnachten[[#This Row],[Ende]]-Plan_Weihnachten[[#This Row],[Dauer
in Tage]]</f>
        <v>46643</v>
      </c>
      <c r="G13" s="71">
        <v>5</v>
      </c>
      <c r="H13" s="72">
        <f>F14</f>
        <v>46648</v>
      </c>
      <c r="I13" s="44" t="str">
        <f t="shared" ca="1" si="6"/>
        <v/>
      </c>
      <c r="J13" s="44" t="str">
        <f t="shared" ca="1" si="6"/>
        <v/>
      </c>
      <c r="K13" s="44" t="str">
        <f t="shared" ca="1" si="6"/>
        <v/>
      </c>
      <c r="L13" s="44" t="str">
        <f t="shared" ca="1" si="6"/>
        <v/>
      </c>
      <c r="M13" s="44" t="str">
        <f t="shared" ca="1" si="6"/>
        <v/>
      </c>
      <c r="N13" s="44" t="str">
        <f t="shared" ca="1" si="6"/>
        <v/>
      </c>
      <c r="O13" s="44" t="str">
        <f t="shared" ca="1" si="6"/>
        <v/>
      </c>
      <c r="P13" s="44" t="str">
        <f t="shared" ca="1" si="6"/>
        <v/>
      </c>
      <c r="Q13" s="44" t="str">
        <f t="shared" ca="1" si="6"/>
        <v/>
      </c>
      <c r="R13" s="44" t="str">
        <f t="shared" ca="1" si="6"/>
        <v/>
      </c>
      <c r="S13" s="44" t="str">
        <f t="shared" ca="1" si="6"/>
        <v/>
      </c>
      <c r="T13" s="44" t="str">
        <f t="shared" ca="1" si="6"/>
        <v/>
      </c>
      <c r="U13" s="44" t="str">
        <f t="shared" ca="1" si="6"/>
        <v/>
      </c>
      <c r="V13" s="44" t="str">
        <f t="shared" ca="1" si="6"/>
        <v/>
      </c>
      <c r="W13" s="44" t="str">
        <f t="shared" ref="W13:W19" ca="1" si="8">IF(AND($C13="Ziel",$H13=W$7),2,IF(AND($C13="Meilenstein",$H13=W$7),1,""))</f>
        <v/>
      </c>
      <c r="X13" s="44" t="str">
        <f t="shared" ref="X13:BL18" ca="1" si="9">IF(AND($C13="Ziel",$H13=X$7),2,IF(AND($C13="Meilenstein",$H13=X$7),1,""))</f>
        <v/>
      </c>
      <c r="Y13" s="44" t="str">
        <f t="shared" ca="1" si="9"/>
        <v/>
      </c>
      <c r="Z13" s="44" t="str">
        <f t="shared" ca="1" si="9"/>
        <v/>
      </c>
      <c r="AA13" s="44" t="str">
        <f t="shared" ca="1" si="9"/>
        <v/>
      </c>
      <c r="AB13" s="44" t="str">
        <f t="shared" ca="1" si="9"/>
        <v/>
      </c>
      <c r="AC13" s="44" t="str">
        <f t="shared" ca="1" si="9"/>
        <v/>
      </c>
      <c r="AD13" s="44" t="str">
        <f t="shared" ca="1" si="9"/>
        <v/>
      </c>
      <c r="AE13" s="44" t="str">
        <f t="shared" ca="1" si="9"/>
        <v/>
      </c>
      <c r="AF13" s="44" t="str">
        <f t="shared" ca="1" si="9"/>
        <v/>
      </c>
      <c r="AG13" s="44" t="str">
        <f t="shared" ca="1" si="9"/>
        <v/>
      </c>
      <c r="AH13" s="44" t="str">
        <f t="shared" ca="1" si="9"/>
        <v/>
      </c>
      <c r="AI13" s="44" t="str">
        <f t="shared" ca="1" si="9"/>
        <v/>
      </c>
      <c r="AJ13" s="44" t="str">
        <f t="shared" ca="1" si="9"/>
        <v/>
      </c>
      <c r="AK13" s="44" t="str">
        <f t="shared" ca="1" si="9"/>
        <v/>
      </c>
      <c r="AL13" s="44" t="str">
        <f t="shared" ca="1" si="9"/>
        <v/>
      </c>
      <c r="AM13" s="44" t="str">
        <f t="shared" ca="1" si="9"/>
        <v/>
      </c>
      <c r="AN13" s="44" t="str">
        <f t="shared" ca="1" si="9"/>
        <v/>
      </c>
      <c r="AO13" s="44" t="str">
        <f t="shared" ca="1" si="9"/>
        <v/>
      </c>
      <c r="AP13" s="44" t="str">
        <f t="shared" ca="1" si="9"/>
        <v/>
      </c>
      <c r="AQ13" s="44" t="str">
        <f t="shared" ca="1" si="9"/>
        <v/>
      </c>
      <c r="AR13" s="44" t="str">
        <f t="shared" ca="1" si="9"/>
        <v/>
      </c>
      <c r="AS13" s="44" t="str">
        <f t="shared" ca="1" si="9"/>
        <v/>
      </c>
      <c r="AT13" s="44" t="str">
        <f t="shared" ca="1" si="9"/>
        <v/>
      </c>
      <c r="AU13" s="44" t="str">
        <f t="shared" ca="1" si="9"/>
        <v/>
      </c>
      <c r="AV13" s="44" t="str">
        <f t="shared" ca="1" si="9"/>
        <v/>
      </c>
      <c r="AW13" s="44" t="str">
        <f t="shared" ca="1" si="9"/>
        <v/>
      </c>
      <c r="AX13" s="44" t="str">
        <f t="shared" ca="1" si="9"/>
        <v/>
      </c>
      <c r="AY13" s="44" t="str">
        <f t="shared" ca="1" si="9"/>
        <v/>
      </c>
      <c r="AZ13" s="44" t="str">
        <f t="shared" ca="1" si="9"/>
        <v/>
      </c>
      <c r="BA13" s="44" t="str">
        <f t="shared" ca="1" si="9"/>
        <v/>
      </c>
      <c r="BB13" s="44" t="str">
        <f t="shared" ca="1" si="9"/>
        <v/>
      </c>
      <c r="BC13" s="44" t="str">
        <f t="shared" ca="1" si="9"/>
        <v/>
      </c>
      <c r="BD13" s="44" t="str">
        <f t="shared" ca="1" si="9"/>
        <v/>
      </c>
      <c r="BE13" s="44" t="str">
        <f t="shared" ca="1" si="9"/>
        <v/>
      </c>
      <c r="BF13" s="44" t="str">
        <f t="shared" ca="1" si="9"/>
        <v/>
      </c>
      <c r="BG13" s="44" t="str">
        <f t="shared" ca="1" si="9"/>
        <v/>
      </c>
      <c r="BH13" s="44" t="str">
        <f t="shared" ca="1" si="9"/>
        <v/>
      </c>
      <c r="BI13" s="44" t="str">
        <f t="shared" ca="1" si="9"/>
        <v/>
      </c>
      <c r="BJ13" s="44" t="str">
        <f t="shared" ca="1" si="9"/>
        <v/>
      </c>
      <c r="BK13" s="44" t="str">
        <f t="shared" ca="1" si="9"/>
        <v/>
      </c>
      <c r="BL13" s="44" t="str">
        <f t="shared" ca="1" si="9"/>
        <v/>
      </c>
      <c r="BM13" s="44"/>
    </row>
    <row r="14" spans="1:65" s="1" customFormat="1" ht="18" customHeight="1" x14ac:dyDescent="0.25">
      <c r="A14" s="144"/>
      <c r="B14" s="64" t="s">
        <v>26</v>
      </c>
      <c r="C14" s="55"/>
      <c r="D14" s="56" t="s">
        <v>27</v>
      </c>
      <c r="E14" s="57"/>
      <c r="F14" s="70">
        <f>Plan_Weihnachten[[#This Row],[Ende]]-Plan_Weihnachten[[#This Row],[Dauer
in Tage]]</f>
        <v>46648</v>
      </c>
      <c r="G14" s="71">
        <v>52</v>
      </c>
      <c r="H14" s="72">
        <f>H23</f>
        <v>46700</v>
      </c>
      <c r="I14" s="44" t="str">
        <f t="shared" ca="1" si="6"/>
        <v/>
      </c>
      <c r="J14" s="44" t="str">
        <f t="shared" ca="1" si="6"/>
        <v/>
      </c>
      <c r="K14" s="44" t="str">
        <f t="shared" ca="1" si="6"/>
        <v/>
      </c>
      <c r="L14" s="44" t="str">
        <f t="shared" ca="1" si="6"/>
        <v/>
      </c>
      <c r="M14" s="44" t="str">
        <f t="shared" ca="1" si="6"/>
        <v/>
      </c>
      <c r="N14" s="44" t="str">
        <f t="shared" ca="1" si="6"/>
        <v/>
      </c>
      <c r="O14" s="44" t="str">
        <f t="shared" ca="1" si="6"/>
        <v/>
      </c>
      <c r="P14" s="44" t="str">
        <f t="shared" ca="1" si="6"/>
        <v/>
      </c>
      <c r="Q14" s="44" t="str">
        <f t="shared" ca="1" si="6"/>
        <v/>
      </c>
      <c r="R14" s="44" t="str">
        <f t="shared" ca="1" si="6"/>
        <v/>
      </c>
      <c r="S14" s="44" t="str">
        <f t="shared" ca="1" si="6"/>
        <v/>
      </c>
      <c r="T14" s="44" t="str">
        <f t="shared" ca="1" si="6"/>
        <v/>
      </c>
      <c r="U14" s="44" t="str">
        <f t="shared" ca="1" si="6"/>
        <v/>
      </c>
      <c r="V14" s="44" t="str">
        <f t="shared" ca="1" si="6"/>
        <v/>
      </c>
      <c r="W14" s="44" t="str">
        <f t="shared" ca="1" si="8"/>
        <v/>
      </c>
      <c r="X14" s="44" t="str">
        <f t="shared" ca="1" si="9"/>
        <v/>
      </c>
      <c r="Y14" s="44" t="str">
        <f t="shared" ca="1" si="9"/>
        <v/>
      </c>
      <c r="Z14" s="44" t="str">
        <f t="shared" ca="1" si="9"/>
        <v/>
      </c>
      <c r="AA14" s="44" t="str">
        <f t="shared" ca="1" si="9"/>
        <v/>
      </c>
      <c r="AB14" s="44" t="str">
        <f t="shared" ca="1" si="9"/>
        <v/>
      </c>
      <c r="AC14" s="44" t="str">
        <f t="shared" ca="1" si="9"/>
        <v/>
      </c>
      <c r="AD14" s="44" t="str">
        <f t="shared" ca="1" si="9"/>
        <v/>
      </c>
      <c r="AE14" s="44" t="str">
        <f t="shared" ca="1" si="9"/>
        <v/>
      </c>
      <c r="AF14" s="44" t="str">
        <f t="shared" ca="1" si="9"/>
        <v/>
      </c>
      <c r="AG14" s="44" t="str">
        <f t="shared" ca="1" si="9"/>
        <v/>
      </c>
      <c r="AH14" s="44" t="str">
        <f t="shared" ca="1" si="9"/>
        <v/>
      </c>
      <c r="AI14" s="44" t="str">
        <f t="shared" ca="1" si="9"/>
        <v/>
      </c>
      <c r="AJ14" s="44" t="str">
        <f t="shared" ca="1" si="9"/>
        <v/>
      </c>
      <c r="AK14" s="44" t="str">
        <f t="shared" ca="1" si="9"/>
        <v/>
      </c>
      <c r="AL14" s="44" t="str">
        <f t="shared" ca="1" si="9"/>
        <v/>
      </c>
      <c r="AM14" s="44" t="str">
        <f t="shared" ca="1" si="9"/>
        <v/>
      </c>
      <c r="AN14" s="44" t="str">
        <f t="shared" ca="1" si="9"/>
        <v/>
      </c>
      <c r="AO14" s="44" t="str">
        <f t="shared" ca="1" si="9"/>
        <v/>
      </c>
      <c r="AP14" s="44" t="str">
        <f t="shared" ca="1" si="9"/>
        <v/>
      </c>
      <c r="AQ14" s="44" t="str">
        <f t="shared" ca="1" si="9"/>
        <v/>
      </c>
      <c r="AR14" s="44" t="str">
        <f t="shared" ca="1" si="9"/>
        <v/>
      </c>
      <c r="AS14" s="44" t="str">
        <f t="shared" ca="1" si="9"/>
        <v/>
      </c>
      <c r="AT14" s="44" t="str">
        <f t="shared" ca="1" si="9"/>
        <v/>
      </c>
      <c r="AU14" s="44" t="str">
        <f t="shared" ca="1" si="9"/>
        <v/>
      </c>
      <c r="AV14" s="44" t="str">
        <f t="shared" ca="1" si="9"/>
        <v/>
      </c>
      <c r="AW14" s="44" t="str">
        <f t="shared" ca="1" si="9"/>
        <v/>
      </c>
      <c r="AX14" s="44" t="str">
        <f t="shared" ca="1" si="9"/>
        <v/>
      </c>
      <c r="AY14" s="44" t="str">
        <f t="shared" ca="1" si="9"/>
        <v/>
      </c>
      <c r="AZ14" s="44" t="str">
        <f t="shared" ca="1" si="9"/>
        <v/>
      </c>
      <c r="BA14" s="44" t="str">
        <f t="shared" ca="1" si="9"/>
        <v/>
      </c>
      <c r="BB14" s="44" t="str">
        <f t="shared" ca="1" si="9"/>
        <v/>
      </c>
      <c r="BC14" s="44" t="str">
        <f t="shared" ca="1" si="9"/>
        <v/>
      </c>
      <c r="BD14" s="44" t="str">
        <f t="shared" ca="1" si="9"/>
        <v/>
      </c>
      <c r="BE14" s="44" t="str">
        <f t="shared" ca="1" si="9"/>
        <v/>
      </c>
      <c r="BF14" s="44" t="str">
        <f t="shared" ca="1" si="9"/>
        <v/>
      </c>
      <c r="BG14" s="44" t="str">
        <f t="shared" ca="1" si="9"/>
        <v/>
      </c>
      <c r="BH14" s="44" t="str">
        <f t="shared" ca="1" si="9"/>
        <v/>
      </c>
      <c r="BI14" s="44" t="str">
        <f t="shared" ca="1" si="9"/>
        <v/>
      </c>
      <c r="BJ14" s="44" t="str">
        <f t="shared" ca="1" si="9"/>
        <v/>
      </c>
      <c r="BK14" s="44" t="str">
        <f t="shared" ca="1" si="9"/>
        <v/>
      </c>
      <c r="BL14" s="44" t="str">
        <f t="shared" ca="1" si="9"/>
        <v/>
      </c>
      <c r="BM14" s="44"/>
    </row>
    <row r="15" spans="1:65" s="1" customFormat="1" ht="18" customHeight="1" x14ac:dyDescent="0.25">
      <c r="A15" s="144"/>
      <c r="B15" s="77" t="s">
        <v>28</v>
      </c>
      <c r="C15" s="89" t="s">
        <v>9</v>
      </c>
      <c r="D15" s="78"/>
      <c r="E15" s="79"/>
      <c r="F15" s="80"/>
      <c r="G15" s="81"/>
      <c r="H15" s="82">
        <f>H24</f>
        <v>46700</v>
      </c>
      <c r="I15" s="83" t="str">
        <f t="shared" ca="1" si="6"/>
        <v/>
      </c>
      <c r="J15" s="83" t="str">
        <f t="shared" ca="1" si="6"/>
        <v/>
      </c>
      <c r="K15" s="83" t="str">
        <f t="shared" ca="1" si="6"/>
        <v/>
      </c>
      <c r="L15" s="83" t="str">
        <f t="shared" ca="1" si="6"/>
        <v/>
      </c>
      <c r="M15" s="83" t="str">
        <f t="shared" ca="1" si="6"/>
        <v/>
      </c>
      <c r="N15" s="83" t="str">
        <f t="shared" ca="1" si="6"/>
        <v/>
      </c>
      <c r="O15" s="83" t="str">
        <f t="shared" ca="1" si="6"/>
        <v/>
      </c>
      <c r="P15" s="83" t="str">
        <f t="shared" ca="1" si="6"/>
        <v/>
      </c>
      <c r="Q15" s="83" t="str">
        <f t="shared" ca="1" si="6"/>
        <v/>
      </c>
      <c r="R15" s="83" t="str">
        <f t="shared" ca="1" si="6"/>
        <v/>
      </c>
      <c r="S15" s="83" t="str">
        <f t="shared" ca="1" si="6"/>
        <v/>
      </c>
      <c r="T15" s="83" t="str">
        <f t="shared" ca="1" si="6"/>
        <v/>
      </c>
      <c r="U15" s="83" t="str">
        <f t="shared" ca="1" si="6"/>
        <v/>
      </c>
      <c r="V15" s="83" t="str">
        <f t="shared" ca="1" si="6"/>
        <v/>
      </c>
      <c r="W15" s="83" t="str">
        <f t="shared" ca="1" si="8"/>
        <v/>
      </c>
      <c r="X15" s="83" t="str">
        <f t="shared" ca="1" si="9"/>
        <v/>
      </c>
      <c r="Y15" s="83" t="str">
        <f t="shared" ca="1" si="9"/>
        <v/>
      </c>
      <c r="Z15" s="83" t="str">
        <f t="shared" ca="1" si="9"/>
        <v/>
      </c>
      <c r="AA15" s="83" t="str">
        <f t="shared" ca="1" si="9"/>
        <v/>
      </c>
      <c r="AB15" s="83" t="str">
        <f t="shared" ca="1" si="9"/>
        <v/>
      </c>
      <c r="AC15" s="83" t="str">
        <f t="shared" ca="1" si="9"/>
        <v/>
      </c>
      <c r="AD15" s="83" t="str">
        <f t="shared" ca="1" si="9"/>
        <v/>
      </c>
      <c r="AE15" s="83" t="str">
        <f t="shared" ca="1" si="9"/>
        <v/>
      </c>
      <c r="AF15" s="83" t="str">
        <f t="shared" ca="1" si="9"/>
        <v/>
      </c>
      <c r="AG15" s="83" t="str">
        <f t="shared" ca="1" si="9"/>
        <v/>
      </c>
      <c r="AH15" s="83" t="str">
        <f t="shared" ca="1" si="9"/>
        <v/>
      </c>
      <c r="AI15" s="83" t="str">
        <f t="shared" ca="1" si="9"/>
        <v/>
      </c>
      <c r="AJ15" s="83" t="str">
        <f t="shared" ca="1" si="9"/>
        <v/>
      </c>
      <c r="AK15" s="83" t="str">
        <f t="shared" ca="1" si="9"/>
        <v/>
      </c>
      <c r="AL15" s="83" t="str">
        <f t="shared" ca="1" si="9"/>
        <v/>
      </c>
      <c r="AM15" s="83" t="str">
        <f t="shared" ca="1" si="9"/>
        <v/>
      </c>
      <c r="AN15" s="83" t="str">
        <f t="shared" ca="1" si="9"/>
        <v/>
      </c>
      <c r="AO15" s="83" t="str">
        <f t="shared" ca="1" si="9"/>
        <v/>
      </c>
      <c r="AP15" s="83" t="str">
        <f t="shared" ca="1" si="9"/>
        <v/>
      </c>
      <c r="AQ15" s="83" t="str">
        <f t="shared" ca="1" si="9"/>
        <v/>
      </c>
      <c r="AR15" s="83" t="str">
        <f t="shared" ca="1" si="9"/>
        <v/>
      </c>
      <c r="AS15" s="83" t="str">
        <f t="shared" ca="1" si="9"/>
        <v/>
      </c>
      <c r="AT15" s="83" t="str">
        <f t="shared" ca="1" si="9"/>
        <v/>
      </c>
      <c r="AU15" s="83" t="str">
        <f t="shared" ca="1" si="9"/>
        <v/>
      </c>
      <c r="AV15" s="83" t="str">
        <f t="shared" ca="1" si="9"/>
        <v/>
      </c>
      <c r="AW15" s="83" t="str">
        <f t="shared" ca="1" si="9"/>
        <v/>
      </c>
      <c r="AX15" s="83" t="str">
        <f t="shared" ca="1" si="9"/>
        <v/>
      </c>
      <c r="AY15" s="83" t="str">
        <f t="shared" ca="1" si="9"/>
        <v/>
      </c>
      <c r="AZ15" s="83" t="str">
        <f t="shared" ca="1" si="9"/>
        <v/>
      </c>
      <c r="BA15" s="83" t="str">
        <f t="shared" ca="1" si="9"/>
        <v/>
      </c>
      <c r="BB15" s="83" t="str">
        <f t="shared" ca="1" si="9"/>
        <v/>
      </c>
      <c r="BC15" s="83" t="str">
        <f t="shared" ca="1" si="9"/>
        <v/>
      </c>
      <c r="BD15" s="83" t="str">
        <f t="shared" ca="1" si="9"/>
        <v/>
      </c>
      <c r="BE15" s="83" t="str">
        <f t="shared" ca="1" si="9"/>
        <v/>
      </c>
      <c r="BF15" s="83" t="str">
        <f t="shared" ca="1" si="9"/>
        <v/>
      </c>
      <c r="BG15" s="83" t="str">
        <f t="shared" ca="1" si="9"/>
        <v/>
      </c>
      <c r="BH15" s="83" t="str">
        <f t="shared" ca="1" si="9"/>
        <v/>
      </c>
      <c r="BI15" s="83" t="str">
        <f t="shared" ca="1" si="9"/>
        <v/>
      </c>
      <c r="BJ15" s="83" t="str">
        <f t="shared" ca="1" si="9"/>
        <v/>
      </c>
      <c r="BK15" s="83" t="str">
        <f t="shared" ca="1" si="9"/>
        <v/>
      </c>
      <c r="BL15" s="83" t="str">
        <f t="shared" ca="1" si="9"/>
        <v/>
      </c>
      <c r="BM15" s="83"/>
    </row>
    <row r="16" spans="1:65" s="1" customFormat="1" ht="18" customHeight="1" x14ac:dyDescent="0.25">
      <c r="A16" s="150" t="s">
        <v>29</v>
      </c>
      <c r="B16" s="65" t="s">
        <v>30</v>
      </c>
      <c r="C16" s="55"/>
      <c r="D16" s="63"/>
      <c r="E16" s="57"/>
      <c r="F16" s="70"/>
      <c r="G16" s="71"/>
      <c r="H16" s="72"/>
      <c r="I16" s="68" t="str">
        <f t="shared" ca="1" si="6"/>
        <v/>
      </c>
      <c r="J16" s="68" t="str">
        <f t="shared" ca="1" si="6"/>
        <v/>
      </c>
      <c r="K16" s="68" t="str">
        <f t="shared" ca="1" si="6"/>
        <v/>
      </c>
      <c r="L16" s="68" t="str">
        <f t="shared" ca="1" si="6"/>
        <v/>
      </c>
      <c r="M16" s="68" t="str">
        <f t="shared" ca="1" si="6"/>
        <v/>
      </c>
      <c r="N16" s="68" t="str">
        <f t="shared" ca="1" si="6"/>
        <v/>
      </c>
      <c r="O16" s="68" t="str">
        <f t="shared" ca="1" si="6"/>
        <v/>
      </c>
      <c r="P16" s="68" t="str">
        <f t="shared" ca="1" si="6"/>
        <v/>
      </c>
      <c r="Q16" s="68" t="str">
        <f t="shared" ca="1" si="6"/>
        <v/>
      </c>
      <c r="R16" s="68" t="str">
        <f t="shared" ca="1" si="6"/>
        <v/>
      </c>
      <c r="S16" s="68" t="str">
        <f t="shared" ca="1" si="6"/>
        <v/>
      </c>
      <c r="T16" s="68" t="str">
        <f t="shared" ca="1" si="6"/>
        <v/>
      </c>
      <c r="U16" s="68" t="str">
        <f t="shared" ca="1" si="6"/>
        <v/>
      </c>
      <c r="V16" s="68" t="str">
        <f t="shared" ca="1" si="6"/>
        <v/>
      </c>
      <c r="W16" s="68" t="str">
        <f t="shared" ca="1" si="8"/>
        <v/>
      </c>
      <c r="X16" s="68" t="str">
        <f t="shared" ca="1" si="9"/>
        <v/>
      </c>
      <c r="Y16" s="68" t="str">
        <f t="shared" ca="1" si="9"/>
        <v/>
      </c>
      <c r="Z16" s="68" t="str">
        <f t="shared" ca="1" si="9"/>
        <v/>
      </c>
      <c r="AA16" s="68" t="str">
        <f t="shared" ca="1" si="9"/>
        <v/>
      </c>
      <c r="AB16" s="68" t="str">
        <f t="shared" ca="1" si="9"/>
        <v/>
      </c>
      <c r="AC16" s="68" t="str">
        <f t="shared" ca="1" si="9"/>
        <v/>
      </c>
      <c r="AD16" s="68" t="str">
        <f t="shared" ca="1" si="9"/>
        <v/>
      </c>
      <c r="AE16" s="68" t="str">
        <f t="shared" ca="1" si="9"/>
        <v/>
      </c>
      <c r="AF16" s="68" t="str">
        <f t="shared" ca="1" si="9"/>
        <v/>
      </c>
      <c r="AG16" s="68" t="str">
        <f t="shared" ca="1" si="9"/>
        <v/>
      </c>
      <c r="AH16" s="68" t="str">
        <f t="shared" ca="1" si="9"/>
        <v/>
      </c>
      <c r="AI16" s="68" t="str">
        <f t="shared" ca="1" si="9"/>
        <v/>
      </c>
      <c r="AJ16" s="68" t="str">
        <f t="shared" ca="1" si="9"/>
        <v/>
      </c>
      <c r="AK16" s="68" t="str">
        <f t="shared" ca="1" si="9"/>
        <v/>
      </c>
      <c r="AL16" s="68" t="str">
        <f t="shared" ca="1" si="9"/>
        <v/>
      </c>
      <c r="AM16" s="68" t="str">
        <f t="shared" ca="1" si="9"/>
        <v/>
      </c>
      <c r="AN16" s="68" t="str">
        <f t="shared" ca="1" si="9"/>
        <v/>
      </c>
      <c r="AO16" s="68" t="str">
        <f t="shared" ca="1" si="9"/>
        <v/>
      </c>
      <c r="AP16" s="68" t="str">
        <f t="shared" ca="1" si="9"/>
        <v/>
      </c>
      <c r="AQ16" s="68" t="str">
        <f t="shared" ca="1" si="9"/>
        <v/>
      </c>
      <c r="AR16" s="68" t="str">
        <f t="shared" ca="1" si="9"/>
        <v/>
      </c>
      <c r="AS16" s="68" t="str">
        <f t="shared" ca="1" si="9"/>
        <v/>
      </c>
      <c r="AT16" s="68" t="str">
        <f t="shared" ca="1" si="9"/>
        <v/>
      </c>
      <c r="AU16" s="68" t="str">
        <f t="shared" ca="1" si="9"/>
        <v/>
      </c>
      <c r="AV16" s="68" t="str">
        <f t="shared" ca="1" si="9"/>
        <v/>
      </c>
      <c r="AW16" s="68" t="str">
        <f t="shared" ca="1" si="9"/>
        <v/>
      </c>
      <c r="AX16" s="68" t="str">
        <f t="shared" ca="1" si="9"/>
        <v/>
      </c>
      <c r="AY16" s="68" t="str">
        <f t="shared" ca="1" si="9"/>
        <v/>
      </c>
      <c r="AZ16" s="68" t="str">
        <f t="shared" ca="1" si="9"/>
        <v/>
      </c>
      <c r="BA16" s="68" t="str">
        <f t="shared" ca="1" si="9"/>
        <v/>
      </c>
      <c r="BB16" s="68" t="str">
        <f t="shared" ca="1" si="9"/>
        <v/>
      </c>
      <c r="BC16" s="68" t="str">
        <f t="shared" ca="1" si="9"/>
        <v/>
      </c>
      <c r="BD16" s="68" t="str">
        <f t="shared" ca="1" si="9"/>
        <v/>
      </c>
      <c r="BE16" s="68" t="str">
        <f t="shared" ca="1" si="9"/>
        <v/>
      </c>
      <c r="BF16" s="68" t="str">
        <f t="shared" ca="1" si="9"/>
        <v/>
      </c>
      <c r="BG16" s="68" t="str">
        <f t="shared" ca="1" si="9"/>
        <v/>
      </c>
      <c r="BH16" s="68" t="str">
        <f t="shared" ca="1" si="9"/>
        <v/>
      </c>
      <c r="BI16" s="68" t="str">
        <f t="shared" ca="1" si="9"/>
        <v/>
      </c>
      <c r="BJ16" s="68" t="str">
        <f t="shared" ca="1" si="9"/>
        <v/>
      </c>
      <c r="BK16" s="68" t="str">
        <f t="shared" ca="1" si="9"/>
        <v/>
      </c>
      <c r="BL16" s="68" t="str">
        <f t="shared" ca="1" si="9"/>
        <v/>
      </c>
      <c r="BM16" s="68"/>
    </row>
    <row r="17" spans="1:65" s="1" customFormat="1" ht="18" customHeight="1" x14ac:dyDescent="0.25">
      <c r="A17" s="150"/>
      <c r="B17" s="64" t="s">
        <v>31</v>
      </c>
      <c r="C17" s="55"/>
      <c r="D17" s="63"/>
      <c r="E17" s="57"/>
      <c r="F17" s="70">
        <f>Plan_Weihnachten[[#This Row],[Ende]]-Plan_Weihnachten[[#This Row],[Dauer
in Tage]]</f>
        <v>46659</v>
      </c>
      <c r="G17" s="71">
        <v>1</v>
      </c>
      <c r="H17" s="72">
        <f>F18</f>
        <v>46660</v>
      </c>
      <c r="I17" s="44" t="str">
        <f t="shared" ca="1" si="6"/>
        <v/>
      </c>
      <c r="J17" s="44" t="str">
        <f t="shared" ca="1" si="6"/>
        <v/>
      </c>
      <c r="K17" s="44" t="str">
        <f t="shared" ca="1" si="6"/>
        <v/>
      </c>
      <c r="L17" s="44" t="str">
        <f t="shared" ca="1" si="6"/>
        <v/>
      </c>
      <c r="M17" s="44" t="str">
        <f t="shared" ca="1" si="6"/>
        <v/>
      </c>
      <c r="N17" s="44" t="str">
        <f t="shared" ca="1" si="6"/>
        <v/>
      </c>
      <c r="O17" s="44" t="str">
        <f t="shared" ca="1" si="6"/>
        <v/>
      </c>
      <c r="P17" s="44" t="str">
        <f t="shared" ca="1" si="6"/>
        <v/>
      </c>
      <c r="Q17" s="44" t="str">
        <f t="shared" ca="1" si="6"/>
        <v/>
      </c>
      <c r="R17" s="44" t="str">
        <f t="shared" ca="1" si="6"/>
        <v/>
      </c>
      <c r="S17" s="44" t="str">
        <f t="shared" ca="1" si="6"/>
        <v/>
      </c>
      <c r="T17" s="44" t="str">
        <f t="shared" ca="1" si="6"/>
        <v/>
      </c>
      <c r="U17" s="44" t="str">
        <f t="shared" ca="1" si="6"/>
        <v/>
      </c>
      <c r="V17" s="44" t="str">
        <f t="shared" ca="1" si="6"/>
        <v/>
      </c>
      <c r="W17" s="44" t="str">
        <f t="shared" ca="1" si="8"/>
        <v/>
      </c>
      <c r="X17" s="44" t="str">
        <f t="shared" ca="1" si="9"/>
        <v/>
      </c>
      <c r="Y17" s="44" t="str">
        <f t="shared" ca="1" si="9"/>
        <v/>
      </c>
      <c r="Z17" s="44" t="str">
        <f t="shared" ca="1" si="9"/>
        <v/>
      </c>
      <c r="AA17" s="44" t="str">
        <f t="shared" ca="1" si="9"/>
        <v/>
      </c>
      <c r="AB17" s="44" t="str">
        <f t="shared" ca="1" si="9"/>
        <v/>
      </c>
      <c r="AC17" s="44" t="str">
        <f t="shared" ca="1" si="9"/>
        <v/>
      </c>
      <c r="AD17" s="44" t="str">
        <f t="shared" ca="1" si="9"/>
        <v/>
      </c>
      <c r="AE17" s="44" t="str">
        <f t="shared" ca="1" si="9"/>
        <v/>
      </c>
      <c r="AF17" s="44" t="str">
        <f t="shared" ca="1" si="9"/>
        <v/>
      </c>
      <c r="AG17" s="44" t="str">
        <f t="shared" ca="1" si="9"/>
        <v/>
      </c>
      <c r="AH17" s="44" t="str">
        <f t="shared" ca="1" si="9"/>
        <v/>
      </c>
      <c r="AI17" s="44" t="str">
        <f t="shared" ca="1" si="9"/>
        <v/>
      </c>
      <c r="AJ17" s="44" t="str">
        <f t="shared" ca="1" si="9"/>
        <v/>
      </c>
      <c r="AK17" s="44" t="str">
        <f t="shared" ca="1" si="9"/>
        <v/>
      </c>
      <c r="AL17" s="44" t="str">
        <f t="shared" ca="1" si="9"/>
        <v/>
      </c>
      <c r="AM17" s="44" t="str">
        <f t="shared" ca="1" si="9"/>
        <v/>
      </c>
      <c r="AN17" s="44" t="str">
        <f t="shared" ca="1" si="9"/>
        <v/>
      </c>
      <c r="AO17" s="44" t="str">
        <f t="shared" ca="1" si="9"/>
        <v/>
      </c>
      <c r="AP17" s="44" t="str">
        <f t="shared" ca="1" si="9"/>
        <v/>
      </c>
      <c r="AQ17" s="44" t="str">
        <f t="shared" ca="1" si="9"/>
        <v/>
      </c>
      <c r="AR17" s="44" t="str">
        <f t="shared" ca="1" si="9"/>
        <v/>
      </c>
      <c r="AS17" s="44" t="str">
        <f t="shared" ca="1" si="9"/>
        <v/>
      </c>
      <c r="AT17" s="44" t="str">
        <f t="shared" ca="1" si="9"/>
        <v/>
      </c>
      <c r="AU17" s="44" t="str">
        <f t="shared" ca="1" si="9"/>
        <v/>
      </c>
      <c r="AV17" s="44" t="str">
        <f t="shared" ca="1" si="9"/>
        <v/>
      </c>
      <c r="AW17" s="44" t="str">
        <f t="shared" ca="1" si="9"/>
        <v/>
      </c>
      <c r="AX17" s="44" t="str">
        <f t="shared" ca="1" si="9"/>
        <v/>
      </c>
      <c r="AY17" s="44" t="str">
        <f t="shared" ca="1" si="9"/>
        <v/>
      </c>
      <c r="AZ17" s="44" t="str">
        <f t="shared" ca="1" si="9"/>
        <v/>
      </c>
      <c r="BA17" s="44" t="str">
        <f t="shared" ca="1" si="9"/>
        <v/>
      </c>
      <c r="BB17" s="44" t="str">
        <f t="shared" ca="1" si="9"/>
        <v/>
      </c>
      <c r="BC17" s="44" t="str">
        <f t="shared" ca="1" si="9"/>
        <v/>
      </c>
      <c r="BD17" s="44" t="str">
        <f t="shared" ca="1" si="9"/>
        <v/>
      </c>
      <c r="BE17" s="44" t="str">
        <f t="shared" ca="1" si="9"/>
        <v/>
      </c>
      <c r="BF17" s="44" t="str">
        <f t="shared" ca="1" si="9"/>
        <v/>
      </c>
      <c r="BG17" s="44" t="str">
        <f t="shared" ca="1" si="9"/>
        <v/>
      </c>
      <c r="BH17" s="44" t="str">
        <f t="shared" ca="1" si="9"/>
        <v/>
      </c>
      <c r="BI17" s="44" t="str">
        <f t="shared" ca="1" si="9"/>
        <v/>
      </c>
      <c r="BJ17" s="44" t="str">
        <f t="shared" ca="1" si="9"/>
        <v/>
      </c>
      <c r="BK17" s="44" t="str">
        <f t="shared" ca="1" si="9"/>
        <v/>
      </c>
      <c r="BL17" s="44" t="str">
        <f t="shared" ca="1" si="9"/>
        <v/>
      </c>
      <c r="BM17" s="44"/>
    </row>
    <row r="18" spans="1:65" s="1" customFormat="1" ht="18" customHeight="1" x14ac:dyDescent="0.25">
      <c r="A18" s="150"/>
      <c r="B18" s="64" t="s">
        <v>32</v>
      </c>
      <c r="C18" s="55"/>
      <c r="D18" s="56"/>
      <c r="E18" s="57"/>
      <c r="F18" s="70">
        <f>Plan_Weihnachten[[#This Row],[Ende]]-Plan_Weihnachten[[#This Row],[Dauer
in Tage]]</f>
        <v>46660</v>
      </c>
      <c r="G18" s="71">
        <v>7</v>
      </c>
      <c r="H18" s="72">
        <f>F21</f>
        <v>46667</v>
      </c>
      <c r="I18" s="44" t="str">
        <f t="shared" ca="1" si="6"/>
        <v/>
      </c>
      <c r="J18" s="44" t="str">
        <f t="shared" ca="1" si="6"/>
        <v/>
      </c>
      <c r="K18" s="44" t="str">
        <f t="shared" ca="1" si="6"/>
        <v/>
      </c>
      <c r="L18" s="44" t="str">
        <f t="shared" ca="1" si="6"/>
        <v/>
      </c>
      <c r="M18" s="44" t="str">
        <f t="shared" ca="1" si="6"/>
        <v/>
      </c>
      <c r="N18" s="44" t="str">
        <f t="shared" ca="1" si="6"/>
        <v/>
      </c>
      <c r="O18" s="44" t="str">
        <f t="shared" ca="1" si="6"/>
        <v/>
      </c>
      <c r="P18" s="44" t="str">
        <f t="shared" ca="1" si="6"/>
        <v/>
      </c>
      <c r="Q18" s="44" t="str">
        <f t="shared" ca="1" si="6"/>
        <v/>
      </c>
      <c r="R18" s="44" t="str">
        <f t="shared" ca="1" si="6"/>
        <v/>
      </c>
      <c r="S18" s="44" t="str">
        <f t="shared" ca="1" si="6"/>
        <v/>
      </c>
      <c r="T18" s="44" t="str">
        <f t="shared" ca="1" si="6"/>
        <v/>
      </c>
      <c r="U18" s="44" t="str">
        <f t="shared" ca="1" si="6"/>
        <v/>
      </c>
      <c r="V18" s="44" t="str">
        <f t="shared" ca="1" si="6"/>
        <v/>
      </c>
      <c r="W18" s="44" t="str">
        <f t="shared" ca="1" si="8"/>
        <v/>
      </c>
      <c r="X18" s="44" t="str">
        <f t="shared" ca="1" si="9"/>
        <v/>
      </c>
      <c r="Y18" s="44" t="str">
        <f t="shared" ca="1" si="9"/>
        <v/>
      </c>
      <c r="Z18" s="44" t="str">
        <f t="shared" ca="1" si="9"/>
        <v/>
      </c>
      <c r="AA18" s="44" t="str">
        <f t="shared" ca="1" si="9"/>
        <v/>
      </c>
      <c r="AB18" s="44" t="str">
        <f t="shared" ref="X18:BL24" ca="1" si="10">IF(AND($C18="Ziel",$H18=AB$7),2,IF(AND($C18="Meilenstein",$H18=AB$7),1,""))</f>
        <v/>
      </c>
      <c r="AC18" s="44" t="str">
        <f t="shared" ca="1" si="10"/>
        <v/>
      </c>
      <c r="AD18" s="44" t="str">
        <f t="shared" ca="1" si="10"/>
        <v/>
      </c>
      <c r="AE18" s="44" t="str">
        <f t="shared" ca="1" si="10"/>
        <v/>
      </c>
      <c r="AF18" s="44" t="str">
        <f t="shared" ca="1" si="10"/>
        <v/>
      </c>
      <c r="AG18" s="44" t="str">
        <f t="shared" ca="1" si="10"/>
        <v/>
      </c>
      <c r="AH18" s="44" t="str">
        <f t="shared" ca="1" si="10"/>
        <v/>
      </c>
      <c r="AI18" s="44" t="str">
        <f t="shared" ca="1" si="10"/>
        <v/>
      </c>
      <c r="AJ18" s="44" t="str">
        <f t="shared" ca="1" si="10"/>
        <v/>
      </c>
      <c r="AK18" s="44" t="str">
        <f t="shared" ca="1" si="10"/>
        <v/>
      </c>
      <c r="AL18" s="44" t="str">
        <f t="shared" ca="1" si="10"/>
        <v/>
      </c>
      <c r="AM18" s="44" t="str">
        <f t="shared" ca="1" si="10"/>
        <v/>
      </c>
      <c r="AN18" s="44" t="str">
        <f t="shared" ca="1" si="10"/>
        <v/>
      </c>
      <c r="AO18" s="44" t="str">
        <f t="shared" ca="1" si="10"/>
        <v/>
      </c>
      <c r="AP18" s="44" t="str">
        <f t="shared" ca="1" si="10"/>
        <v/>
      </c>
      <c r="AQ18" s="44" t="str">
        <f t="shared" ca="1" si="10"/>
        <v/>
      </c>
      <c r="AR18" s="44" t="str">
        <f t="shared" ca="1" si="10"/>
        <v/>
      </c>
      <c r="AS18" s="44" t="str">
        <f t="shared" ca="1" si="10"/>
        <v/>
      </c>
      <c r="AT18" s="44" t="str">
        <f t="shared" ca="1" si="10"/>
        <v/>
      </c>
      <c r="AU18" s="44" t="str">
        <f t="shared" ca="1" si="10"/>
        <v/>
      </c>
      <c r="AV18" s="44" t="str">
        <f t="shared" ca="1" si="10"/>
        <v/>
      </c>
      <c r="AW18" s="44" t="str">
        <f t="shared" ca="1" si="10"/>
        <v/>
      </c>
      <c r="AX18" s="44" t="str">
        <f t="shared" ca="1" si="10"/>
        <v/>
      </c>
      <c r="AY18" s="44" t="str">
        <f t="shared" ca="1" si="10"/>
        <v/>
      </c>
      <c r="AZ18" s="44" t="str">
        <f t="shared" ca="1" si="10"/>
        <v/>
      </c>
      <c r="BA18" s="44" t="str">
        <f t="shared" ca="1" si="10"/>
        <v/>
      </c>
      <c r="BB18" s="44" t="str">
        <f t="shared" ca="1" si="10"/>
        <v/>
      </c>
      <c r="BC18" s="44" t="str">
        <f t="shared" ca="1" si="10"/>
        <v/>
      </c>
      <c r="BD18" s="44" t="str">
        <f t="shared" ca="1" si="10"/>
        <v/>
      </c>
      <c r="BE18" s="44" t="str">
        <f t="shared" ca="1" si="10"/>
        <v/>
      </c>
      <c r="BF18" s="44" t="str">
        <f t="shared" ca="1" si="10"/>
        <v/>
      </c>
      <c r="BG18" s="44" t="str">
        <f t="shared" ca="1" si="10"/>
        <v/>
      </c>
      <c r="BH18" s="44" t="str">
        <f t="shared" ca="1" si="10"/>
        <v/>
      </c>
      <c r="BI18" s="44" t="str">
        <f t="shared" ca="1" si="10"/>
        <v/>
      </c>
      <c r="BJ18" s="44" t="str">
        <f t="shared" ca="1" si="10"/>
        <v/>
      </c>
      <c r="BK18" s="44" t="str">
        <f t="shared" ca="1" si="10"/>
        <v/>
      </c>
      <c r="BL18" s="44" t="str">
        <f t="shared" ca="1" si="10"/>
        <v/>
      </c>
      <c r="BM18" s="44"/>
    </row>
    <row r="19" spans="1:65" s="1" customFormat="1" ht="18" customHeight="1" x14ac:dyDescent="0.25">
      <c r="A19" s="150"/>
      <c r="B19" s="64" t="s">
        <v>33</v>
      </c>
      <c r="C19" s="55"/>
      <c r="D19" s="56"/>
      <c r="E19" s="57"/>
      <c r="F19" s="70">
        <f>Plan_Weihnachten[[#This Row],[Ende]]-Plan_Weihnachten[[#This Row],[Dauer
in Tage]]</f>
        <v>46660</v>
      </c>
      <c r="G19" s="71">
        <v>7</v>
      </c>
      <c r="H19" s="72">
        <f>F21</f>
        <v>46667</v>
      </c>
      <c r="I19" s="44" t="str">
        <f t="shared" ca="1" si="6"/>
        <v/>
      </c>
      <c r="J19" s="44" t="str">
        <f t="shared" ca="1" si="6"/>
        <v/>
      </c>
      <c r="K19" s="44" t="str">
        <f t="shared" ca="1" si="6"/>
        <v/>
      </c>
      <c r="L19" s="44" t="str">
        <f t="shared" ca="1" si="6"/>
        <v/>
      </c>
      <c r="M19" s="44" t="str">
        <f t="shared" ca="1" si="6"/>
        <v/>
      </c>
      <c r="N19" s="44" t="str">
        <f t="shared" ca="1" si="6"/>
        <v/>
      </c>
      <c r="O19" s="44" t="str">
        <f t="shared" ca="1" si="6"/>
        <v/>
      </c>
      <c r="P19" s="44" t="str">
        <f t="shared" ca="1" si="6"/>
        <v/>
      </c>
      <c r="Q19" s="44" t="str">
        <f t="shared" ca="1" si="6"/>
        <v/>
      </c>
      <c r="R19" s="44" t="str">
        <f t="shared" ca="1" si="6"/>
        <v/>
      </c>
      <c r="S19" s="44" t="str">
        <f t="shared" ca="1" si="6"/>
        <v/>
      </c>
      <c r="T19" s="44" t="str">
        <f t="shared" ca="1" si="6"/>
        <v/>
      </c>
      <c r="U19" s="44" t="str">
        <f t="shared" ca="1" si="6"/>
        <v/>
      </c>
      <c r="V19" s="44" t="str">
        <f t="shared" ca="1" si="6"/>
        <v/>
      </c>
      <c r="W19" s="44" t="str">
        <f t="shared" ca="1" si="8"/>
        <v/>
      </c>
      <c r="X19" s="44" t="str">
        <f t="shared" ca="1" si="10"/>
        <v/>
      </c>
      <c r="Y19" s="44" t="str">
        <f t="shared" ca="1" si="10"/>
        <v/>
      </c>
      <c r="Z19" s="44" t="str">
        <f t="shared" ca="1" si="10"/>
        <v/>
      </c>
      <c r="AA19" s="44" t="str">
        <f t="shared" ca="1" si="10"/>
        <v/>
      </c>
      <c r="AB19" s="44" t="str">
        <f t="shared" ca="1" si="10"/>
        <v/>
      </c>
      <c r="AC19" s="44" t="str">
        <f t="shared" ca="1" si="10"/>
        <v/>
      </c>
      <c r="AD19" s="44" t="str">
        <f t="shared" ca="1" si="10"/>
        <v/>
      </c>
      <c r="AE19" s="44" t="str">
        <f t="shared" ca="1" si="10"/>
        <v/>
      </c>
      <c r="AF19" s="44" t="str">
        <f t="shared" ca="1" si="10"/>
        <v/>
      </c>
      <c r="AG19" s="44" t="str">
        <f t="shared" ca="1" si="10"/>
        <v/>
      </c>
      <c r="AH19" s="44" t="str">
        <f t="shared" ca="1" si="10"/>
        <v/>
      </c>
      <c r="AI19" s="44" t="str">
        <f t="shared" ca="1" si="10"/>
        <v/>
      </c>
      <c r="AJ19" s="44" t="str">
        <f t="shared" ca="1" si="10"/>
        <v/>
      </c>
      <c r="AK19" s="44" t="str">
        <f t="shared" ca="1" si="10"/>
        <v/>
      </c>
      <c r="AL19" s="44" t="str">
        <f t="shared" ca="1" si="10"/>
        <v/>
      </c>
      <c r="AM19" s="44" t="str">
        <f t="shared" ca="1" si="10"/>
        <v/>
      </c>
      <c r="AN19" s="44" t="str">
        <f t="shared" ca="1" si="10"/>
        <v/>
      </c>
      <c r="AO19" s="44" t="str">
        <f t="shared" ca="1" si="10"/>
        <v/>
      </c>
      <c r="AP19" s="44" t="str">
        <f t="shared" ca="1" si="10"/>
        <v/>
      </c>
      <c r="AQ19" s="44" t="str">
        <f t="shared" ca="1" si="10"/>
        <v/>
      </c>
      <c r="AR19" s="44" t="str">
        <f t="shared" ca="1" si="10"/>
        <v/>
      </c>
      <c r="AS19" s="44" t="str">
        <f t="shared" ca="1" si="10"/>
        <v/>
      </c>
      <c r="AT19" s="44" t="str">
        <f t="shared" ca="1" si="10"/>
        <v/>
      </c>
      <c r="AU19" s="44" t="str">
        <f t="shared" ca="1" si="10"/>
        <v/>
      </c>
      <c r="AV19" s="44" t="str">
        <f t="shared" ca="1" si="10"/>
        <v/>
      </c>
      <c r="AW19" s="44" t="str">
        <f t="shared" ca="1" si="10"/>
        <v/>
      </c>
      <c r="AX19" s="44" t="str">
        <f t="shared" ca="1" si="10"/>
        <v/>
      </c>
      <c r="AY19" s="44" t="str">
        <f t="shared" ca="1" si="10"/>
        <v/>
      </c>
      <c r="AZ19" s="44" t="str">
        <f t="shared" ca="1" si="10"/>
        <v/>
      </c>
      <c r="BA19" s="44" t="str">
        <f t="shared" ca="1" si="10"/>
        <v/>
      </c>
      <c r="BB19" s="44" t="str">
        <f t="shared" ca="1" si="10"/>
        <v/>
      </c>
      <c r="BC19" s="44" t="str">
        <f t="shared" ca="1" si="10"/>
        <v/>
      </c>
      <c r="BD19" s="44" t="str">
        <f t="shared" ca="1" si="10"/>
        <v/>
      </c>
      <c r="BE19" s="44" t="str">
        <f t="shared" ca="1" si="10"/>
        <v/>
      </c>
      <c r="BF19" s="44" t="str">
        <f t="shared" ca="1" si="10"/>
        <v/>
      </c>
      <c r="BG19" s="44" t="str">
        <f t="shared" ca="1" si="10"/>
        <v/>
      </c>
      <c r="BH19" s="44" t="str">
        <f t="shared" ca="1" si="10"/>
        <v/>
      </c>
      <c r="BI19" s="44" t="str">
        <f t="shared" ca="1" si="10"/>
        <v/>
      </c>
      <c r="BJ19" s="44" t="str">
        <f t="shared" ca="1" si="10"/>
        <v/>
      </c>
      <c r="BK19" s="44" t="str">
        <f t="shared" ca="1" si="10"/>
        <v/>
      </c>
      <c r="BL19" s="44" t="str">
        <f t="shared" ca="1" si="10"/>
        <v/>
      </c>
      <c r="BM19" s="44"/>
    </row>
    <row r="20" spans="1:65" s="1" customFormat="1" ht="18" customHeight="1" x14ac:dyDescent="0.25">
      <c r="A20" s="150"/>
      <c r="B20" s="65" t="s">
        <v>34</v>
      </c>
      <c r="C20" s="90" t="s">
        <v>8</v>
      </c>
      <c r="D20" s="56"/>
      <c r="E20" s="57"/>
      <c r="F20" s="70"/>
      <c r="G20" s="71"/>
      <c r="H20" s="73">
        <f>F21</f>
        <v>46667</v>
      </c>
      <c r="I20" s="44" t="str">
        <f t="shared" ca="1" si="6"/>
        <v/>
      </c>
      <c r="J20" s="44" t="str">
        <f t="shared" ca="1" si="6"/>
        <v/>
      </c>
      <c r="K20" s="44" t="str">
        <f t="shared" ca="1" si="6"/>
        <v/>
      </c>
      <c r="L20" s="44" t="str">
        <f t="shared" ca="1" si="6"/>
        <v/>
      </c>
      <c r="M20" s="44" t="str">
        <f t="shared" ca="1" si="6"/>
        <v/>
      </c>
      <c r="N20" s="44" t="str">
        <f t="shared" ca="1" si="6"/>
        <v/>
      </c>
      <c r="O20" s="44" t="str">
        <f t="shared" ca="1" si="6"/>
        <v/>
      </c>
      <c r="P20" s="44" t="str">
        <f t="shared" ca="1" si="6"/>
        <v/>
      </c>
      <c r="Q20" s="44" t="str">
        <f t="shared" ca="1" si="6"/>
        <v/>
      </c>
      <c r="R20" s="44" t="str">
        <f t="shared" ca="1" si="6"/>
        <v/>
      </c>
      <c r="S20" s="44" t="str">
        <f t="shared" ca="1" si="6"/>
        <v/>
      </c>
      <c r="T20" s="44" t="str">
        <f t="shared" ca="1" si="6"/>
        <v/>
      </c>
      <c r="U20" s="44" t="str">
        <f t="shared" ca="1" si="6"/>
        <v/>
      </c>
      <c r="V20" s="44" t="str">
        <f t="shared" ca="1" si="6"/>
        <v/>
      </c>
      <c r="W20" s="44" t="str">
        <f ca="1">IF(AND($C20="Ziel",$H20=W$7),2,IF(AND($C20="Meilenstein",$H20=W$7),1,""))</f>
        <v/>
      </c>
      <c r="X20" s="44" t="str">
        <f t="shared" ca="1" si="10"/>
        <v/>
      </c>
      <c r="Y20" s="44" t="str">
        <f t="shared" ca="1" si="10"/>
        <v/>
      </c>
      <c r="Z20" s="44" t="str">
        <f t="shared" ca="1" si="10"/>
        <v/>
      </c>
      <c r="AA20" s="44" t="str">
        <f t="shared" ca="1" si="10"/>
        <v/>
      </c>
      <c r="AB20" s="44" t="str">
        <f t="shared" ca="1" si="10"/>
        <v/>
      </c>
      <c r="AC20" s="44" t="str">
        <f t="shared" ca="1" si="10"/>
        <v/>
      </c>
      <c r="AD20" s="44" t="str">
        <f t="shared" ca="1" si="10"/>
        <v/>
      </c>
      <c r="AE20" s="44" t="str">
        <f t="shared" ca="1" si="10"/>
        <v/>
      </c>
      <c r="AF20" s="44" t="str">
        <f t="shared" ca="1" si="10"/>
        <v/>
      </c>
      <c r="AG20" s="44" t="str">
        <f t="shared" ca="1" si="10"/>
        <v/>
      </c>
      <c r="AH20" s="44" t="str">
        <f t="shared" ca="1" si="10"/>
        <v/>
      </c>
      <c r="AI20" s="44">
        <f t="shared" ca="1" si="10"/>
        <v>1</v>
      </c>
      <c r="AJ20" s="44" t="str">
        <f t="shared" ca="1" si="10"/>
        <v/>
      </c>
      <c r="AK20" s="44" t="str">
        <f t="shared" ca="1" si="10"/>
        <v/>
      </c>
      <c r="AL20" s="44" t="str">
        <f t="shared" ca="1" si="10"/>
        <v/>
      </c>
      <c r="AM20" s="44" t="str">
        <f t="shared" ca="1" si="10"/>
        <v/>
      </c>
      <c r="AN20" s="44" t="str">
        <f t="shared" ca="1" si="10"/>
        <v/>
      </c>
      <c r="AO20" s="44" t="str">
        <f t="shared" ca="1" si="10"/>
        <v/>
      </c>
      <c r="AP20" s="44" t="str">
        <f t="shared" ca="1" si="10"/>
        <v/>
      </c>
      <c r="AQ20" s="44" t="str">
        <f t="shared" ca="1" si="10"/>
        <v/>
      </c>
      <c r="AR20" s="44" t="str">
        <f t="shared" ca="1" si="10"/>
        <v/>
      </c>
      <c r="AS20" s="44" t="str">
        <f t="shared" ca="1" si="10"/>
        <v/>
      </c>
      <c r="AT20" s="44" t="str">
        <f t="shared" ca="1" si="10"/>
        <v/>
      </c>
      <c r="AU20" s="44" t="str">
        <f t="shared" ca="1" si="10"/>
        <v/>
      </c>
      <c r="AV20" s="44" t="str">
        <f t="shared" ca="1" si="10"/>
        <v/>
      </c>
      <c r="AW20" s="44" t="str">
        <f t="shared" ca="1" si="10"/>
        <v/>
      </c>
      <c r="AX20" s="44" t="str">
        <f t="shared" ca="1" si="10"/>
        <v/>
      </c>
      <c r="AY20" s="44" t="str">
        <f t="shared" ca="1" si="10"/>
        <v/>
      </c>
      <c r="AZ20" s="44" t="str">
        <f t="shared" ca="1" si="10"/>
        <v/>
      </c>
      <c r="BA20" s="44" t="str">
        <f t="shared" ca="1" si="10"/>
        <v/>
      </c>
      <c r="BB20" s="44" t="str">
        <f t="shared" ca="1" si="10"/>
        <v/>
      </c>
      <c r="BC20" s="44" t="str">
        <f t="shared" ca="1" si="10"/>
        <v/>
      </c>
      <c r="BD20" s="44" t="str">
        <f t="shared" ca="1" si="10"/>
        <v/>
      </c>
      <c r="BE20" s="44" t="str">
        <f t="shared" ca="1" si="10"/>
        <v/>
      </c>
      <c r="BF20" s="44" t="str">
        <f t="shared" ca="1" si="10"/>
        <v/>
      </c>
      <c r="BG20" s="44" t="str">
        <f t="shared" ca="1" si="10"/>
        <v/>
      </c>
      <c r="BH20" s="44" t="str">
        <f t="shared" ca="1" si="10"/>
        <v/>
      </c>
      <c r="BI20" s="44" t="str">
        <f t="shared" ca="1" si="10"/>
        <v/>
      </c>
      <c r="BJ20" s="44" t="str">
        <f t="shared" ca="1" si="10"/>
        <v/>
      </c>
      <c r="BK20" s="44" t="str">
        <f t="shared" ca="1" si="10"/>
        <v/>
      </c>
      <c r="BL20" s="44" t="str">
        <f t="shared" ca="1" si="10"/>
        <v/>
      </c>
      <c r="BM20" s="44"/>
    </row>
    <row r="21" spans="1:65" s="1" customFormat="1" ht="18" customHeight="1" x14ac:dyDescent="0.25">
      <c r="A21" s="150"/>
      <c r="B21" s="64" t="s">
        <v>35</v>
      </c>
      <c r="C21" s="55"/>
      <c r="D21" s="56"/>
      <c r="E21" s="57"/>
      <c r="F21" s="70">
        <f>Plan_Weihnachten[[#This Row],[Ende]]-Plan_Weihnachten[[#This Row],[Dauer
in Tage]]</f>
        <v>46667</v>
      </c>
      <c r="G21" s="71">
        <v>14</v>
      </c>
      <c r="H21" s="95">
        <f t="shared" ref="H21:H22" si="11">F22</f>
        <v>46681</v>
      </c>
      <c r="I21" s="44" t="str">
        <f t="shared" ca="1" si="6"/>
        <v/>
      </c>
      <c r="J21" s="44" t="str">
        <f t="shared" ca="1" si="6"/>
        <v/>
      </c>
      <c r="K21" s="44" t="str">
        <f t="shared" ca="1" si="6"/>
        <v/>
      </c>
      <c r="L21" s="44" t="str">
        <f t="shared" ca="1" si="6"/>
        <v/>
      </c>
      <c r="M21" s="44" t="str">
        <f t="shared" ca="1" si="6"/>
        <v/>
      </c>
      <c r="N21" s="44" t="str">
        <f t="shared" ca="1" si="6"/>
        <v/>
      </c>
      <c r="O21" s="44" t="str">
        <f t="shared" ca="1" si="6"/>
        <v/>
      </c>
      <c r="P21" s="44" t="str">
        <f t="shared" ca="1" si="6"/>
        <v/>
      </c>
      <c r="Q21" s="44" t="str">
        <f t="shared" ca="1" si="6"/>
        <v/>
      </c>
      <c r="R21" s="44" t="str">
        <f t="shared" ca="1" si="6"/>
        <v/>
      </c>
      <c r="S21" s="44" t="str">
        <f t="shared" ca="1" si="6"/>
        <v/>
      </c>
      <c r="T21" s="44" t="str">
        <f t="shared" ca="1" si="6"/>
        <v/>
      </c>
      <c r="U21" s="44" t="str">
        <f t="shared" ca="1" si="6"/>
        <v/>
      </c>
      <c r="V21" s="44" t="str">
        <f t="shared" ca="1" si="6"/>
        <v/>
      </c>
      <c r="W21" s="44" t="str">
        <f t="shared" ref="W21:W45" ca="1" si="12">IF(AND($C21="Ziel",$H21=W$7),2,IF(AND($C21="Meilenstein",$H21=W$7),1,""))</f>
        <v/>
      </c>
      <c r="X21" s="44" t="str">
        <f t="shared" ca="1" si="10"/>
        <v/>
      </c>
      <c r="Y21" s="44" t="str">
        <f t="shared" ca="1" si="10"/>
        <v/>
      </c>
      <c r="Z21" s="44" t="str">
        <f t="shared" ca="1" si="10"/>
        <v/>
      </c>
      <c r="AA21" s="44" t="str">
        <f t="shared" ca="1" si="10"/>
        <v/>
      </c>
      <c r="AB21" s="44" t="str">
        <f t="shared" ca="1" si="10"/>
        <v/>
      </c>
      <c r="AC21" s="44" t="str">
        <f t="shared" ca="1" si="10"/>
        <v/>
      </c>
      <c r="AD21" s="44" t="str">
        <f t="shared" ca="1" si="10"/>
        <v/>
      </c>
      <c r="AE21" s="44" t="str">
        <f t="shared" ca="1" si="10"/>
        <v/>
      </c>
      <c r="AF21" s="44" t="str">
        <f t="shared" ca="1" si="10"/>
        <v/>
      </c>
      <c r="AG21" s="44" t="str">
        <f t="shared" ca="1" si="10"/>
        <v/>
      </c>
      <c r="AH21" s="44" t="str">
        <f t="shared" ca="1" si="10"/>
        <v/>
      </c>
      <c r="AI21" s="44" t="str">
        <f t="shared" ca="1" si="10"/>
        <v/>
      </c>
      <c r="AJ21" s="44" t="str">
        <f t="shared" ca="1" si="10"/>
        <v/>
      </c>
      <c r="AK21" s="44" t="str">
        <f t="shared" ca="1" si="10"/>
        <v/>
      </c>
      <c r="AL21" s="44" t="str">
        <f t="shared" ca="1" si="10"/>
        <v/>
      </c>
      <c r="AM21" s="44" t="str">
        <f t="shared" ca="1" si="10"/>
        <v/>
      </c>
      <c r="AN21" s="44" t="str">
        <f t="shared" ca="1" si="10"/>
        <v/>
      </c>
      <c r="AO21" s="44" t="str">
        <f t="shared" ca="1" si="10"/>
        <v/>
      </c>
      <c r="AP21" s="44" t="str">
        <f t="shared" ca="1" si="10"/>
        <v/>
      </c>
      <c r="AQ21" s="44" t="str">
        <f t="shared" ca="1" si="10"/>
        <v/>
      </c>
      <c r="AR21" s="44" t="str">
        <f t="shared" ca="1" si="10"/>
        <v/>
      </c>
      <c r="AS21" s="44" t="str">
        <f t="shared" ca="1" si="10"/>
        <v/>
      </c>
      <c r="AT21" s="44" t="str">
        <f t="shared" ca="1" si="10"/>
        <v/>
      </c>
      <c r="AU21" s="44" t="str">
        <f t="shared" ca="1" si="10"/>
        <v/>
      </c>
      <c r="AV21" s="44" t="str">
        <f t="shared" ca="1" si="10"/>
        <v/>
      </c>
      <c r="AW21" s="44" t="str">
        <f t="shared" ca="1" si="10"/>
        <v/>
      </c>
      <c r="AX21" s="44" t="str">
        <f t="shared" ca="1" si="10"/>
        <v/>
      </c>
      <c r="AY21" s="44" t="str">
        <f t="shared" ca="1" si="10"/>
        <v/>
      </c>
      <c r="AZ21" s="44" t="str">
        <f t="shared" ca="1" si="10"/>
        <v/>
      </c>
      <c r="BA21" s="44" t="str">
        <f t="shared" ca="1" si="10"/>
        <v/>
      </c>
      <c r="BB21" s="44" t="str">
        <f t="shared" ca="1" si="10"/>
        <v/>
      </c>
      <c r="BC21" s="44" t="str">
        <f t="shared" ca="1" si="10"/>
        <v/>
      </c>
      <c r="BD21" s="44" t="str">
        <f t="shared" ca="1" si="10"/>
        <v/>
      </c>
      <c r="BE21" s="44" t="str">
        <f t="shared" ca="1" si="10"/>
        <v/>
      </c>
      <c r="BF21" s="44" t="str">
        <f t="shared" ca="1" si="10"/>
        <v/>
      </c>
      <c r="BG21" s="44" t="str">
        <f t="shared" ca="1" si="10"/>
        <v/>
      </c>
      <c r="BH21" s="44" t="str">
        <f t="shared" ca="1" si="10"/>
        <v/>
      </c>
      <c r="BI21" s="44" t="str">
        <f t="shared" ca="1" si="10"/>
        <v/>
      </c>
      <c r="BJ21" s="44" t="str">
        <f t="shared" ca="1" si="10"/>
        <v/>
      </c>
      <c r="BK21" s="44" t="str">
        <f t="shared" ca="1" si="10"/>
        <v/>
      </c>
      <c r="BL21" s="44" t="str">
        <f t="shared" ca="1" si="10"/>
        <v/>
      </c>
      <c r="BM21" s="44"/>
    </row>
    <row r="22" spans="1:65" s="1" customFormat="1" ht="18" customHeight="1" x14ac:dyDescent="0.25">
      <c r="A22" s="150"/>
      <c r="B22" s="64" t="s">
        <v>36</v>
      </c>
      <c r="C22" s="55"/>
      <c r="D22" s="56"/>
      <c r="E22" s="57"/>
      <c r="F22" s="70">
        <f>Plan_Weihnachten[[#This Row],[Ende]]-Plan_Weihnachten[[#This Row],[Dauer
in Tage]]</f>
        <v>46681</v>
      </c>
      <c r="G22" s="71">
        <v>5</v>
      </c>
      <c r="H22" s="72">
        <f t="shared" si="11"/>
        <v>46686</v>
      </c>
      <c r="I22" s="44" t="str">
        <f t="shared" ca="1" si="6"/>
        <v/>
      </c>
      <c r="J22" s="44" t="str">
        <f t="shared" ca="1" si="6"/>
        <v/>
      </c>
      <c r="K22" s="44" t="str">
        <f t="shared" ca="1" si="6"/>
        <v/>
      </c>
      <c r="L22" s="44" t="str">
        <f t="shared" ca="1" si="6"/>
        <v/>
      </c>
      <c r="M22" s="44" t="str">
        <f t="shared" ca="1" si="6"/>
        <v/>
      </c>
      <c r="N22" s="44" t="str">
        <f t="shared" ca="1" si="6"/>
        <v/>
      </c>
      <c r="O22" s="44" t="str">
        <f t="shared" ca="1" si="6"/>
        <v/>
      </c>
      <c r="P22" s="44" t="str">
        <f t="shared" ca="1" si="6"/>
        <v/>
      </c>
      <c r="Q22" s="44" t="str">
        <f t="shared" ca="1" si="6"/>
        <v/>
      </c>
      <c r="R22" s="44" t="str">
        <f t="shared" ca="1" si="6"/>
        <v/>
      </c>
      <c r="S22" s="44" t="str">
        <f t="shared" ca="1" si="6"/>
        <v/>
      </c>
      <c r="T22" s="44" t="str">
        <f t="shared" ca="1" si="6"/>
        <v/>
      </c>
      <c r="U22" s="44" t="str">
        <f t="shared" ca="1" si="6"/>
        <v/>
      </c>
      <c r="V22" s="44" t="str">
        <f t="shared" ca="1" si="6"/>
        <v/>
      </c>
      <c r="W22" s="44" t="str">
        <f t="shared" ca="1" si="12"/>
        <v/>
      </c>
      <c r="X22" s="44" t="str">
        <f t="shared" ca="1" si="10"/>
        <v/>
      </c>
      <c r="Y22" s="44" t="str">
        <f t="shared" ca="1" si="10"/>
        <v/>
      </c>
      <c r="Z22" s="44" t="str">
        <f t="shared" ca="1" si="10"/>
        <v/>
      </c>
      <c r="AA22" s="44" t="str">
        <f t="shared" ca="1" si="10"/>
        <v/>
      </c>
      <c r="AB22" s="44" t="str">
        <f t="shared" ca="1" si="10"/>
        <v/>
      </c>
      <c r="AC22" s="44" t="str">
        <f t="shared" ca="1" si="10"/>
        <v/>
      </c>
      <c r="AD22" s="44" t="str">
        <f t="shared" ca="1" si="10"/>
        <v/>
      </c>
      <c r="AE22" s="44" t="str">
        <f t="shared" ca="1" si="10"/>
        <v/>
      </c>
      <c r="AF22" s="44" t="str">
        <f t="shared" ca="1" si="10"/>
        <v/>
      </c>
      <c r="AG22" s="44" t="str">
        <f t="shared" ca="1" si="10"/>
        <v/>
      </c>
      <c r="AH22" s="44" t="str">
        <f t="shared" ca="1" si="10"/>
        <v/>
      </c>
      <c r="AI22" s="44" t="str">
        <f t="shared" ca="1" si="10"/>
        <v/>
      </c>
      <c r="AJ22" s="44" t="str">
        <f t="shared" ca="1" si="10"/>
        <v/>
      </c>
      <c r="AK22" s="44" t="str">
        <f t="shared" ca="1" si="10"/>
        <v/>
      </c>
      <c r="AL22" s="44" t="str">
        <f t="shared" ca="1" si="10"/>
        <v/>
      </c>
      <c r="AM22" s="44" t="str">
        <f t="shared" ca="1" si="10"/>
        <v/>
      </c>
      <c r="AN22" s="44" t="str">
        <f t="shared" ca="1" si="10"/>
        <v/>
      </c>
      <c r="AO22" s="44" t="str">
        <f t="shared" ca="1" si="10"/>
        <v/>
      </c>
      <c r="AP22" s="44" t="str">
        <f t="shared" ca="1" si="10"/>
        <v/>
      </c>
      <c r="AQ22" s="44" t="str">
        <f t="shared" ca="1" si="10"/>
        <v/>
      </c>
      <c r="AR22" s="44" t="str">
        <f t="shared" ca="1" si="10"/>
        <v/>
      </c>
      <c r="AS22" s="44" t="str">
        <f t="shared" ca="1" si="10"/>
        <v/>
      </c>
      <c r="AT22" s="44" t="str">
        <f t="shared" ca="1" si="10"/>
        <v/>
      </c>
      <c r="AU22" s="44" t="str">
        <f t="shared" ca="1" si="10"/>
        <v/>
      </c>
      <c r="AV22" s="44" t="str">
        <f t="shared" ca="1" si="10"/>
        <v/>
      </c>
      <c r="AW22" s="44" t="str">
        <f t="shared" ca="1" si="10"/>
        <v/>
      </c>
      <c r="AX22" s="44" t="str">
        <f t="shared" ca="1" si="10"/>
        <v/>
      </c>
      <c r="AY22" s="44" t="str">
        <f t="shared" ca="1" si="10"/>
        <v/>
      </c>
      <c r="AZ22" s="44" t="str">
        <f t="shared" ca="1" si="10"/>
        <v/>
      </c>
      <c r="BA22" s="44" t="str">
        <f t="shared" ca="1" si="10"/>
        <v/>
      </c>
      <c r="BB22" s="44" t="str">
        <f t="shared" ca="1" si="10"/>
        <v/>
      </c>
      <c r="BC22" s="44" t="str">
        <f t="shared" ca="1" si="10"/>
        <v/>
      </c>
      <c r="BD22" s="44" t="str">
        <f t="shared" ca="1" si="10"/>
        <v/>
      </c>
      <c r="BE22" s="44" t="str">
        <f t="shared" ca="1" si="10"/>
        <v/>
      </c>
      <c r="BF22" s="44" t="str">
        <f t="shared" ca="1" si="10"/>
        <v/>
      </c>
      <c r="BG22" s="44" t="str">
        <f t="shared" ca="1" si="10"/>
        <v/>
      </c>
      <c r="BH22" s="44" t="str">
        <f t="shared" ca="1" si="10"/>
        <v/>
      </c>
      <c r="BI22" s="44" t="str">
        <f t="shared" ca="1" si="10"/>
        <v/>
      </c>
      <c r="BJ22" s="44" t="str">
        <f t="shared" ca="1" si="10"/>
        <v/>
      </c>
      <c r="BK22" s="44" t="str">
        <f t="shared" ca="1" si="10"/>
        <v/>
      </c>
      <c r="BL22" s="44" t="str">
        <f t="shared" ca="1" si="10"/>
        <v/>
      </c>
      <c r="BM22" s="44"/>
    </row>
    <row r="23" spans="1:65" s="1" customFormat="1" ht="18" customHeight="1" x14ac:dyDescent="0.25">
      <c r="A23" s="150"/>
      <c r="B23" s="64" t="s">
        <v>37</v>
      </c>
      <c r="C23" s="55"/>
      <c r="D23" s="56"/>
      <c r="E23" s="57"/>
      <c r="F23" s="70">
        <f>H23-Plan_Weihnachten[[#This Row],[Dauer
in Tage]]</f>
        <v>46686</v>
      </c>
      <c r="G23" s="71">
        <v>14</v>
      </c>
      <c r="H23" s="72">
        <f>F24</f>
        <v>46700</v>
      </c>
      <c r="I23" s="44" t="str">
        <f t="shared" ca="1" si="6"/>
        <v/>
      </c>
      <c r="J23" s="44" t="str">
        <f t="shared" ca="1" si="6"/>
        <v/>
      </c>
      <c r="K23" s="44" t="str">
        <f t="shared" ca="1" si="6"/>
        <v/>
      </c>
      <c r="L23" s="44" t="str">
        <f t="shared" ca="1" si="6"/>
        <v/>
      </c>
      <c r="M23" s="44" t="str">
        <f t="shared" ca="1" si="6"/>
        <v/>
      </c>
      <c r="N23" s="44" t="str">
        <f t="shared" ca="1" si="6"/>
        <v/>
      </c>
      <c r="O23" s="44" t="str">
        <f t="shared" ca="1" si="6"/>
        <v/>
      </c>
      <c r="P23" s="44" t="str">
        <f t="shared" ca="1" si="6"/>
        <v/>
      </c>
      <c r="Q23" s="44" t="str">
        <f t="shared" ca="1" si="6"/>
        <v/>
      </c>
      <c r="R23" s="44" t="str">
        <f t="shared" ca="1" si="6"/>
        <v/>
      </c>
      <c r="S23" s="44" t="str">
        <f t="shared" ca="1" si="6"/>
        <v/>
      </c>
      <c r="T23" s="44" t="str">
        <f t="shared" ca="1" si="6"/>
        <v/>
      </c>
      <c r="U23" s="44" t="str">
        <f t="shared" ca="1" si="6"/>
        <v/>
      </c>
      <c r="V23" s="44" t="str">
        <f t="shared" ca="1" si="6"/>
        <v/>
      </c>
      <c r="W23" s="44" t="str">
        <f t="shared" ca="1" si="12"/>
        <v/>
      </c>
      <c r="X23" s="44" t="str">
        <f t="shared" ca="1" si="10"/>
        <v/>
      </c>
      <c r="Y23" s="44" t="str">
        <f t="shared" ca="1" si="10"/>
        <v/>
      </c>
      <c r="Z23" s="44" t="str">
        <f t="shared" ca="1" si="10"/>
        <v/>
      </c>
      <c r="AA23" s="44" t="str">
        <f t="shared" ca="1" si="10"/>
        <v/>
      </c>
      <c r="AB23" s="44" t="str">
        <f t="shared" ca="1" si="10"/>
        <v/>
      </c>
      <c r="AC23" s="44" t="str">
        <f t="shared" ca="1" si="10"/>
        <v/>
      </c>
      <c r="AD23" s="44" t="str">
        <f t="shared" ca="1" si="10"/>
        <v/>
      </c>
      <c r="AE23" s="44" t="str">
        <f t="shared" ca="1" si="10"/>
        <v/>
      </c>
      <c r="AF23" s="44" t="str">
        <f t="shared" ca="1" si="10"/>
        <v/>
      </c>
      <c r="AG23" s="44" t="str">
        <f t="shared" ca="1" si="10"/>
        <v/>
      </c>
      <c r="AH23" s="44" t="str">
        <f t="shared" ca="1" si="10"/>
        <v/>
      </c>
      <c r="AI23" s="44" t="str">
        <f t="shared" ca="1" si="10"/>
        <v/>
      </c>
      <c r="AJ23" s="44" t="str">
        <f t="shared" ca="1" si="10"/>
        <v/>
      </c>
      <c r="AK23" s="44" t="str">
        <f t="shared" ca="1" si="10"/>
        <v/>
      </c>
      <c r="AL23" s="44" t="str">
        <f t="shared" ca="1" si="10"/>
        <v/>
      </c>
      <c r="AM23" s="44" t="str">
        <f t="shared" ca="1" si="10"/>
        <v/>
      </c>
      <c r="AN23" s="44" t="str">
        <f t="shared" ca="1" si="10"/>
        <v/>
      </c>
      <c r="AO23" s="44" t="str">
        <f t="shared" ca="1" si="10"/>
        <v/>
      </c>
      <c r="AP23" s="44" t="str">
        <f t="shared" ca="1" si="10"/>
        <v/>
      </c>
      <c r="AQ23" s="44" t="str">
        <f t="shared" ca="1" si="10"/>
        <v/>
      </c>
      <c r="AR23" s="44" t="str">
        <f t="shared" ca="1" si="10"/>
        <v/>
      </c>
      <c r="AS23" s="44" t="str">
        <f t="shared" ca="1" si="10"/>
        <v/>
      </c>
      <c r="AT23" s="44" t="str">
        <f t="shared" ca="1" si="10"/>
        <v/>
      </c>
      <c r="AU23" s="44" t="str">
        <f t="shared" ca="1" si="10"/>
        <v/>
      </c>
      <c r="AV23" s="44" t="str">
        <f t="shared" ca="1" si="10"/>
        <v/>
      </c>
      <c r="AW23" s="44" t="str">
        <f t="shared" ca="1" si="10"/>
        <v/>
      </c>
      <c r="AX23" s="44" t="str">
        <f t="shared" ca="1" si="10"/>
        <v/>
      </c>
      <c r="AY23" s="44" t="str">
        <f t="shared" ca="1" si="10"/>
        <v/>
      </c>
      <c r="AZ23" s="44" t="str">
        <f t="shared" ca="1" si="10"/>
        <v/>
      </c>
      <c r="BA23" s="44" t="str">
        <f t="shared" ca="1" si="10"/>
        <v/>
      </c>
      <c r="BB23" s="44" t="str">
        <f t="shared" ca="1" si="10"/>
        <v/>
      </c>
      <c r="BC23" s="44" t="str">
        <f t="shared" ca="1" si="10"/>
        <v/>
      </c>
      <c r="BD23" s="44" t="str">
        <f t="shared" ca="1" si="10"/>
        <v/>
      </c>
      <c r="BE23" s="44" t="str">
        <f t="shared" ca="1" si="10"/>
        <v/>
      </c>
      <c r="BF23" s="44" t="str">
        <f t="shared" ca="1" si="10"/>
        <v/>
      </c>
      <c r="BG23" s="44" t="str">
        <f t="shared" ca="1" si="10"/>
        <v/>
      </c>
      <c r="BH23" s="44" t="str">
        <f t="shared" ca="1" si="10"/>
        <v/>
      </c>
      <c r="BI23" s="44" t="str">
        <f t="shared" ca="1" si="10"/>
        <v/>
      </c>
      <c r="BJ23" s="44" t="str">
        <f t="shared" ca="1" si="10"/>
        <v/>
      </c>
      <c r="BK23" s="44" t="str">
        <f t="shared" ca="1" si="10"/>
        <v/>
      </c>
      <c r="BL23" s="44" t="str">
        <f t="shared" ca="1" si="10"/>
        <v/>
      </c>
      <c r="BM23" s="44"/>
    </row>
    <row r="24" spans="1:65" s="1" customFormat="1" ht="18" customHeight="1" x14ac:dyDescent="0.25">
      <c r="A24" s="150"/>
      <c r="B24" s="65" t="s">
        <v>38</v>
      </c>
      <c r="C24" s="90" t="s">
        <v>8</v>
      </c>
      <c r="D24" s="56"/>
      <c r="E24" s="57"/>
      <c r="F24" s="70">
        <f t="shared" ref="F24" si="13">H27-G26</f>
        <v>46700</v>
      </c>
      <c r="G24" s="71"/>
      <c r="H24" s="73">
        <f>F26</f>
        <v>46700</v>
      </c>
      <c r="I24" s="44" t="str">
        <f t="shared" ca="1" si="6"/>
        <v/>
      </c>
      <c r="J24" s="44" t="str">
        <f t="shared" ca="1" si="6"/>
        <v/>
      </c>
      <c r="K24" s="44" t="str">
        <f t="shared" ca="1" si="6"/>
        <v/>
      </c>
      <c r="L24" s="44" t="str">
        <f t="shared" ca="1" si="6"/>
        <v/>
      </c>
      <c r="M24" s="44" t="str">
        <f t="shared" ca="1" si="6"/>
        <v/>
      </c>
      <c r="N24" s="44" t="str">
        <f t="shared" ca="1" si="6"/>
        <v/>
      </c>
      <c r="O24" s="44" t="str">
        <f t="shared" ca="1" si="6"/>
        <v/>
      </c>
      <c r="P24" s="44" t="str">
        <f t="shared" ca="1" si="6"/>
        <v/>
      </c>
      <c r="Q24" s="44" t="str">
        <f t="shared" ca="1" si="6"/>
        <v/>
      </c>
      <c r="R24" s="44" t="str">
        <f t="shared" ca="1" si="6"/>
        <v/>
      </c>
      <c r="S24" s="44" t="str">
        <f t="shared" ca="1" si="6"/>
        <v/>
      </c>
      <c r="T24" s="44" t="str">
        <f t="shared" ca="1" si="6"/>
        <v/>
      </c>
      <c r="U24" s="44" t="str">
        <f t="shared" ca="1" si="6"/>
        <v/>
      </c>
      <c r="V24" s="44" t="str">
        <f t="shared" ca="1" si="6"/>
        <v/>
      </c>
      <c r="W24" s="44" t="str">
        <f t="shared" ca="1" si="12"/>
        <v/>
      </c>
      <c r="X24" s="44" t="str">
        <f t="shared" ca="1" si="10"/>
        <v/>
      </c>
      <c r="Y24" s="44" t="str">
        <f t="shared" ca="1" si="10"/>
        <v/>
      </c>
      <c r="Z24" s="44" t="str">
        <f t="shared" ca="1" si="10"/>
        <v/>
      </c>
      <c r="AA24" s="44" t="str">
        <f t="shared" ca="1" si="10"/>
        <v/>
      </c>
      <c r="AB24" s="44" t="str">
        <f t="shared" ca="1" si="10"/>
        <v/>
      </c>
      <c r="AC24" s="44" t="str">
        <f t="shared" ca="1" si="10"/>
        <v/>
      </c>
      <c r="AD24" s="44" t="str">
        <f t="shared" ca="1" si="10"/>
        <v/>
      </c>
      <c r="AE24" s="44" t="str">
        <f t="shared" ref="X24:BL31" ca="1" si="14">IF(AND($C24="Ziel",$H24=AE$7),2,IF(AND($C24="Meilenstein",$H24=AE$7),1,""))</f>
        <v/>
      </c>
      <c r="AF24" s="44" t="str">
        <f t="shared" ca="1" si="14"/>
        <v/>
      </c>
      <c r="AG24" s="44" t="str">
        <f t="shared" ca="1" si="14"/>
        <v/>
      </c>
      <c r="AH24" s="44" t="str">
        <f t="shared" ca="1" si="14"/>
        <v/>
      </c>
      <c r="AI24" s="44" t="str">
        <f t="shared" ca="1" si="14"/>
        <v/>
      </c>
      <c r="AJ24" s="44" t="str">
        <f t="shared" ca="1" si="14"/>
        <v/>
      </c>
      <c r="AK24" s="44" t="str">
        <f t="shared" ca="1" si="14"/>
        <v/>
      </c>
      <c r="AL24" s="44" t="str">
        <f t="shared" ca="1" si="14"/>
        <v/>
      </c>
      <c r="AM24" s="44" t="str">
        <f t="shared" ca="1" si="14"/>
        <v/>
      </c>
      <c r="AN24" s="44" t="str">
        <f t="shared" ca="1" si="14"/>
        <v/>
      </c>
      <c r="AO24" s="44" t="str">
        <f t="shared" ca="1" si="14"/>
        <v/>
      </c>
      <c r="AP24" s="44" t="str">
        <f t="shared" ca="1" si="14"/>
        <v/>
      </c>
      <c r="AQ24" s="44" t="str">
        <f t="shared" ca="1" si="14"/>
        <v/>
      </c>
      <c r="AR24" s="44" t="str">
        <f t="shared" ca="1" si="14"/>
        <v/>
      </c>
      <c r="AS24" s="44" t="str">
        <f t="shared" ca="1" si="14"/>
        <v/>
      </c>
      <c r="AT24" s="44" t="str">
        <f t="shared" ca="1" si="14"/>
        <v/>
      </c>
      <c r="AU24" s="44" t="str">
        <f t="shared" ca="1" si="14"/>
        <v/>
      </c>
      <c r="AV24" s="44" t="str">
        <f t="shared" ca="1" si="14"/>
        <v/>
      </c>
      <c r="AW24" s="44" t="str">
        <f t="shared" ca="1" si="14"/>
        <v/>
      </c>
      <c r="AX24" s="44" t="str">
        <f t="shared" ca="1" si="14"/>
        <v/>
      </c>
      <c r="AY24" s="44" t="str">
        <f t="shared" ca="1" si="14"/>
        <v/>
      </c>
      <c r="AZ24" s="44" t="str">
        <f t="shared" ca="1" si="14"/>
        <v/>
      </c>
      <c r="BA24" s="44" t="str">
        <f t="shared" ca="1" si="14"/>
        <v/>
      </c>
      <c r="BB24" s="44" t="str">
        <f t="shared" ca="1" si="14"/>
        <v/>
      </c>
      <c r="BC24" s="44" t="str">
        <f t="shared" ca="1" si="14"/>
        <v/>
      </c>
      <c r="BD24" s="44" t="str">
        <f t="shared" ca="1" si="14"/>
        <v/>
      </c>
      <c r="BE24" s="44" t="str">
        <f t="shared" ca="1" si="14"/>
        <v/>
      </c>
      <c r="BF24" s="44" t="str">
        <f t="shared" ca="1" si="14"/>
        <v/>
      </c>
      <c r="BG24" s="44" t="str">
        <f t="shared" ca="1" si="14"/>
        <v/>
      </c>
      <c r="BH24" s="44" t="str">
        <f t="shared" ca="1" si="14"/>
        <v/>
      </c>
      <c r="BI24" s="44" t="str">
        <f t="shared" ca="1" si="14"/>
        <v/>
      </c>
      <c r="BJ24" s="44" t="str">
        <f t="shared" ca="1" si="14"/>
        <v/>
      </c>
      <c r="BK24" s="44" t="str">
        <f t="shared" ca="1" si="14"/>
        <v/>
      </c>
      <c r="BL24" s="44" t="str">
        <f t="shared" ca="1" si="14"/>
        <v/>
      </c>
      <c r="BM24" s="44"/>
    </row>
    <row r="25" spans="1:65" s="1" customFormat="1" ht="18" customHeight="1" x14ac:dyDescent="0.25">
      <c r="A25" s="150"/>
      <c r="B25" s="64" t="s">
        <v>39</v>
      </c>
      <c r="C25" s="94"/>
      <c r="D25" s="56"/>
      <c r="E25" s="57"/>
      <c r="F25" s="70">
        <f>H27-Plan_Weihnachten[[#This Row],[Dauer
in Tage]]</f>
        <v>46676</v>
      </c>
      <c r="G25" s="71">
        <v>41</v>
      </c>
      <c r="H25" s="72">
        <f>$F25+$G25</f>
        <v>46717</v>
      </c>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row>
    <row r="26" spans="1:65" s="1" customFormat="1" ht="18" customHeight="1" x14ac:dyDescent="0.25">
      <c r="A26" s="150"/>
      <c r="B26" s="64" t="s">
        <v>40</v>
      </c>
      <c r="C26" s="55"/>
      <c r="D26" s="56"/>
      <c r="E26" s="57"/>
      <c r="F26" s="70">
        <f>H27-Plan_Weihnachten[[#This Row],[Dauer
in Tage]]</f>
        <v>46700</v>
      </c>
      <c r="G26" s="71">
        <v>17</v>
      </c>
      <c r="H26" s="72"/>
      <c r="I26" s="44" t="str">
        <f t="shared" ca="1" si="6"/>
        <v/>
      </c>
      <c r="J26" s="44" t="str">
        <f t="shared" ca="1" si="6"/>
        <v/>
      </c>
      <c r="K26" s="44" t="str">
        <f t="shared" ca="1" si="6"/>
        <v/>
      </c>
      <c r="L26" s="44" t="str">
        <f t="shared" ca="1" si="6"/>
        <v/>
      </c>
      <c r="M26" s="44" t="str">
        <f t="shared" ca="1" si="6"/>
        <v/>
      </c>
      <c r="N26" s="44" t="str">
        <f t="shared" ca="1" si="6"/>
        <v/>
      </c>
      <c r="O26" s="44" t="str">
        <f t="shared" ca="1" si="6"/>
        <v/>
      </c>
      <c r="P26" s="44" t="str">
        <f t="shared" ca="1" si="6"/>
        <v/>
      </c>
      <c r="Q26" s="44" t="str">
        <f t="shared" ca="1" si="6"/>
        <v/>
      </c>
      <c r="R26" s="44" t="str">
        <f t="shared" ca="1" si="6"/>
        <v/>
      </c>
      <c r="S26" s="44" t="str">
        <f t="shared" ca="1" si="6"/>
        <v/>
      </c>
      <c r="T26" s="44" t="str">
        <f t="shared" ca="1" si="6"/>
        <v/>
      </c>
      <c r="U26" s="44" t="str">
        <f t="shared" ca="1" si="6"/>
        <v/>
      </c>
      <c r="V26" s="44" t="str">
        <f t="shared" ca="1" si="6"/>
        <v/>
      </c>
      <c r="W26" s="44" t="str">
        <f t="shared" ca="1" si="12"/>
        <v/>
      </c>
      <c r="X26" s="44" t="str">
        <f t="shared" ca="1" si="14"/>
        <v/>
      </c>
      <c r="Y26" s="44" t="str">
        <f t="shared" ca="1" si="14"/>
        <v/>
      </c>
      <c r="Z26" s="44" t="str">
        <f t="shared" ca="1" si="14"/>
        <v/>
      </c>
      <c r="AA26" s="44" t="str">
        <f t="shared" ca="1" si="14"/>
        <v/>
      </c>
      <c r="AB26" s="44" t="str">
        <f t="shared" ca="1" si="14"/>
        <v/>
      </c>
      <c r="AC26" s="44" t="str">
        <f t="shared" ca="1" si="14"/>
        <v/>
      </c>
      <c r="AD26" s="44" t="str">
        <f t="shared" ca="1" si="14"/>
        <v/>
      </c>
      <c r="AE26" s="44" t="str">
        <f t="shared" ca="1" si="14"/>
        <v/>
      </c>
      <c r="AF26" s="44" t="str">
        <f t="shared" ca="1" si="14"/>
        <v/>
      </c>
      <c r="AG26" s="44" t="str">
        <f t="shared" ca="1" si="14"/>
        <v/>
      </c>
      <c r="AH26" s="44" t="str">
        <f t="shared" ca="1" si="14"/>
        <v/>
      </c>
      <c r="AI26" s="44" t="str">
        <f t="shared" ca="1" si="14"/>
        <v/>
      </c>
      <c r="AJ26" s="44" t="str">
        <f t="shared" ca="1" si="14"/>
        <v/>
      </c>
      <c r="AK26" s="44" t="str">
        <f t="shared" ca="1" si="14"/>
        <v/>
      </c>
      <c r="AL26" s="44" t="str">
        <f t="shared" ca="1" si="14"/>
        <v/>
      </c>
      <c r="AM26" s="44" t="str">
        <f t="shared" ca="1" si="14"/>
        <v/>
      </c>
      <c r="AN26" s="44" t="str">
        <f t="shared" ca="1" si="14"/>
        <v/>
      </c>
      <c r="AO26" s="44" t="str">
        <f t="shared" ca="1" si="14"/>
        <v/>
      </c>
      <c r="AP26" s="44" t="str">
        <f t="shared" ca="1" si="14"/>
        <v/>
      </c>
      <c r="AQ26" s="44" t="str">
        <f t="shared" ca="1" si="14"/>
        <v/>
      </c>
      <c r="AR26" s="44" t="str">
        <f t="shared" ca="1" si="14"/>
        <v/>
      </c>
      <c r="AS26" s="44" t="str">
        <f t="shared" ca="1" si="14"/>
        <v/>
      </c>
      <c r="AT26" s="44" t="str">
        <f t="shared" ca="1" si="14"/>
        <v/>
      </c>
      <c r="AU26" s="44" t="str">
        <f t="shared" ca="1" si="14"/>
        <v/>
      </c>
      <c r="AV26" s="44" t="str">
        <f t="shared" ca="1" si="14"/>
        <v/>
      </c>
      <c r="AW26" s="44" t="str">
        <f t="shared" ca="1" si="14"/>
        <v/>
      </c>
      <c r="AX26" s="44" t="str">
        <f t="shared" ca="1" si="14"/>
        <v/>
      </c>
      <c r="AY26" s="44" t="str">
        <f t="shared" ca="1" si="14"/>
        <v/>
      </c>
      <c r="AZ26" s="44" t="str">
        <f t="shared" ca="1" si="14"/>
        <v/>
      </c>
      <c r="BA26" s="44" t="str">
        <f t="shared" ca="1" si="14"/>
        <v/>
      </c>
      <c r="BB26" s="44" t="str">
        <f t="shared" ca="1" si="14"/>
        <v/>
      </c>
      <c r="BC26" s="44" t="str">
        <f t="shared" ca="1" si="14"/>
        <v/>
      </c>
      <c r="BD26" s="44" t="str">
        <f t="shared" ca="1" si="14"/>
        <v/>
      </c>
      <c r="BE26" s="44" t="str">
        <f t="shared" ca="1" si="14"/>
        <v/>
      </c>
      <c r="BF26" s="44" t="str">
        <f t="shared" ca="1" si="14"/>
        <v/>
      </c>
      <c r="BG26" s="44" t="str">
        <f t="shared" ca="1" si="14"/>
        <v/>
      </c>
      <c r="BH26" s="44" t="str">
        <f t="shared" ca="1" si="14"/>
        <v/>
      </c>
      <c r="BI26" s="44" t="str">
        <f t="shared" ca="1" si="14"/>
        <v/>
      </c>
      <c r="BJ26" s="44" t="str">
        <f t="shared" ca="1" si="14"/>
        <v/>
      </c>
      <c r="BK26" s="44" t="str">
        <f t="shared" ca="1" si="14"/>
        <v/>
      </c>
      <c r="BL26" s="44" t="str">
        <f t="shared" ca="1" si="14"/>
        <v/>
      </c>
      <c r="BM26" s="69"/>
    </row>
    <row r="27" spans="1:65" s="1" customFormat="1" ht="18" customHeight="1" x14ac:dyDescent="0.25">
      <c r="A27" s="150"/>
      <c r="B27" s="93" t="s">
        <v>41</v>
      </c>
      <c r="C27" s="89" t="s">
        <v>9</v>
      </c>
      <c r="D27" s="78"/>
      <c r="E27" s="79"/>
      <c r="F27" s="80"/>
      <c r="G27" s="84"/>
      <c r="H27" s="87">
        <f>C4</f>
        <v>46717</v>
      </c>
      <c r="I27" s="85" t="str">
        <f t="shared" ca="1" si="6"/>
        <v/>
      </c>
      <c r="J27" s="83" t="str">
        <f t="shared" ca="1" si="6"/>
        <v/>
      </c>
      <c r="K27" s="83" t="str">
        <f t="shared" ca="1" si="6"/>
        <v/>
      </c>
      <c r="L27" s="83" t="str">
        <f t="shared" ca="1" si="6"/>
        <v/>
      </c>
      <c r="M27" s="83" t="str">
        <f t="shared" ca="1" si="6"/>
        <v/>
      </c>
      <c r="N27" s="83" t="str">
        <f t="shared" ca="1" si="6"/>
        <v/>
      </c>
      <c r="O27" s="83" t="str">
        <f t="shared" ca="1" si="6"/>
        <v/>
      </c>
      <c r="P27" s="83" t="str">
        <f t="shared" ca="1" si="6"/>
        <v/>
      </c>
      <c r="Q27" s="83" t="str">
        <f t="shared" ca="1" si="6"/>
        <v/>
      </c>
      <c r="R27" s="83" t="str">
        <f t="shared" ca="1" si="6"/>
        <v/>
      </c>
      <c r="S27" s="83" t="str">
        <f t="shared" ca="1" si="6"/>
        <v/>
      </c>
      <c r="T27" s="83" t="str">
        <f t="shared" ca="1" si="6"/>
        <v/>
      </c>
      <c r="U27" s="83" t="str">
        <f t="shared" ca="1" si="6"/>
        <v/>
      </c>
      <c r="V27" s="83" t="str">
        <f t="shared" ca="1" si="6"/>
        <v/>
      </c>
      <c r="W27" s="83" t="str">
        <f t="shared" ca="1" si="12"/>
        <v/>
      </c>
      <c r="X27" s="83" t="str">
        <f t="shared" ca="1" si="14"/>
        <v/>
      </c>
      <c r="Y27" s="83" t="str">
        <f t="shared" ca="1" si="14"/>
        <v/>
      </c>
      <c r="Z27" s="83" t="str">
        <f t="shared" ca="1" si="14"/>
        <v/>
      </c>
      <c r="AA27" s="83" t="str">
        <f t="shared" ca="1" si="14"/>
        <v/>
      </c>
      <c r="AB27" s="83" t="str">
        <f t="shared" ca="1" si="14"/>
        <v/>
      </c>
      <c r="AC27" s="83" t="str">
        <f t="shared" ca="1" si="14"/>
        <v/>
      </c>
      <c r="AD27" s="83" t="str">
        <f t="shared" ca="1" si="14"/>
        <v/>
      </c>
      <c r="AE27" s="83" t="str">
        <f t="shared" ca="1" si="14"/>
        <v/>
      </c>
      <c r="AF27" s="83" t="str">
        <f t="shared" ca="1" si="14"/>
        <v/>
      </c>
      <c r="AG27" s="83" t="str">
        <f t="shared" ca="1" si="14"/>
        <v/>
      </c>
      <c r="AH27" s="83" t="str">
        <f t="shared" ca="1" si="14"/>
        <v/>
      </c>
      <c r="AI27" s="83" t="str">
        <f t="shared" ca="1" si="14"/>
        <v/>
      </c>
      <c r="AJ27" s="83" t="str">
        <f t="shared" ca="1" si="14"/>
        <v/>
      </c>
      <c r="AK27" s="83" t="str">
        <f t="shared" ca="1" si="14"/>
        <v/>
      </c>
      <c r="AL27" s="83" t="str">
        <f t="shared" ca="1" si="14"/>
        <v/>
      </c>
      <c r="AM27" s="83" t="str">
        <f t="shared" ca="1" si="14"/>
        <v/>
      </c>
      <c r="AN27" s="83" t="str">
        <f t="shared" ca="1" si="14"/>
        <v/>
      </c>
      <c r="AO27" s="83" t="str">
        <f t="shared" ca="1" si="14"/>
        <v/>
      </c>
      <c r="AP27" s="83" t="str">
        <f t="shared" ca="1" si="14"/>
        <v/>
      </c>
      <c r="AQ27" s="83" t="str">
        <f t="shared" ca="1" si="14"/>
        <v/>
      </c>
      <c r="AR27" s="83" t="str">
        <f t="shared" ca="1" si="14"/>
        <v/>
      </c>
      <c r="AS27" s="83" t="str">
        <f t="shared" ca="1" si="14"/>
        <v/>
      </c>
      <c r="AT27" s="83" t="str">
        <f t="shared" ca="1" si="14"/>
        <v/>
      </c>
      <c r="AU27" s="83" t="str">
        <f t="shared" ca="1" si="14"/>
        <v/>
      </c>
      <c r="AV27" s="83" t="str">
        <f t="shared" ca="1" si="14"/>
        <v/>
      </c>
      <c r="AW27" s="83" t="str">
        <f t="shared" ca="1" si="14"/>
        <v/>
      </c>
      <c r="AX27" s="83" t="str">
        <f t="shared" ca="1" si="14"/>
        <v/>
      </c>
      <c r="AY27" s="83" t="str">
        <f t="shared" ca="1" si="14"/>
        <v/>
      </c>
      <c r="AZ27" s="83" t="str">
        <f t="shared" ca="1" si="14"/>
        <v/>
      </c>
      <c r="BA27" s="83" t="str">
        <f t="shared" ca="1" si="14"/>
        <v/>
      </c>
      <c r="BB27" s="83" t="str">
        <f t="shared" ca="1" si="14"/>
        <v/>
      </c>
      <c r="BC27" s="83" t="str">
        <f t="shared" ca="1" si="14"/>
        <v/>
      </c>
      <c r="BD27" s="83" t="str">
        <f t="shared" ca="1" si="14"/>
        <v/>
      </c>
      <c r="BE27" s="83" t="str">
        <f t="shared" ca="1" si="14"/>
        <v/>
      </c>
      <c r="BF27" s="83" t="str">
        <f t="shared" ca="1" si="14"/>
        <v/>
      </c>
      <c r="BG27" s="83" t="str">
        <f t="shared" ca="1" si="14"/>
        <v/>
      </c>
      <c r="BH27" s="83" t="str">
        <f t="shared" ca="1" si="14"/>
        <v/>
      </c>
      <c r="BI27" s="83" t="str">
        <f t="shared" ca="1" si="14"/>
        <v/>
      </c>
      <c r="BJ27" s="83" t="str">
        <f t="shared" ca="1" si="14"/>
        <v/>
      </c>
      <c r="BK27" s="83" t="str">
        <f t="shared" ca="1" si="14"/>
        <v/>
      </c>
      <c r="BL27" s="83" t="str">
        <f t="shared" ca="1" si="14"/>
        <v/>
      </c>
      <c r="BM27" s="83"/>
    </row>
    <row r="28" spans="1:65" s="1" customFormat="1" ht="18" customHeight="1" x14ac:dyDescent="0.25">
      <c r="A28" s="144" t="s">
        <v>42</v>
      </c>
      <c r="B28" s="65" t="s">
        <v>43</v>
      </c>
      <c r="C28" s="55"/>
      <c r="D28" s="63"/>
      <c r="E28" s="57"/>
      <c r="F28" s="70"/>
      <c r="G28" s="71"/>
      <c r="H28" s="76"/>
      <c r="I28" s="68" t="str">
        <f t="shared" ca="1" si="6"/>
        <v/>
      </c>
      <c r="J28" s="68" t="str">
        <f t="shared" ca="1" si="6"/>
        <v/>
      </c>
      <c r="K28" s="68" t="str">
        <f t="shared" ca="1" si="6"/>
        <v/>
      </c>
      <c r="L28" s="68" t="str">
        <f t="shared" ca="1" si="6"/>
        <v/>
      </c>
      <c r="M28" s="68" t="str">
        <f t="shared" ca="1" si="6"/>
        <v/>
      </c>
      <c r="N28" s="68" t="str">
        <f t="shared" ca="1" si="6"/>
        <v/>
      </c>
      <c r="O28" s="68" t="str">
        <f t="shared" ca="1" si="6"/>
        <v/>
      </c>
      <c r="P28" s="68" t="str">
        <f t="shared" ca="1" si="6"/>
        <v/>
      </c>
      <c r="Q28" s="68" t="str">
        <f t="shared" ca="1" si="6"/>
        <v/>
      </c>
      <c r="R28" s="68" t="str">
        <f t="shared" ca="1" si="6"/>
        <v/>
      </c>
      <c r="S28" s="68" t="str">
        <f t="shared" ca="1" si="6"/>
        <v/>
      </c>
      <c r="T28" s="68" t="str">
        <f t="shared" ca="1" si="6"/>
        <v/>
      </c>
      <c r="U28" s="68" t="str">
        <f t="shared" ca="1" si="6"/>
        <v/>
      </c>
      <c r="V28" s="68" t="str">
        <f t="shared" ca="1" si="6"/>
        <v/>
      </c>
      <c r="W28" s="68" t="str">
        <f t="shared" ca="1" si="12"/>
        <v/>
      </c>
      <c r="X28" s="68" t="str">
        <f t="shared" ca="1" si="14"/>
        <v/>
      </c>
      <c r="Y28" s="68" t="str">
        <f t="shared" ca="1" si="14"/>
        <v/>
      </c>
      <c r="Z28" s="68" t="str">
        <f t="shared" ca="1" si="14"/>
        <v/>
      </c>
      <c r="AA28" s="68" t="str">
        <f t="shared" ca="1" si="14"/>
        <v/>
      </c>
      <c r="AB28" s="68" t="str">
        <f t="shared" ca="1" si="14"/>
        <v/>
      </c>
      <c r="AC28" s="68" t="str">
        <f t="shared" ca="1" si="14"/>
        <v/>
      </c>
      <c r="AD28" s="68" t="str">
        <f t="shared" ca="1" si="14"/>
        <v/>
      </c>
      <c r="AE28" s="68" t="str">
        <f t="shared" ca="1" si="14"/>
        <v/>
      </c>
      <c r="AF28" s="68" t="str">
        <f t="shared" ca="1" si="14"/>
        <v/>
      </c>
      <c r="AG28" s="68" t="str">
        <f t="shared" ca="1" si="14"/>
        <v/>
      </c>
      <c r="AH28" s="68" t="str">
        <f t="shared" ca="1" si="14"/>
        <v/>
      </c>
      <c r="AI28" s="68" t="str">
        <f t="shared" ca="1" si="14"/>
        <v/>
      </c>
      <c r="AJ28" s="68" t="str">
        <f t="shared" ca="1" si="14"/>
        <v/>
      </c>
      <c r="AK28" s="68" t="str">
        <f t="shared" ca="1" si="14"/>
        <v/>
      </c>
      <c r="AL28" s="68" t="str">
        <f t="shared" ca="1" si="14"/>
        <v/>
      </c>
      <c r="AM28" s="68" t="str">
        <f t="shared" ca="1" si="14"/>
        <v/>
      </c>
      <c r="AN28" s="68" t="str">
        <f t="shared" ca="1" si="14"/>
        <v/>
      </c>
      <c r="AO28" s="68" t="str">
        <f t="shared" ca="1" si="14"/>
        <v/>
      </c>
      <c r="AP28" s="68" t="str">
        <f t="shared" ca="1" si="14"/>
        <v/>
      </c>
      <c r="AQ28" s="68" t="str">
        <f t="shared" ca="1" si="14"/>
        <v/>
      </c>
      <c r="AR28" s="68" t="str">
        <f t="shared" ca="1" si="14"/>
        <v/>
      </c>
      <c r="AS28" s="68" t="str">
        <f t="shared" ca="1" si="14"/>
        <v/>
      </c>
      <c r="AT28" s="68" t="str">
        <f t="shared" ca="1" si="14"/>
        <v/>
      </c>
      <c r="AU28" s="68" t="str">
        <f t="shared" ca="1" si="14"/>
        <v/>
      </c>
      <c r="AV28" s="68" t="str">
        <f t="shared" ca="1" si="14"/>
        <v/>
      </c>
      <c r="AW28" s="68" t="str">
        <f t="shared" ca="1" si="14"/>
        <v/>
      </c>
      <c r="AX28" s="68" t="str">
        <f t="shared" ca="1" si="14"/>
        <v/>
      </c>
      <c r="AY28" s="68" t="str">
        <f t="shared" ca="1" si="14"/>
        <v/>
      </c>
      <c r="AZ28" s="68" t="str">
        <f t="shared" ca="1" si="14"/>
        <v/>
      </c>
      <c r="BA28" s="68" t="str">
        <f t="shared" ca="1" si="14"/>
        <v/>
      </c>
      <c r="BB28" s="68" t="str">
        <f t="shared" ca="1" si="14"/>
        <v/>
      </c>
      <c r="BC28" s="68" t="str">
        <f t="shared" ca="1" si="14"/>
        <v/>
      </c>
      <c r="BD28" s="68" t="str">
        <f t="shared" ca="1" si="14"/>
        <v/>
      </c>
      <c r="BE28" s="68" t="str">
        <f t="shared" ca="1" si="14"/>
        <v/>
      </c>
      <c r="BF28" s="68" t="str">
        <f t="shared" ca="1" si="14"/>
        <v/>
      </c>
      <c r="BG28" s="68" t="str">
        <f t="shared" ca="1" si="14"/>
        <v/>
      </c>
      <c r="BH28" s="68" t="str">
        <f t="shared" ca="1" si="14"/>
        <v/>
      </c>
      <c r="BI28" s="68" t="str">
        <f t="shared" ca="1" si="14"/>
        <v/>
      </c>
      <c r="BJ28" s="68" t="str">
        <f t="shared" ca="1" si="14"/>
        <v/>
      </c>
      <c r="BK28" s="68" t="str">
        <f t="shared" ca="1" si="14"/>
        <v/>
      </c>
      <c r="BL28" s="68" t="str">
        <f t="shared" ca="1" si="14"/>
        <v/>
      </c>
      <c r="BM28" s="68"/>
    </row>
    <row r="29" spans="1:65" s="1" customFormat="1" ht="18" customHeight="1" x14ac:dyDescent="0.25">
      <c r="A29" s="144"/>
      <c r="B29" s="64" t="s">
        <v>32</v>
      </c>
      <c r="C29" s="55" t="s">
        <v>5</v>
      </c>
      <c r="D29" s="56" t="s">
        <v>44</v>
      </c>
      <c r="E29" s="57"/>
      <c r="F29" s="70">
        <f>Plan_Weihnachten[[#This Row],[Ende]]-Plan_Weihnachten[[#This Row],[Dauer
in Tage]]</f>
        <v>-3</v>
      </c>
      <c r="G29" s="71">
        <v>3</v>
      </c>
      <c r="H29" s="72">
        <f>H30</f>
        <v>0</v>
      </c>
      <c r="I29" s="44" t="str">
        <f t="shared" ref="I29:X44" ca="1" si="15">IF(AND($C29="Ziel",$H29=I$7),2,IF(AND($C29="Meilenstein",$H29=I$7),1,""))</f>
        <v/>
      </c>
      <c r="J29" s="44" t="str">
        <f t="shared" ca="1" si="15"/>
        <v/>
      </c>
      <c r="K29" s="44" t="str">
        <f t="shared" ca="1" si="15"/>
        <v/>
      </c>
      <c r="L29" s="44" t="str">
        <f t="shared" ca="1" si="15"/>
        <v/>
      </c>
      <c r="M29" s="44" t="str">
        <f t="shared" ca="1" si="15"/>
        <v/>
      </c>
      <c r="N29" s="44" t="str">
        <f t="shared" ca="1" si="15"/>
        <v/>
      </c>
      <c r="O29" s="44" t="str">
        <f t="shared" ca="1" si="15"/>
        <v/>
      </c>
      <c r="P29" s="44" t="str">
        <f t="shared" ca="1" si="15"/>
        <v/>
      </c>
      <c r="Q29" s="44" t="str">
        <f t="shared" ca="1" si="15"/>
        <v/>
      </c>
      <c r="R29" s="44" t="str">
        <f t="shared" ca="1" si="15"/>
        <v/>
      </c>
      <c r="S29" s="44" t="str">
        <f t="shared" ca="1" si="15"/>
        <v/>
      </c>
      <c r="T29" s="44" t="str">
        <f t="shared" ca="1" si="15"/>
        <v/>
      </c>
      <c r="U29" s="44" t="str">
        <f t="shared" ca="1" si="15"/>
        <v/>
      </c>
      <c r="V29" s="44" t="str">
        <f t="shared" ca="1" si="15"/>
        <v/>
      </c>
      <c r="W29" s="44" t="str">
        <f t="shared" ca="1" si="12"/>
        <v/>
      </c>
      <c r="X29" s="44" t="str">
        <f t="shared" ca="1" si="15"/>
        <v/>
      </c>
      <c r="Y29" s="44" t="str">
        <f t="shared" ca="1" si="14"/>
        <v/>
      </c>
      <c r="Z29" s="44" t="str">
        <f t="shared" ca="1" si="14"/>
        <v/>
      </c>
      <c r="AA29" s="44" t="str">
        <f t="shared" ca="1" si="14"/>
        <v/>
      </c>
      <c r="AB29" s="44" t="str">
        <f t="shared" ca="1" si="14"/>
        <v/>
      </c>
      <c r="AC29" s="44" t="str">
        <f t="shared" ca="1" si="14"/>
        <v/>
      </c>
      <c r="AD29" s="44" t="str">
        <f t="shared" ca="1" si="14"/>
        <v/>
      </c>
      <c r="AE29" s="44" t="str">
        <f t="shared" ca="1" si="14"/>
        <v/>
      </c>
      <c r="AF29" s="44" t="str">
        <f t="shared" ca="1" si="14"/>
        <v/>
      </c>
      <c r="AG29" s="44" t="str">
        <f t="shared" ca="1" si="14"/>
        <v/>
      </c>
      <c r="AH29" s="44" t="str">
        <f t="shared" ca="1" si="14"/>
        <v/>
      </c>
      <c r="AI29" s="44" t="str">
        <f t="shared" ca="1" si="14"/>
        <v/>
      </c>
      <c r="AJ29" s="44" t="str">
        <f t="shared" ca="1" si="14"/>
        <v/>
      </c>
      <c r="AK29" s="44" t="str">
        <f t="shared" ca="1" si="14"/>
        <v/>
      </c>
      <c r="AL29" s="44" t="str">
        <f t="shared" ca="1" si="14"/>
        <v/>
      </c>
      <c r="AM29" s="44" t="str">
        <f t="shared" ca="1" si="14"/>
        <v/>
      </c>
      <c r="AN29" s="44" t="str">
        <f t="shared" ca="1" si="14"/>
        <v/>
      </c>
      <c r="AO29" s="44" t="str">
        <f t="shared" ca="1" si="14"/>
        <v/>
      </c>
      <c r="AP29" s="44" t="str">
        <f t="shared" ca="1" si="14"/>
        <v/>
      </c>
      <c r="AQ29" s="44" t="str">
        <f t="shared" ca="1" si="14"/>
        <v/>
      </c>
      <c r="AR29" s="44" t="str">
        <f t="shared" ca="1" si="14"/>
        <v/>
      </c>
      <c r="AS29" s="44" t="str">
        <f t="shared" ca="1" si="14"/>
        <v/>
      </c>
      <c r="AT29" s="44" t="str">
        <f t="shared" ca="1" si="14"/>
        <v/>
      </c>
      <c r="AU29" s="44" t="str">
        <f t="shared" ca="1" si="14"/>
        <v/>
      </c>
      <c r="AV29" s="44" t="str">
        <f t="shared" ca="1" si="14"/>
        <v/>
      </c>
      <c r="AW29" s="44" t="str">
        <f t="shared" ca="1" si="14"/>
        <v/>
      </c>
      <c r="AX29" s="44" t="str">
        <f t="shared" ca="1" si="14"/>
        <v/>
      </c>
      <c r="AY29" s="44" t="str">
        <f t="shared" ca="1" si="14"/>
        <v/>
      </c>
      <c r="AZ29" s="44" t="str">
        <f t="shared" ca="1" si="14"/>
        <v/>
      </c>
      <c r="BA29" s="44" t="str">
        <f t="shared" ca="1" si="14"/>
        <v/>
      </c>
      <c r="BB29" s="44" t="str">
        <f t="shared" ca="1" si="14"/>
        <v/>
      </c>
      <c r="BC29" s="44" t="str">
        <f t="shared" ca="1" si="14"/>
        <v/>
      </c>
      <c r="BD29" s="44" t="str">
        <f t="shared" ca="1" si="14"/>
        <v/>
      </c>
      <c r="BE29" s="44" t="str">
        <f t="shared" ca="1" si="14"/>
        <v/>
      </c>
      <c r="BF29" s="44" t="str">
        <f t="shared" ca="1" si="14"/>
        <v/>
      </c>
      <c r="BG29" s="44" t="str">
        <f t="shared" ca="1" si="14"/>
        <v/>
      </c>
      <c r="BH29" s="44" t="str">
        <f t="shared" ca="1" si="14"/>
        <v/>
      </c>
      <c r="BI29" s="44" t="str">
        <f t="shared" ca="1" si="14"/>
        <v/>
      </c>
      <c r="BJ29" s="44" t="str">
        <f t="shared" ca="1" si="14"/>
        <v/>
      </c>
      <c r="BK29" s="44" t="str">
        <f t="shared" ca="1" si="14"/>
        <v/>
      </c>
      <c r="BL29" s="44" t="str">
        <f t="shared" ca="1" si="14"/>
        <v/>
      </c>
      <c r="BM29" s="44"/>
    </row>
    <row r="30" spans="1:65" s="1" customFormat="1" ht="18" customHeight="1" x14ac:dyDescent="0.25">
      <c r="A30" s="144"/>
      <c r="B30" s="64" t="s">
        <v>45</v>
      </c>
      <c r="C30" s="55" t="s">
        <v>5</v>
      </c>
      <c r="D30" s="56"/>
      <c r="E30" s="57"/>
      <c r="F30" s="70">
        <f>Plan_Weihnachten[[#This Row],[Ende]]-Plan_Weihnachten[[#This Row],[Dauer
in Tage]]</f>
        <v>-3</v>
      </c>
      <c r="G30" s="71">
        <v>3</v>
      </c>
      <c r="H30" s="72">
        <f>H31</f>
        <v>0</v>
      </c>
      <c r="I30" s="44" t="str">
        <f t="shared" ca="1" si="15"/>
        <v/>
      </c>
      <c r="J30" s="44" t="str">
        <f t="shared" ca="1" si="15"/>
        <v/>
      </c>
      <c r="K30" s="44" t="str">
        <f t="shared" ca="1" si="15"/>
        <v/>
      </c>
      <c r="L30" s="44" t="str">
        <f t="shared" ca="1" si="15"/>
        <v/>
      </c>
      <c r="M30" s="44" t="str">
        <f t="shared" ca="1" si="15"/>
        <v/>
      </c>
      <c r="N30" s="44" t="str">
        <f t="shared" ca="1" si="15"/>
        <v/>
      </c>
      <c r="O30" s="44" t="str">
        <f t="shared" ca="1" si="15"/>
        <v/>
      </c>
      <c r="P30" s="44" t="str">
        <f t="shared" ca="1" si="15"/>
        <v/>
      </c>
      <c r="Q30" s="44" t="str">
        <f t="shared" ca="1" si="15"/>
        <v/>
      </c>
      <c r="R30" s="44" t="str">
        <f t="shared" ca="1" si="15"/>
        <v/>
      </c>
      <c r="S30" s="44" t="str">
        <f t="shared" ca="1" si="15"/>
        <v/>
      </c>
      <c r="T30" s="44" t="str">
        <f t="shared" ca="1" si="15"/>
        <v/>
      </c>
      <c r="U30" s="44" t="str">
        <f t="shared" ca="1" si="15"/>
        <v/>
      </c>
      <c r="V30" s="44" t="str">
        <f t="shared" ca="1" si="15"/>
        <v/>
      </c>
      <c r="W30" s="44" t="str">
        <f t="shared" ca="1" si="12"/>
        <v/>
      </c>
      <c r="X30" s="44" t="str">
        <f t="shared" ca="1" si="14"/>
        <v/>
      </c>
      <c r="Y30" s="44" t="str">
        <f t="shared" ca="1" si="14"/>
        <v/>
      </c>
      <c r="Z30" s="44" t="str">
        <f t="shared" ca="1" si="14"/>
        <v/>
      </c>
      <c r="AA30" s="44" t="str">
        <f t="shared" ca="1" si="14"/>
        <v/>
      </c>
      <c r="AB30" s="44" t="str">
        <f t="shared" ca="1" si="14"/>
        <v/>
      </c>
      <c r="AC30" s="44" t="str">
        <f t="shared" ca="1" si="14"/>
        <v/>
      </c>
      <c r="AD30" s="44" t="str">
        <f t="shared" ca="1" si="14"/>
        <v/>
      </c>
      <c r="AE30" s="44" t="str">
        <f t="shared" ca="1" si="14"/>
        <v/>
      </c>
      <c r="AF30" s="44" t="str">
        <f t="shared" ca="1" si="14"/>
        <v/>
      </c>
      <c r="AG30" s="44" t="str">
        <f t="shared" ca="1" si="14"/>
        <v/>
      </c>
      <c r="AH30" s="44" t="str">
        <f t="shared" ca="1" si="14"/>
        <v/>
      </c>
      <c r="AI30" s="44" t="str">
        <f t="shared" ca="1" si="14"/>
        <v/>
      </c>
      <c r="AJ30" s="44" t="str">
        <f t="shared" ca="1" si="14"/>
        <v/>
      </c>
      <c r="AK30" s="44" t="str">
        <f t="shared" ca="1" si="14"/>
        <v/>
      </c>
      <c r="AL30" s="44" t="str">
        <f t="shared" ca="1" si="14"/>
        <v/>
      </c>
      <c r="AM30" s="44" t="str">
        <f t="shared" ca="1" si="14"/>
        <v/>
      </c>
      <c r="AN30" s="44" t="str">
        <f t="shared" ca="1" si="14"/>
        <v/>
      </c>
      <c r="AO30" s="44" t="str">
        <f t="shared" ca="1" si="14"/>
        <v/>
      </c>
      <c r="AP30" s="44" t="str">
        <f t="shared" ca="1" si="14"/>
        <v/>
      </c>
      <c r="AQ30" s="44" t="str">
        <f t="shared" ca="1" si="14"/>
        <v/>
      </c>
      <c r="AR30" s="44" t="str">
        <f t="shared" ca="1" si="14"/>
        <v/>
      </c>
      <c r="AS30" s="44" t="str">
        <f t="shared" ca="1" si="14"/>
        <v/>
      </c>
      <c r="AT30" s="44" t="str">
        <f t="shared" ca="1" si="14"/>
        <v/>
      </c>
      <c r="AU30" s="44" t="str">
        <f t="shared" ca="1" si="14"/>
        <v/>
      </c>
      <c r="AV30" s="44" t="str">
        <f t="shared" ca="1" si="14"/>
        <v/>
      </c>
      <c r="AW30" s="44" t="str">
        <f t="shared" ca="1" si="14"/>
        <v/>
      </c>
      <c r="AX30" s="44" t="str">
        <f t="shared" ca="1" si="14"/>
        <v/>
      </c>
      <c r="AY30" s="44" t="str">
        <f t="shared" ca="1" si="14"/>
        <v/>
      </c>
      <c r="AZ30" s="44" t="str">
        <f t="shared" ca="1" si="14"/>
        <v/>
      </c>
      <c r="BA30" s="44" t="str">
        <f t="shared" ca="1" si="14"/>
        <v/>
      </c>
      <c r="BB30" s="44" t="str">
        <f t="shared" ca="1" si="14"/>
        <v/>
      </c>
      <c r="BC30" s="44" t="str">
        <f t="shared" ca="1" si="14"/>
        <v/>
      </c>
      <c r="BD30" s="44" t="str">
        <f t="shared" ca="1" si="14"/>
        <v/>
      </c>
      <c r="BE30" s="44" t="str">
        <f t="shared" ca="1" si="14"/>
        <v/>
      </c>
      <c r="BF30" s="44" t="str">
        <f t="shared" ca="1" si="14"/>
        <v/>
      </c>
      <c r="BG30" s="44" t="str">
        <f t="shared" ca="1" si="14"/>
        <v/>
      </c>
      <c r="BH30" s="44" t="str">
        <f t="shared" ca="1" si="14"/>
        <v/>
      </c>
      <c r="BI30" s="44" t="str">
        <f t="shared" ca="1" si="14"/>
        <v/>
      </c>
      <c r="BJ30" s="44" t="str">
        <f t="shared" ca="1" si="14"/>
        <v/>
      </c>
      <c r="BK30" s="44" t="str">
        <f t="shared" ca="1" si="14"/>
        <v/>
      </c>
      <c r="BL30" s="44" t="str">
        <f t="shared" ca="1" si="14"/>
        <v/>
      </c>
      <c r="BM30" s="44"/>
    </row>
    <row r="31" spans="1:65" s="1" customFormat="1" ht="18" customHeight="1" x14ac:dyDescent="0.25">
      <c r="A31" s="144"/>
      <c r="B31" s="91" t="s">
        <v>46</v>
      </c>
      <c r="C31" s="90" t="s">
        <v>8</v>
      </c>
      <c r="D31" s="56">
        <v>1</v>
      </c>
      <c r="E31" s="57"/>
      <c r="F31" s="70"/>
      <c r="G31" s="74"/>
      <c r="H31" s="75"/>
      <c r="I31" s="44" t="str">
        <f t="shared" ca="1" si="15"/>
        <v/>
      </c>
      <c r="J31" s="44" t="str">
        <f t="shared" ca="1" si="15"/>
        <v/>
      </c>
      <c r="K31" s="44" t="str">
        <f t="shared" ca="1" si="15"/>
        <v/>
      </c>
      <c r="L31" s="44" t="str">
        <f t="shared" ca="1" si="15"/>
        <v/>
      </c>
      <c r="M31" s="44" t="str">
        <f t="shared" ca="1" si="15"/>
        <v/>
      </c>
      <c r="N31" s="44" t="str">
        <f t="shared" ca="1" si="15"/>
        <v/>
      </c>
      <c r="O31" s="44" t="str">
        <f t="shared" ca="1" si="15"/>
        <v/>
      </c>
      <c r="P31" s="44" t="str">
        <f t="shared" ca="1" si="15"/>
        <v/>
      </c>
      <c r="Q31" s="44" t="str">
        <f t="shared" ca="1" si="15"/>
        <v/>
      </c>
      <c r="R31" s="44" t="str">
        <f t="shared" ca="1" si="15"/>
        <v/>
      </c>
      <c r="S31" s="44" t="str">
        <f t="shared" ca="1" si="15"/>
        <v/>
      </c>
      <c r="T31" s="44" t="str">
        <f t="shared" ca="1" si="15"/>
        <v/>
      </c>
      <c r="U31" s="44" t="str">
        <f t="shared" ca="1" si="15"/>
        <v/>
      </c>
      <c r="V31" s="44" t="str">
        <f t="shared" ca="1" si="15"/>
        <v/>
      </c>
      <c r="W31" s="44" t="str">
        <f t="shared" ca="1" si="12"/>
        <v/>
      </c>
      <c r="X31" s="44" t="str">
        <f t="shared" ca="1" si="14"/>
        <v/>
      </c>
      <c r="Y31" s="44" t="str">
        <f t="shared" ca="1" si="14"/>
        <v/>
      </c>
      <c r="Z31" s="44" t="str">
        <f t="shared" ca="1" si="14"/>
        <v/>
      </c>
      <c r="AA31" s="44" t="str">
        <f t="shared" ca="1" si="14"/>
        <v/>
      </c>
      <c r="AB31" s="44" t="str">
        <f t="shared" ca="1" si="14"/>
        <v/>
      </c>
      <c r="AC31" s="44" t="str">
        <f t="shared" ca="1" si="14"/>
        <v/>
      </c>
      <c r="AD31" s="44" t="str">
        <f t="shared" ca="1" si="14"/>
        <v/>
      </c>
      <c r="AE31" s="44" t="str">
        <f t="shared" ca="1" si="14"/>
        <v/>
      </c>
      <c r="AF31" s="44" t="str">
        <f t="shared" ca="1" si="14"/>
        <v/>
      </c>
      <c r="AG31" s="44" t="str">
        <f t="shared" ca="1" si="14"/>
        <v/>
      </c>
      <c r="AH31" s="44" t="str">
        <f t="shared" ca="1" si="14"/>
        <v/>
      </c>
      <c r="AI31" s="44" t="str">
        <f t="shared" ref="X31:BL37" ca="1" si="16">IF(AND($C31="Ziel",$H31=AI$7),2,IF(AND($C31="Meilenstein",$H31=AI$7),1,""))</f>
        <v/>
      </c>
      <c r="AJ31" s="44" t="str">
        <f t="shared" ca="1" si="16"/>
        <v/>
      </c>
      <c r="AK31" s="44" t="str">
        <f t="shared" ca="1" si="16"/>
        <v/>
      </c>
      <c r="AL31" s="44" t="str">
        <f t="shared" ca="1" si="16"/>
        <v/>
      </c>
      <c r="AM31" s="44" t="str">
        <f t="shared" ca="1" si="16"/>
        <v/>
      </c>
      <c r="AN31" s="44" t="str">
        <f t="shared" ca="1" si="16"/>
        <v/>
      </c>
      <c r="AO31" s="44" t="str">
        <f t="shared" ca="1" si="16"/>
        <v/>
      </c>
      <c r="AP31" s="44" t="str">
        <f t="shared" ca="1" si="16"/>
        <v/>
      </c>
      <c r="AQ31" s="44" t="str">
        <f t="shared" ca="1" si="16"/>
        <v/>
      </c>
      <c r="AR31" s="44" t="str">
        <f t="shared" ca="1" si="16"/>
        <v/>
      </c>
      <c r="AS31" s="44" t="str">
        <f t="shared" ca="1" si="16"/>
        <v/>
      </c>
      <c r="AT31" s="44" t="str">
        <f t="shared" ca="1" si="16"/>
        <v/>
      </c>
      <c r="AU31" s="44" t="str">
        <f t="shared" ca="1" si="16"/>
        <v/>
      </c>
      <c r="AV31" s="44" t="str">
        <f t="shared" ca="1" si="16"/>
        <v/>
      </c>
      <c r="AW31" s="44" t="str">
        <f t="shared" ca="1" si="16"/>
        <v/>
      </c>
      <c r="AX31" s="44" t="str">
        <f t="shared" ca="1" si="16"/>
        <v/>
      </c>
      <c r="AY31" s="44" t="str">
        <f t="shared" ca="1" si="16"/>
        <v/>
      </c>
      <c r="AZ31" s="44" t="str">
        <f t="shared" ca="1" si="16"/>
        <v/>
      </c>
      <c r="BA31" s="44" t="str">
        <f t="shared" ca="1" si="16"/>
        <v/>
      </c>
      <c r="BB31" s="44" t="str">
        <f t="shared" ca="1" si="16"/>
        <v/>
      </c>
      <c r="BC31" s="44" t="str">
        <f t="shared" ca="1" si="16"/>
        <v/>
      </c>
      <c r="BD31" s="44" t="str">
        <f t="shared" ca="1" si="16"/>
        <v/>
      </c>
      <c r="BE31" s="44" t="str">
        <f t="shared" ca="1" si="16"/>
        <v/>
      </c>
      <c r="BF31" s="44" t="str">
        <f t="shared" ca="1" si="16"/>
        <v/>
      </c>
      <c r="BG31" s="44" t="str">
        <f t="shared" ca="1" si="16"/>
        <v/>
      </c>
      <c r="BH31" s="44" t="str">
        <f t="shared" ca="1" si="16"/>
        <v/>
      </c>
      <c r="BI31" s="44" t="str">
        <f t="shared" ca="1" si="16"/>
        <v/>
      </c>
      <c r="BJ31" s="44" t="str">
        <f t="shared" ca="1" si="16"/>
        <v/>
      </c>
      <c r="BK31" s="44" t="str">
        <f t="shared" ca="1" si="16"/>
        <v/>
      </c>
      <c r="BL31" s="44" t="str">
        <f t="shared" ca="1" si="16"/>
        <v/>
      </c>
      <c r="BM31" s="44"/>
    </row>
    <row r="32" spans="1:65" s="1" customFormat="1" ht="18" customHeight="1" x14ac:dyDescent="0.25">
      <c r="A32" s="144"/>
      <c r="B32" s="91" t="s">
        <v>46</v>
      </c>
      <c r="C32" s="90" t="s">
        <v>8</v>
      </c>
      <c r="D32" s="56">
        <v>2</v>
      </c>
      <c r="E32" s="57"/>
      <c r="F32" s="70"/>
      <c r="G32" s="74"/>
      <c r="H32" s="75"/>
      <c r="I32" s="44" t="str">
        <f t="shared" ca="1" si="15"/>
        <v/>
      </c>
      <c r="J32" s="44" t="str">
        <f t="shared" ca="1" si="15"/>
        <v/>
      </c>
      <c r="K32" s="44" t="str">
        <f t="shared" ca="1" si="15"/>
        <v/>
      </c>
      <c r="L32" s="44" t="str">
        <f t="shared" ca="1" si="15"/>
        <v/>
      </c>
      <c r="M32" s="44" t="str">
        <f t="shared" ca="1" si="15"/>
        <v/>
      </c>
      <c r="N32" s="44" t="str">
        <f t="shared" ca="1" si="15"/>
        <v/>
      </c>
      <c r="O32" s="44" t="str">
        <f t="shared" ca="1" si="15"/>
        <v/>
      </c>
      <c r="P32" s="44" t="str">
        <f t="shared" ca="1" si="15"/>
        <v/>
      </c>
      <c r="Q32" s="44" t="str">
        <f t="shared" ca="1" si="15"/>
        <v/>
      </c>
      <c r="R32" s="44" t="str">
        <f t="shared" ca="1" si="15"/>
        <v/>
      </c>
      <c r="S32" s="44" t="str">
        <f t="shared" ca="1" si="15"/>
        <v/>
      </c>
      <c r="T32" s="44" t="str">
        <f t="shared" ca="1" si="15"/>
        <v/>
      </c>
      <c r="U32" s="44" t="str">
        <f t="shared" ca="1" si="15"/>
        <v/>
      </c>
      <c r="V32" s="44" t="str">
        <f t="shared" ca="1" si="15"/>
        <v/>
      </c>
      <c r="W32" s="44" t="str">
        <f t="shared" ca="1" si="12"/>
        <v/>
      </c>
      <c r="X32" s="44" t="str">
        <f t="shared" ca="1" si="16"/>
        <v/>
      </c>
      <c r="Y32" s="44" t="str">
        <f t="shared" ca="1" si="16"/>
        <v/>
      </c>
      <c r="Z32" s="44" t="str">
        <f t="shared" ca="1" si="16"/>
        <v/>
      </c>
      <c r="AA32" s="44" t="str">
        <f t="shared" ca="1" si="16"/>
        <v/>
      </c>
      <c r="AB32" s="44" t="str">
        <f t="shared" ca="1" si="16"/>
        <v/>
      </c>
      <c r="AC32" s="44" t="str">
        <f t="shared" ca="1" si="16"/>
        <v/>
      </c>
      <c r="AD32" s="44" t="str">
        <f t="shared" ca="1" si="16"/>
        <v/>
      </c>
      <c r="AE32" s="44" t="str">
        <f t="shared" ca="1" si="16"/>
        <v/>
      </c>
      <c r="AF32" s="44" t="str">
        <f t="shared" ca="1" si="16"/>
        <v/>
      </c>
      <c r="AG32" s="44" t="str">
        <f t="shared" ca="1" si="16"/>
        <v/>
      </c>
      <c r="AH32" s="44" t="str">
        <f t="shared" ca="1" si="16"/>
        <v/>
      </c>
      <c r="AI32" s="44" t="str">
        <f t="shared" ca="1" si="16"/>
        <v/>
      </c>
      <c r="AJ32" s="44" t="str">
        <f t="shared" ca="1" si="16"/>
        <v/>
      </c>
      <c r="AK32" s="44" t="str">
        <f t="shared" ca="1" si="16"/>
        <v/>
      </c>
      <c r="AL32" s="44" t="str">
        <f t="shared" ca="1" si="16"/>
        <v/>
      </c>
      <c r="AM32" s="44" t="str">
        <f t="shared" ca="1" si="16"/>
        <v/>
      </c>
      <c r="AN32" s="44" t="str">
        <f t="shared" ca="1" si="16"/>
        <v/>
      </c>
      <c r="AO32" s="44" t="str">
        <f t="shared" ca="1" si="16"/>
        <v/>
      </c>
      <c r="AP32" s="44" t="str">
        <f t="shared" ca="1" si="16"/>
        <v/>
      </c>
      <c r="AQ32" s="44" t="str">
        <f t="shared" ca="1" si="16"/>
        <v/>
      </c>
      <c r="AR32" s="44" t="str">
        <f t="shared" ca="1" si="16"/>
        <v/>
      </c>
      <c r="AS32" s="44" t="str">
        <f t="shared" ca="1" si="16"/>
        <v/>
      </c>
      <c r="AT32" s="44" t="str">
        <f t="shared" ca="1" si="16"/>
        <v/>
      </c>
      <c r="AU32" s="44" t="str">
        <f t="shared" ca="1" si="16"/>
        <v/>
      </c>
      <c r="AV32" s="44" t="str">
        <f t="shared" ca="1" si="16"/>
        <v/>
      </c>
      <c r="AW32" s="44" t="str">
        <f t="shared" ca="1" si="16"/>
        <v/>
      </c>
      <c r="AX32" s="44" t="str">
        <f t="shared" ca="1" si="16"/>
        <v/>
      </c>
      <c r="AY32" s="44" t="str">
        <f t="shared" ca="1" si="16"/>
        <v/>
      </c>
      <c r="AZ32" s="44" t="str">
        <f t="shared" ca="1" si="16"/>
        <v/>
      </c>
      <c r="BA32" s="44" t="str">
        <f t="shared" ca="1" si="16"/>
        <v/>
      </c>
      <c r="BB32" s="44" t="str">
        <f t="shared" ca="1" si="16"/>
        <v/>
      </c>
      <c r="BC32" s="44" t="str">
        <f t="shared" ca="1" si="16"/>
        <v/>
      </c>
      <c r="BD32" s="44" t="str">
        <f t="shared" ca="1" si="16"/>
        <v/>
      </c>
      <c r="BE32" s="44" t="str">
        <f t="shared" ca="1" si="16"/>
        <v/>
      </c>
      <c r="BF32" s="44" t="str">
        <f t="shared" ca="1" si="16"/>
        <v/>
      </c>
      <c r="BG32" s="44" t="str">
        <f t="shared" ca="1" si="16"/>
        <v/>
      </c>
      <c r="BH32" s="44" t="str">
        <f t="shared" ca="1" si="16"/>
        <v/>
      </c>
      <c r="BI32" s="44" t="str">
        <f t="shared" ca="1" si="16"/>
        <v/>
      </c>
      <c r="BJ32" s="44" t="str">
        <f t="shared" ca="1" si="16"/>
        <v/>
      </c>
      <c r="BK32" s="44" t="str">
        <f t="shared" ca="1" si="16"/>
        <v/>
      </c>
      <c r="BL32" s="44" t="str">
        <f t="shared" ca="1" si="16"/>
        <v/>
      </c>
      <c r="BM32" s="44"/>
    </row>
    <row r="33" spans="1:65" s="1" customFormat="1" ht="18" customHeight="1" x14ac:dyDescent="0.25">
      <c r="A33" s="144"/>
      <c r="B33" s="91" t="s">
        <v>46</v>
      </c>
      <c r="C33" s="90" t="s">
        <v>8</v>
      </c>
      <c r="D33" s="56">
        <v>3</v>
      </c>
      <c r="E33" s="57"/>
      <c r="F33" s="70"/>
      <c r="G33" s="74"/>
      <c r="H33" s="75"/>
      <c r="I33" s="44" t="str">
        <f t="shared" ca="1" si="15"/>
        <v/>
      </c>
      <c r="J33" s="44" t="str">
        <f t="shared" ca="1" si="15"/>
        <v/>
      </c>
      <c r="K33" s="44" t="str">
        <f t="shared" ca="1" si="15"/>
        <v/>
      </c>
      <c r="L33" s="44" t="str">
        <f t="shared" ca="1" si="15"/>
        <v/>
      </c>
      <c r="M33" s="44" t="str">
        <f t="shared" ca="1" si="15"/>
        <v/>
      </c>
      <c r="N33" s="44" t="str">
        <f t="shared" ca="1" si="15"/>
        <v/>
      </c>
      <c r="O33" s="44" t="str">
        <f t="shared" ca="1" si="15"/>
        <v/>
      </c>
      <c r="P33" s="44" t="str">
        <f t="shared" ca="1" si="15"/>
        <v/>
      </c>
      <c r="Q33" s="44" t="str">
        <f t="shared" ca="1" si="15"/>
        <v/>
      </c>
      <c r="R33" s="44" t="str">
        <f t="shared" ca="1" si="15"/>
        <v/>
      </c>
      <c r="S33" s="44" t="str">
        <f t="shared" ca="1" si="15"/>
        <v/>
      </c>
      <c r="T33" s="44" t="str">
        <f t="shared" ca="1" si="15"/>
        <v/>
      </c>
      <c r="U33" s="44" t="str">
        <f t="shared" ca="1" si="15"/>
        <v/>
      </c>
      <c r="V33" s="44" t="str">
        <f t="shared" ca="1" si="15"/>
        <v/>
      </c>
      <c r="W33" s="44" t="str">
        <f t="shared" ca="1" si="12"/>
        <v/>
      </c>
      <c r="X33" s="44" t="str">
        <f t="shared" ca="1" si="16"/>
        <v/>
      </c>
      <c r="Y33" s="44" t="str">
        <f t="shared" ca="1" si="16"/>
        <v/>
      </c>
      <c r="Z33" s="44" t="str">
        <f t="shared" ca="1" si="16"/>
        <v/>
      </c>
      <c r="AA33" s="44" t="str">
        <f t="shared" ca="1" si="16"/>
        <v/>
      </c>
      <c r="AB33" s="44" t="str">
        <f t="shared" ca="1" si="16"/>
        <v/>
      </c>
      <c r="AC33" s="44" t="str">
        <f t="shared" ca="1" si="16"/>
        <v/>
      </c>
      <c r="AD33" s="44" t="str">
        <f t="shared" ca="1" si="16"/>
        <v/>
      </c>
      <c r="AE33" s="44" t="str">
        <f t="shared" ca="1" si="16"/>
        <v/>
      </c>
      <c r="AF33" s="44" t="str">
        <f t="shared" ca="1" si="16"/>
        <v/>
      </c>
      <c r="AG33" s="44" t="str">
        <f t="shared" ca="1" si="16"/>
        <v/>
      </c>
      <c r="AH33" s="44" t="str">
        <f t="shared" ca="1" si="16"/>
        <v/>
      </c>
      <c r="AI33" s="44" t="str">
        <f t="shared" ca="1" si="16"/>
        <v/>
      </c>
      <c r="AJ33" s="44" t="str">
        <f t="shared" ca="1" si="16"/>
        <v/>
      </c>
      <c r="AK33" s="44" t="str">
        <f t="shared" ca="1" si="16"/>
        <v/>
      </c>
      <c r="AL33" s="44" t="str">
        <f t="shared" ca="1" si="16"/>
        <v/>
      </c>
      <c r="AM33" s="44" t="str">
        <f t="shared" ca="1" si="16"/>
        <v/>
      </c>
      <c r="AN33" s="44" t="str">
        <f t="shared" ca="1" si="16"/>
        <v/>
      </c>
      <c r="AO33" s="44" t="str">
        <f t="shared" ca="1" si="16"/>
        <v/>
      </c>
      <c r="AP33" s="44" t="str">
        <f t="shared" ca="1" si="16"/>
        <v/>
      </c>
      <c r="AQ33" s="44" t="str">
        <f t="shared" ca="1" si="16"/>
        <v/>
      </c>
      <c r="AR33" s="44" t="str">
        <f t="shared" ca="1" si="16"/>
        <v/>
      </c>
      <c r="AS33" s="44" t="str">
        <f t="shared" ca="1" si="16"/>
        <v/>
      </c>
      <c r="AT33" s="44" t="str">
        <f t="shared" ca="1" si="16"/>
        <v/>
      </c>
      <c r="AU33" s="44" t="str">
        <f t="shared" ca="1" si="16"/>
        <v/>
      </c>
      <c r="AV33" s="44" t="str">
        <f t="shared" ca="1" si="16"/>
        <v/>
      </c>
      <c r="AW33" s="44" t="str">
        <f t="shared" ca="1" si="16"/>
        <v/>
      </c>
      <c r="AX33" s="44" t="str">
        <f t="shared" ca="1" si="16"/>
        <v/>
      </c>
      <c r="AY33" s="44" t="str">
        <f t="shared" ca="1" si="16"/>
        <v/>
      </c>
      <c r="AZ33" s="44" t="str">
        <f t="shared" ca="1" si="16"/>
        <v/>
      </c>
      <c r="BA33" s="44" t="str">
        <f t="shared" ca="1" si="16"/>
        <v/>
      </c>
      <c r="BB33" s="44" t="str">
        <f t="shared" ca="1" si="16"/>
        <v/>
      </c>
      <c r="BC33" s="44" t="str">
        <f t="shared" ca="1" si="16"/>
        <v/>
      </c>
      <c r="BD33" s="44" t="str">
        <f t="shared" ca="1" si="16"/>
        <v/>
      </c>
      <c r="BE33" s="44" t="str">
        <f t="shared" ca="1" si="16"/>
        <v/>
      </c>
      <c r="BF33" s="44" t="str">
        <f t="shared" ca="1" si="16"/>
        <v/>
      </c>
      <c r="BG33" s="44" t="str">
        <f t="shared" ca="1" si="16"/>
        <v/>
      </c>
      <c r="BH33" s="44" t="str">
        <f t="shared" ca="1" si="16"/>
        <v/>
      </c>
      <c r="BI33" s="44" t="str">
        <f t="shared" ca="1" si="16"/>
        <v/>
      </c>
      <c r="BJ33" s="44" t="str">
        <f t="shared" ca="1" si="16"/>
        <v/>
      </c>
      <c r="BK33" s="44" t="str">
        <f t="shared" ca="1" si="16"/>
        <v/>
      </c>
      <c r="BL33" s="44" t="str">
        <f t="shared" ca="1" si="16"/>
        <v/>
      </c>
      <c r="BM33" s="44"/>
    </row>
    <row r="34" spans="1:65" s="1" customFormat="1" ht="18" customHeight="1" x14ac:dyDescent="0.25">
      <c r="A34" s="144"/>
      <c r="B34" s="92" t="s">
        <v>46</v>
      </c>
      <c r="C34" s="89" t="s">
        <v>8</v>
      </c>
      <c r="D34" s="78">
        <v>4</v>
      </c>
      <c r="E34" s="79"/>
      <c r="F34" s="80"/>
      <c r="G34" s="84"/>
      <c r="H34" s="86"/>
      <c r="I34" s="83" t="str">
        <f t="shared" ca="1" si="15"/>
        <v/>
      </c>
      <c r="J34" s="83" t="str">
        <f t="shared" ca="1" si="15"/>
        <v/>
      </c>
      <c r="K34" s="83" t="str">
        <f t="shared" ca="1" si="15"/>
        <v/>
      </c>
      <c r="L34" s="83" t="str">
        <f t="shared" ca="1" si="15"/>
        <v/>
      </c>
      <c r="M34" s="83" t="str">
        <f t="shared" ca="1" si="15"/>
        <v/>
      </c>
      <c r="N34" s="83" t="str">
        <f t="shared" ca="1" si="15"/>
        <v/>
      </c>
      <c r="O34" s="83" t="str">
        <f t="shared" ca="1" si="15"/>
        <v/>
      </c>
      <c r="P34" s="83" t="str">
        <f t="shared" ca="1" si="15"/>
        <v/>
      </c>
      <c r="Q34" s="83" t="str">
        <f t="shared" ca="1" si="15"/>
        <v/>
      </c>
      <c r="R34" s="83" t="str">
        <f t="shared" ca="1" si="15"/>
        <v/>
      </c>
      <c r="S34" s="83" t="str">
        <f t="shared" ca="1" si="15"/>
        <v/>
      </c>
      <c r="T34" s="83" t="str">
        <f t="shared" ca="1" si="15"/>
        <v/>
      </c>
      <c r="U34" s="83" t="str">
        <f t="shared" ca="1" si="15"/>
        <v/>
      </c>
      <c r="V34" s="83" t="str">
        <f t="shared" ca="1" si="15"/>
        <v/>
      </c>
      <c r="W34" s="83" t="str">
        <f t="shared" ca="1" si="12"/>
        <v/>
      </c>
      <c r="X34" s="83" t="str">
        <f t="shared" ca="1" si="16"/>
        <v/>
      </c>
      <c r="Y34" s="83" t="str">
        <f t="shared" ca="1" si="16"/>
        <v/>
      </c>
      <c r="Z34" s="83" t="str">
        <f t="shared" ca="1" si="16"/>
        <v/>
      </c>
      <c r="AA34" s="83" t="str">
        <f t="shared" ca="1" si="16"/>
        <v/>
      </c>
      <c r="AB34" s="83" t="str">
        <f t="shared" ca="1" si="16"/>
        <v/>
      </c>
      <c r="AC34" s="83" t="str">
        <f t="shared" ca="1" si="16"/>
        <v/>
      </c>
      <c r="AD34" s="83" t="str">
        <f t="shared" ca="1" si="16"/>
        <v/>
      </c>
      <c r="AE34" s="83" t="str">
        <f t="shared" ca="1" si="16"/>
        <v/>
      </c>
      <c r="AF34" s="83" t="str">
        <f t="shared" ca="1" si="16"/>
        <v/>
      </c>
      <c r="AG34" s="83" t="str">
        <f t="shared" ca="1" si="16"/>
        <v/>
      </c>
      <c r="AH34" s="83" t="str">
        <f t="shared" ca="1" si="16"/>
        <v/>
      </c>
      <c r="AI34" s="83" t="str">
        <f t="shared" ca="1" si="16"/>
        <v/>
      </c>
      <c r="AJ34" s="83" t="str">
        <f t="shared" ca="1" si="16"/>
        <v/>
      </c>
      <c r="AK34" s="83" t="str">
        <f t="shared" ca="1" si="16"/>
        <v/>
      </c>
      <c r="AL34" s="83" t="str">
        <f t="shared" ca="1" si="16"/>
        <v/>
      </c>
      <c r="AM34" s="83" t="str">
        <f t="shared" ca="1" si="16"/>
        <v/>
      </c>
      <c r="AN34" s="83" t="str">
        <f t="shared" ca="1" si="16"/>
        <v/>
      </c>
      <c r="AO34" s="83" t="str">
        <f t="shared" ca="1" si="16"/>
        <v/>
      </c>
      <c r="AP34" s="83" t="str">
        <f t="shared" ca="1" si="16"/>
        <v/>
      </c>
      <c r="AQ34" s="83" t="str">
        <f t="shared" ca="1" si="16"/>
        <v/>
      </c>
      <c r="AR34" s="83" t="str">
        <f t="shared" ca="1" si="16"/>
        <v/>
      </c>
      <c r="AS34" s="83" t="str">
        <f t="shared" ca="1" si="16"/>
        <v/>
      </c>
      <c r="AT34" s="83" t="str">
        <f t="shared" ca="1" si="16"/>
        <v/>
      </c>
      <c r="AU34" s="83" t="str">
        <f t="shared" ca="1" si="16"/>
        <v/>
      </c>
      <c r="AV34" s="83" t="str">
        <f t="shared" ca="1" si="16"/>
        <v/>
      </c>
      <c r="AW34" s="83" t="str">
        <f t="shared" ca="1" si="16"/>
        <v/>
      </c>
      <c r="AX34" s="83" t="str">
        <f t="shared" ca="1" si="16"/>
        <v/>
      </c>
      <c r="AY34" s="83" t="str">
        <f t="shared" ca="1" si="16"/>
        <v/>
      </c>
      <c r="AZ34" s="83" t="str">
        <f t="shared" ca="1" si="16"/>
        <v/>
      </c>
      <c r="BA34" s="83" t="str">
        <f t="shared" ca="1" si="16"/>
        <v/>
      </c>
      <c r="BB34" s="83" t="str">
        <f t="shared" ca="1" si="16"/>
        <v/>
      </c>
      <c r="BC34" s="83" t="str">
        <f t="shared" ca="1" si="16"/>
        <v/>
      </c>
      <c r="BD34" s="83" t="str">
        <f t="shared" ca="1" si="16"/>
        <v/>
      </c>
      <c r="BE34" s="83" t="str">
        <f t="shared" ca="1" si="16"/>
        <v/>
      </c>
      <c r="BF34" s="83" t="str">
        <f t="shared" ca="1" si="16"/>
        <v/>
      </c>
      <c r="BG34" s="83" t="str">
        <f t="shared" ca="1" si="16"/>
        <v/>
      </c>
      <c r="BH34" s="83" t="str">
        <f t="shared" ca="1" si="16"/>
        <v/>
      </c>
      <c r="BI34" s="83" t="str">
        <f t="shared" ca="1" si="16"/>
        <v/>
      </c>
      <c r="BJ34" s="83" t="str">
        <f t="shared" ca="1" si="16"/>
        <v/>
      </c>
      <c r="BK34" s="83" t="str">
        <f t="shared" ca="1" si="16"/>
        <v/>
      </c>
      <c r="BL34" s="83" t="str">
        <f t="shared" ca="1" si="16"/>
        <v/>
      </c>
      <c r="BM34" s="83"/>
    </row>
    <row r="35" spans="1:65" s="1" customFormat="1" ht="18" customHeight="1" x14ac:dyDescent="0.25">
      <c r="A35" s="144"/>
      <c r="B35" s="65" t="s">
        <v>47</v>
      </c>
      <c r="C35" s="55"/>
      <c r="D35" s="56"/>
      <c r="E35" s="57"/>
      <c r="F35" s="70"/>
      <c r="G35" s="71"/>
      <c r="H35" s="72"/>
      <c r="I35" s="68" t="str">
        <f t="shared" ca="1" si="15"/>
        <v/>
      </c>
      <c r="J35" s="68" t="str">
        <f t="shared" ca="1" si="15"/>
        <v/>
      </c>
      <c r="K35" s="68" t="str">
        <f t="shared" ca="1" si="15"/>
        <v/>
      </c>
      <c r="L35" s="68" t="str">
        <f t="shared" ca="1" si="15"/>
        <v/>
      </c>
      <c r="M35" s="68" t="str">
        <f t="shared" ca="1" si="15"/>
        <v/>
      </c>
      <c r="N35" s="68" t="str">
        <f t="shared" ca="1" si="15"/>
        <v/>
      </c>
      <c r="O35" s="68" t="str">
        <f t="shared" ca="1" si="15"/>
        <v/>
      </c>
      <c r="P35" s="68" t="str">
        <f t="shared" ca="1" si="15"/>
        <v/>
      </c>
      <c r="Q35" s="68" t="str">
        <f t="shared" ca="1" si="15"/>
        <v/>
      </c>
      <c r="R35" s="68" t="str">
        <f t="shared" ca="1" si="15"/>
        <v/>
      </c>
      <c r="S35" s="68" t="str">
        <f t="shared" ca="1" si="15"/>
        <v/>
      </c>
      <c r="T35" s="68" t="str">
        <f t="shared" ca="1" si="15"/>
        <v/>
      </c>
      <c r="U35" s="68" t="str">
        <f t="shared" ca="1" si="15"/>
        <v/>
      </c>
      <c r="V35" s="68" t="str">
        <f t="shared" ca="1" si="15"/>
        <v/>
      </c>
      <c r="W35" s="68" t="str">
        <f t="shared" ca="1" si="12"/>
        <v/>
      </c>
      <c r="X35" s="68" t="str">
        <f t="shared" ca="1" si="16"/>
        <v/>
      </c>
      <c r="Y35" s="68" t="str">
        <f t="shared" ca="1" si="16"/>
        <v/>
      </c>
      <c r="Z35" s="68" t="str">
        <f t="shared" ca="1" si="16"/>
        <v/>
      </c>
      <c r="AA35" s="68" t="str">
        <f t="shared" ca="1" si="16"/>
        <v/>
      </c>
      <c r="AB35" s="68" t="str">
        <f t="shared" ca="1" si="16"/>
        <v/>
      </c>
      <c r="AC35" s="68" t="str">
        <f t="shared" ca="1" si="16"/>
        <v/>
      </c>
      <c r="AD35" s="68" t="str">
        <f t="shared" ca="1" si="16"/>
        <v/>
      </c>
      <c r="AE35" s="68" t="str">
        <f t="shared" ca="1" si="16"/>
        <v/>
      </c>
      <c r="AF35" s="68" t="str">
        <f t="shared" ca="1" si="16"/>
        <v/>
      </c>
      <c r="AG35" s="68" t="str">
        <f t="shared" ca="1" si="16"/>
        <v/>
      </c>
      <c r="AH35" s="68" t="str">
        <f t="shared" ca="1" si="16"/>
        <v/>
      </c>
      <c r="AI35" s="68" t="str">
        <f t="shared" ca="1" si="16"/>
        <v/>
      </c>
      <c r="AJ35" s="68" t="str">
        <f t="shared" ca="1" si="16"/>
        <v/>
      </c>
      <c r="AK35" s="68" t="str">
        <f t="shared" ca="1" si="16"/>
        <v/>
      </c>
      <c r="AL35" s="68" t="str">
        <f t="shared" ca="1" si="16"/>
        <v/>
      </c>
      <c r="AM35" s="68" t="str">
        <f t="shared" ca="1" si="16"/>
        <v/>
      </c>
      <c r="AN35" s="68" t="str">
        <f t="shared" ca="1" si="16"/>
        <v/>
      </c>
      <c r="AO35" s="68" t="str">
        <f t="shared" ca="1" si="16"/>
        <v/>
      </c>
      <c r="AP35" s="68" t="str">
        <f t="shared" ca="1" si="16"/>
        <v/>
      </c>
      <c r="AQ35" s="68" t="str">
        <f t="shared" ca="1" si="16"/>
        <v/>
      </c>
      <c r="AR35" s="68" t="str">
        <f t="shared" ca="1" si="16"/>
        <v/>
      </c>
      <c r="AS35" s="68" t="str">
        <f t="shared" ca="1" si="16"/>
        <v/>
      </c>
      <c r="AT35" s="68" t="str">
        <f t="shared" ca="1" si="16"/>
        <v/>
      </c>
      <c r="AU35" s="68" t="str">
        <f t="shared" ca="1" si="16"/>
        <v/>
      </c>
      <c r="AV35" s="68" t="str">
        <f t="shared" ca="1" si="16"/>
        <v/>
      </c>
      <c r="AW35" s="68" t="str">
        <f t="shared" ca="1" si="16"/>
        <v/>
      </c>
      <c r="AX35" s="68" t="str">
        <f t="shared" ca="1" si="16"/>
        <v/>
      </c>
      <c r="AY35" s="68" t="str">
        <f t="shared" ca="1" si="16"/>
        <v/>
      </c>
      <c r="AZ35" s="68" t="str">
        <f t="shared" ca="1" si="16"/>
        <v/>
      </c>
      <c r="BA35" s="68" t="str">
        <f t="shared" ca="1" si="16"/>
        <v/>
      </c>
      <c r="BB35" s="68" t="str">
        <f t="shared" ca="1" si="16"/>
        <v/>
      </c>
      <c r="BC35" s="68" t="str">
        <f t="shared" ca="1" si="16"/>
        <v/>
      </c>
      <c r="BD35" s="68" t="str">
        <f t="shared" ca="1" si="16"/>
        <v/>
      </c>
      <c r="BE35" s="68" t="str">
        <f t="shared" ca="1" si="16"/>
        <v/>
      </c>
      <c r="BF35" s="68" t="str">
        <f t="shared" ca="1" si="16"/>
        <v/>
      </c>
      <c r="BG35" s="68" t="str">
        <f t="shared" ca="1" si="16"/>
        <v/>
      </c>
      <c r="BH35" s="68" t="str">
        <f t="shared" ca="1" si="16"/>
        <v/>
      </c>
      <c r="BI35" s="68" t="str">
        <f t="shared" ca="1" si="16"/>
        <v/>
      </c>
      <c r="BJ35" s="68" t="str">
        <f t="shared" ca="1" si="16"/>
        <v/>
      </c>
      <c r="BK35" s="68" t="str">
        <f t="shared" ca="1" si="16"/>
        <v/>
      </c>
      <c r="BL35" s="68" t="str">
        <f t="shared" ca="1" si="16"/>
        <v/>
      </c>
      <c r="BM35" s="68"/>
    </row>
    <row r="36" spans="1:65" s="1" customFormat="1" ht="18" customHeight="1" x14ac:dyDescent="0.25">
      <c r="A36" s="144"/>
      <c r="B36" s="64" t="s">
        <v>48</v>
      </c>
      <c r="C36" s="55" t="s">
        <v>5</v>
      </c>
      <c r="D36" s="56"/>
      <c r="E36" s="57"/>
      <c r="F36" s="70">
        <f>Plan_Weihnachten[[#This Row],[Ende]]-Plan_Weihnachten[[#This Row],[Dauer
in Tage]]</f>
        <v>-3</v>
      </c>
      <c r="G36" s="71">
        <v>3</v>
      </c>
      <c r="H36" s="72">
        <f>H38</f>
        <v>0</v>
      </c>
      <c r="I36" s="44" t="str">
        <f t="shared" ca="1" si="15"/>
        <v/>
      </c>
      <c r="J36" s="44" t="str">
        <f t="shared" ca="1" si="15"/>
        <v/>
      </c>
      <c r="K36" s="44" t="str">
        <f t="shared" ca="1" si="15"/>
        <v/>
      </c>
      <c r="L36" s="44" t="str">
        <f t="shared" ca="1" si="15"/>
        <v/>
      </c>
      <c r="M36" s="44" t="str">
        <f t="shared" ca="1" si="15"/>
        <v/>
      </c>
      <c r="N36" s="44" t="str">
        <f t="shared" ca="1" si="15"/>
        <v/>
      </c>
      <c r="O36" s="44" t="str">
        <f t="shared" ca="1" si="15"/>
        <v/>
      </c>
      <c r="P36" s="44" t="str">
        <f t="shared" ca="1" si="15"/>
        <v/>
      </c>
      <c r="Q36" s="44" t="str">
        <f t="shared" ca="1" si="15"/>
        <v/>
      </c>
      <c r="R36" s="44" t="str">
        <f t="shared" ca="1" si="15"/>
        <v/>
      </c>
      <c r="S36" s="44" t="str">
        <f t="shared" ca="1" si="15"/>
        <v/>
      </c>
      <c r="T36" s="44" t="str">
        <f t="shared" ca="1" si="15"/>
        <v/>
      </c>
      <c r="U36" s="44" t="str">
        <f t="shared" ca="1" si="15"/>
        <v/>
      </c>
      <c r="V36" s="44" t="str">
        <f t="shared" ca="1" si="15"/>
        <v/>
      </c>
      <c r="W36" s="44" t="str">
        <f t="shared" ca="1" si="12"/>
        <v/>
      </c>
      <c r="X36" s="44" t="str">
        <f t="shared" ca="1" si="16"/>
        <v/>
      </c>
      <c r="Y36" s="44" t="str">
        <f t="shared" ca="1" si="16"/>
        <v/>
      </c>
      <c r="Z36" s="44" t="str">
        <f t="shared" ca="1" si="16"/>
        <v/>
      </c>
      <c r="AA36" s="44" t="str">
        <f t="shared" ca="1" si="16"/>
        <v/>
      </c>
      <c r="AB36" s="44" t="str">
        <f t="shared" ca="1" si="16"/>
        <v/>
      </c>
      <c r="AC36" s="44" t="str">
        <f t="shared" ca="1" si="16"/>
        <v/>
      </c>
      <c r="AD36" s="44" t="str">
        <f t="shared" ca="1" si="16"/>
        <v/>
      </c>
      <c r="AE36" s="44" t="str">
        <f t="shared" ca="1" si="16"/>
        <v/>
      </c>
      <c r="AF36" s="44" t="str">
        <f t="shared" ca="1" si="16"/>
        <v/>
      </c>
      <c r="AG36" s="44" t="str">
        <f t="shared" ca="1" si="16"/>
        <v/>
      </c>
      <c r="AH36" s="44" t="str">
        <f t="shared" ca="1" si="16"/>
        <v/>
      </c>
      <c r="AI36" s="44" t="str">
        <f t="shared" ca="1" si="16"/>
        <v/>
      </c>
      <c r="AJ36" s="44" t="str">
        <f t="shared" ca="1" si="16"/>
        <v/>
      </c>
      <c r="AK36" s="44" t="str">
        <f t="shared" ca="1" si="16"/>
        <v/>
      </c>
      <c r="AL36" s="44" t="str">
        <f t="shared" ca="1" si="16"/>
        <v/>
      </c>
      <c r="AM36" s="44" t="str">
        <f t="shared" ca="1" si="16"/>
        <v/>
      </c>
      <c r="AN36" s="44" t="str">
        <f t="shared" ca="1" si="16"/>
        <v/>
      </c>
      <c r="AO36" s="44" t="str">
        <f t="shared" ca="1" si="16"/>
        <v/>
      </c>
      <c r="AP36" s="44" t="str">
        <f t="shared" ca="1" si="16"/>
        <v/>
      </c>
      <c r="AQ36" s="44" t="str">
        <f t="shared" ca="1" si="16"/>
        <v/>
      </c>
      <c r="AR36" s="44" t="str">
        <f t="shared" ca="1" si="16"/>
        <v/>
      </c>
      <c r="AS36" s="44" t="str">
        <f t="shared" ca="1" si="16"/>
        <v/>
      </c>
      <c r="AT36" s="44" t="str">
        <f t="shared" ca="1" si="16"/>
        <v/>
      </c>
      <c r="AU36" s="44" t="str">
        <f t="shared" ca="1" si="16"/>
        <v/>
      </c>
      <c r="AV36" s="44" t="str">
        <f t="shared" ca="1" si="16"/>
        <v/>
      </c>
      <c r="AW36" s="44" t="str">
        <f t="shared" ca="1" si="16"/>
        <v/>
      </c>
      <c r="AX36" s="44" t="str">
        <f t="shared" ca="1" si="16"/>
        <v/>
      </c>
      <c r="AY36" s="44" t="str">
        <f t="shared" ca="1" si="16"/>
        <v/>
      </c>
      <c r="AZ36" s="44" t="str">
        <f t="shared" ca="1" si="16"/>
        <v/>
      </c>
      <c r="BA36" s="44" t="str">
        <f t="shared" ca="1" si="16"/>
        <v/>
      </c>
      <c r="BB36" s="44" t="str">
        <f t="shared" ca="1" si="16"/>
        <v/>
      </c>
      <c r="BC36" s="44" t="str">
        <f t="shared" ca="1" si="16"/>
        <v/>
      </c>
      <c r="BD36" s="44" t="str">
        <f t="shared" ca="1" si="16"/>
        <v/>
      </c>
      <c r="BE36" s="44" t="str">
        <f t="shared" ca="1" si="16"/>
        <v/>
      </c>
      <c r="BF36" s="44" t="str">
        <f t="shared" ca="1" si="16"/>
        <v/>
      </c>
      <c r="BG36" s="44" t="str">
        <f t="shared" ca="1" si="16"/>
        <v/>
      </c>
      <c r="BH36" s="44" t="str">
        <f t="shared" ca="1" si="16"/>
        <v/>
      </c>
      <c r="BI36" s="44" t="str">
        <f t="shared" ca="1" si="16"/>
        <v/>
      </c>
      <c r="BJ36" s="44" t="str">
        <f t="shared" ca="1" si="16"/>
        <v/>
      </c>
      <c r="BK36" s="44" t="str">
        <f t="shared" ca="1" si="16"/>
        <v/>
      </c>
      <c r="BL36" s="44" t="str">
        <f t="shared" ca="1" si="16"/>
        <v/>
      </c>
      <c r="BM36" s="44"/>
    </row>
    <row r="37" spans="1:65" s="1" customFormat="1" ht="18" customHeight="1" x14ac:dyDescent="0.25">
      <c r="A37" s="144"/>
      <c r="B37" s="64" t="s">
        <v>36</v>
      </c>
      <c r="C37" s="55" t="s">
        <v>5</v>
      </c>
      <c r="D37" s="56"/>
      <c r="E37" s="57"/>
      <c r="F37" s="70">
        <f>Plan_Weihnachten[[#This Row],[Ende]]-Plan_Weihnachten[[#This Row],[Dauer
in Tage]]</f>
        <v>-3</v>
      </c>
      <c r="G37" s="71">
        <v>3</v>
      </c>
      <c r="H37" s="72">
        <f>H38</f>
        <v>0</v>
      </c>
      <c r="I37" s="44" t="str">
        <f t="shared" ca="1" si="15"/>
        <v/>
      </c>
      <c r="J37" s="44" t="str">
        <f t="shared" ca="1" si="15"/>
        <v/>
      </c>
      <c r="K37" s="44" t="str">
        <f t="shared" ca="1" si="15"/>
        <v/>
      </c>
      <c r="L37" s="44" t="str">
        <f t="shared" ca="1" si="15"/>
        <v/>
      </c>
      <c r="M37" s="44" t="str">
        <f t="shared" ca="1" si="15"/>
        <v/>
      </c>
      <c r="N37" s="44" t="str">
        <f t="shared" ca="1" si="15"/>
        <v/>
      </c>
      <c r="O37" s="44" t="str">
        <f t="shared" ca="1" si="15"/>
        <v/>
      </c>
      <c r="P37" s="44" t="str">
        <f t="shared" ca="1" si="15"/>
        <v/>
      </c>
      <c r="Q37" s="44" t="str">
        <f t="shared" ca="1" si="15"/>
        <v/>
      </c>
      <c r="R37" s="44" t="str">
        <f t="shared" ca="1" si="15"/>
        <v/>
      </c>
      <c r="S37" s="44" t="str">
        <f t="shared" ca="1" si="15"/>
        <v/>
      </c>
      <c r="T37" s="44" t="str">
        <f t="shared" ca="1" si="15"/>
        <v/>
      </c>
      <c r="U37" s="44" t="str">
        <f t="shared" ca="1" si="15"/>
        <v/>
      </c>
      <c r="V37" s="44" t="str">
        <f t="shared" ca="1" si="15"/>
        <v/>
      </c>
      <c r="W37" s="44" t="str">
        <f t="shared" ca="1" si="12"/>
        <v/>
      </c>
      <c r="X37" s="44" t="str">
        <f t="shared" ca="1" si="16"/>
        <v/>
      </c>
      <c r="Y37" s="44" t="str">
        <f t="shared" ca="1" si="16"/>
        <v/>
      </c>
      <c r="Z37" s="44" t="str">
        <f t="shared" ca="1" si="16"/>
        <v/>
      </c>
      <c r="AA37" s="44" t="str">
        <f t="shared" ca="1" si="16"/>
        <v/>
      </c>
      <c r="AB37" s="44" t="str">
        <f t="shared" ca="1" si="16"/>
        <v/>
      </c>
      <c r="AC37" s="44" t="str">
        <f t="shared" ca="1" si="16"/>
        <v/>
      </c>
      <c r="AD37" s="44" t="str">
        <f t="shared" ca="1" si="16"/>
        <v/>
      </c>
      <c r="AE37" s="44" t="str">
        <f t="shared" ca="1" si="16"/>
        <v/>
      </c>
      <c r="AF37" s="44" t="str">
        <f t="shared" ca="1" si="16"/>
        <v/>
      </c>
      <c r="AG37" s="44" t="str">
        <f t="shared" ca="1" si="16"/>
        <v/>
      </c>
      <c r="AH37" s="44" t="str">
        <f t="shared" ca="1" si="16"/>
        <v/>
      </c>
      <c r="AI37" s="44" t="str">
        <f t="shared" ca="1" si="16"/>
        <v/>
      </c>
      <c r="AJ37" s="44" t="str">
        <f t="shared" ca="1" si="16"/>
        <v/>
      </c>
      <c r="AK37" s="44" t="str">
        <f t="shared" ca="1" si="16"/>
        <v/>
      </c>
      <c r="AL37" s="44" t="str">
        <f t="shared" ref="X37:BL43" ca="1" si="17">IF(AND($C37="Ziel",$H37=AL$7),2,IF(AND($C37="Meilenstein",$H37=AL$7),1,""))</f>
        <v/>
      </c>
      <c r="AM37" s="44" t="str">
        <f t="shared" ca="1" si="17"/>
        <v/>
      </c>
      <c r="AN37" s="44" t="str">
        <f t="shared" ca="1" si="17"/>
        <v/>
      </c>
      <c r="AO37" s="44" t="str">
        <f t="shared" ca="1" si="17"/>
        <v/>
      </c>
      <c r="AP37" s="44" t="str">
        <f t="shared" ca="1" si="17"/>
        <v/>
      </c>
      <c r="AQ37" s="44" t="str">
        <f t="shared" ca="1" si="17"/>
        <v/>
      </c>
      <c r="AR37" s="44" t="str">
        <f t="shared" ca="1" si="17"/>
        <v/>
      </c>
      <c r="AS37" s="44" t="str">
        <f t="shared" ca="1" si="17"/>
        <v/>
      </c>
      <c r="AT37" s="44" t="str">
        <f t="shared" ca="1" si="17"/>
        <v/>
      </c>
      <c r="AU37" s="44" t="str">
        <f t="shared" ca="1" si="17"/>
        <v/>
      </c>
      <c r="AV37" s="44" t="str">
        <f t="shared" ca="1" si="17"/>
        <v/>
      </c>
      <c r="AW37" s="44" t="str">
        <f t="shared" ca="1" si="17"/>
        <v/>
      </c>
      <c r="AX37" s="44" t="str">
        <f t="shared" ca="1" si="17"/>
        <v/>
      </c>
      <c r="AY37" s="44" t="str">
        <f t="shared" ca="1" si="17"/>
        <v/>
      </c>
      <c r="AZ37" s="44" t="str">
        <f t="shared" ca="1" si="17"/>
        <v/>
      </c>
      <c r="BA37" s="44" t="str">
        <f t="shared" ca="1" si="17"/>
        <v/>
      </c>
      <c r="BB37" s="44" t="str">
        <f t="shared" ca="1" si="17"/>
        <v/>
      </c>
      <c r="BC37" s="44" t="str">
        <f t="shared" ca="1" si="17"/>
        <v/>
      </c>
      <c r="BD37" s="44" t="str">
        <f t="shared" ca="1" si="17"/>
        <v/>
      </c>
      <c r="BE37" s="44" t="str">
        <f t="shared" ca="1" si="17"/>
        <v/>
      </c>
      <c r="BF37" s="44" t="str">
        <f t="shared" ca="1" si="17"/>
        <v/>
      </c>
      <c r="BG37" s="44" t="str">
        <f t="shared" ca="1" si="17"/>
        <v/>
      </c>
      <c r="BH37" s="44" t="str">
        <f t="shared" ca="1" si="17"/>
        <v/>
      </c>
      <c r="BI37" s="44" t="str">
        <f t="shared" ca="1" si="17"/>
        <v/>
      </c>
      <c r="BJ37" s="44" t="str">
        <f t="shared" ca="1" si="17"/>
        <v/>
      </c>
      <c r="BK37" s="44" t="str">
        <f t="shared" ca="1" si="17"/>
        <v/>
      </c>
      <c r="BL37" s="44" t="str">
        <f t="shared" ca="1" si="17"/>
        <v/>
      </c>
      <c r="BM37" s="44"/>
    </row>
    <row r="38" spans="1:65" s="1" customFormat="1" ht="18" customHeight="1" x14ac:dyDescent="0.25">
      <c r="A38" s="144"/>
      <c r="B38" s="91" t="s">
        <v>46</v>
      </c>
      <c r="C38" s="90" t="s">
        <v>8</v>
      </c>
      <c r="D38" s="56">
        <v>1</v>
      </c>
      <c r="E38" s="57"/>
      <c r="F38" s="70"/>
      <c r="G38" s="74"/>
      <c r="H38" s="75"/>
      <c r="I38" s="44" t="str">
        <f t="shared" ca="1" si="15"/>
        <v/>
      </c>
      <c r="J38" s="44" t="str">
        <f t="shared" ca="1" si="15"/>
        <v/>
      </c>
      <c r="K38" s="44" t="str">
        <f t="shared" ca="1" si="15"/>
        <v/>
      </c>
      <c r="L38" s="44" t="str">
        <f t="shared" ca="1" si="15"/>
        <v/>
      </c>
      <c r="M38" s="44" t="str">
        <f t="shared" ca="1" si="15"/>
        <v/>
      </c>
      <c r="N38" s="44" t="str">
        <f t="shared" ca="1" si="15"/>
        <v/>
      </c>
      <c r="O38" s="44" t="str">
        <f t="shared" ca="1" si="15"/>
        <v/>
      </c>
      <c r="P38" s="44" t="str">
        <f t="shared" ca="1" si="15"/>
        <v/>
      </c>
      <c r="Q38" s="44" t="str">
        <f t="shared" ca="1" si="15"/>
        <v/>
      </c>
      <c r="R38" s="44" t="str">
        <f t="shared" ca="1" si="15"/>
        <v/>
      </c>
      <c r="S38" s="44" t="str">
        <f t="shared" ca="1" si="15"/>
        <v/>
      </c>
      <c r="T38" s="44" t="str">
        <f t="shared" ca="1" si="15"/>
        <v/>
      </c>
      <c r="U38" s="44" t="str">
        <f t="shared" ca="1" si="15"/>
        <v/>
      </c>
      <c r="V38" s="44" t="str">
        <f t="shared" ca="1" si="15"/>
        <v/>
      </c>
      <c r="W38" s="44" t="str">
        <f t="shared" ca="1" si="12"/>
        <v/>
      </c>
      <c r="X38" s="44" t="str">
        <f t="shared" ca="1" si="17"/>
        <v/>
      </c>
      <c r="Y38" s="44" t="str">
        <f t="shared" ca="1" si="17"/>
        <v/>
      </c>
      <c r="Z38" s="44" t="str">
        <f t="shared" ca="1" si="17"/>
        <v/>
      </c>
      <c r="AA38" s="44" t="str">
        <f t="shared" ca="1" si="17"/>
        <v/>
      </c>
      <c r="AB38" s="44" t="str">
        <f t="shared" ca="1" si="17"/>
        <v/>
      </c>
      <c r="AC38" s="44" t="str">
        <f t="shared" ca="1" si="17"/>
        <v/>
      </c>
      <c r="AD38" s="44" t="str">
        <f t="shared" ca="1" si="17"/>
        <v/>
      </c>
      <c r="AE38" s="44" t="str">
        <f t="shared" ca="1" si="17"/>
        <v/>
      </c>
      <c r="AF38" s="44" t="str">
        <f t="shared" ca="1" si="17"/>
        <v/>
      </c>
      <c r="AG38" s="44" t="str">
        <f t="shared" ca="1" si="17"/>
        <v/>
      </c>
      <c r="AH38" s="44" t="str">
        <f t="shared" ca="1" si="17"/>
        <v/>
      </c>
      <c r="AI38" s="44" t="str">
        <f t="shared" ca="1" si="17"/>
        <v/>
      </c>
      <c r="AJ38" s="44" t="str">
        <f t="shared" ca="1" si="17"/>
        <v/>
      </c>
      <c r="AK38" s="44" t="str">
        <f t="shared" ca="1" si="17"/>
        <v/>
      </c>
      <c r="AL38" s="44" t="str">
        <f t="shared" ca="1" si="17"/>
        <v/>
      </c>
      <c r="AM38" s="44" t="str">
        <f t="shared" ca="1" si="17"/>
        <v/>
      </c>
      <c r="AN38" s="44" t="str">
        <f t="shared" ca="1" si="17"/>
        <v/>
      </c>
      <c r="AO38" s="44" t="str">
        <f t="shared" ca="1" si="17"/>
        <v/>
      </c>
      <c r="AP38" s="44" t="str">
        <f t="shared" ca="1" si="17"/>
        <v/>
      </c>
      <c r="AQ38" s="44" t="str">
        <f t="shared" ca="1" si="17"/>
        <v/>
      </c>
      <c r="AR38" s="44" t="str">
        <f t="shared" ca="1" si="17"/>
        <v/>
      </c>
      <c r="AS38" s="44" t="str">
        <f t="shared" ca="1" si="17"/>
        <v/>
      </c>
      <c r="AT38" s="44" t="str">
        <f t="shared" ca="1" si="17"/>
        <v/>
      </c>
      <c r="AU38" s="44" t="str">
        <f t="shared" ca="1" si="17"/>
        <v/>
      </c>
      <c r="AV38" s="44" t="str">
        <f t="shared" ca="1" si="17"/>
        <v/>
      </c>
      <c r="AW38" s="44" t="str">
        <f t="shared" ca="1" si="17"/>
        <v/>
      </c>
      <c r="AX38" s="44" t="str">
        <f t="shared" ca="1" si="17"/>
        <v/>
      </c>
      <c r="AY38" s="44" t="str">
        <f t="shared" ca="1" si="17"/>
        <v/>
      </c>
      <c r="AZ38" s="44" t="str">
        <f t="shared" ca="1" si="17"/>
        <v/>
      </c>
      <c r="BA38" s="44" t="str">
        <f t="shared" ca="1" si="17"/>
        <v/>
      </c>
      <c r="BB38" s="44" t="str">
        <f t="shared" ca="1" si="17"/>
        <v/>
      </c>
      <c r="BC38" s="44" t="str">
        <f t="shared" ca="1" si="17"/>
        <v/>
      </c>
      <c r="BD38" s="44" t="str">
        <f t="shared" ca="1" si="17"/>
        <v/>
      </c>
      <c r="BE38" s="44" t="str">
        <f t="shared" ca="1" si="17"/>
        <v/>
      </c>
      <c r="BF38" s="44" t="str">
        <f t="shared" ca="1" si="17"/>
        <v/>
      </c>
      <c r="BG38" s="44" t="str">
        <f t="shared" ca="1" si="17"/>
        <v/>
      </c>
      <c r="BH38" s="44" t="str">
        <f t="shared" ca="1" si="17"/>
        <v/>
      </c>
      <c r="BI38" s="44" t="str">
        <f t="shared" ca="1" si="17"/>
        <v/>
      </c>
      <c r="BJ38" s="44" t="str">
        <f t="shared" ca="1" si="17"/>
        <v/>
      </c>
      <c r="BK38" s="44" t="str">
        <f t="shared" ca="1" si="17"/>
        <v/>
      </c>
      <c r="BL38" s="44" t="str">
        <f t="shared" ca="1" si="17"/>
        <v/>
      </c>
      <c r="BM38" s="44"/>
    </row>
    <row r="39" spans="1:65" s="1" customFormat="1" ht="18" customHeight="1" x14ac:dyDescent="0.25">
      <c r="A39" s="144"/>
      <c r="B39" s="91" t="s">
        <v>46</v>
      </c>
      <c r="C39" s="90" t="s">
        <v>8</v>
      </c>
      <c r="D39" s="56">
        <v>2</v>
      </c>
      <c r="E39" s="57"/>
      <c r="F39" s="70"/>
      <c r="G39" s="74"/>
      <c r="H39" s="75"/>
      <c r="I39" s="44" t="str">
        <f t="shared" ca="1" si="15"/>
        <v/>
      </c>
      <c r="J39" s="44" t="str">
        <f t="shared" ca="1" si="15"/>
        <v/>
      </c>
      <c r="K39" s="44" t="str">
        <f t="shared" ca="1" si="15"/>
        <v/>
      </c>
      <c r="L39" s="44" t="str">
        <f t="shared" ca="1" si="15"/>
        <v/>
      </c>
      <c r="M39" s="44" t="str">
        <f t="shared" ca="1" si="15"/>
        <v/>
      </c>
      <c r="N39" s="44" t="str">
        <f t="shared" ca="1" si="15"/>
        <v/>
      </c>
      <c r="O39" s="44" t="str">
        <f t="shared" ca="1" si="15"/>
        <v/>
      </c>
      <c r="P39" s="44" t="str">
        <f t="shared" ca="1" si="15"/>
        <v/>
      </c>
      <c r="Q39" s="44" t="str">
        <f t="shared" ca="1" si="15"/>
        <v/>
      </c>
      <c r="R39" s="44" t="str">
        <f t="shared" ca="1" si="15"/>
        <v/>
      </c>
      <c r="S39" s="44" t="str">
        <f t="shared" ca="1" si="15"/>
        <v/>
      </c>
      <c r="T39" s="44" t="str">
        <f t="shared" ca="1" si="15"/>
        <v/>
      </c>
      <c r="U39" s="44" t="str">
        <f t="shared" ca="1" si="15"/>
        <v/>
      </c>
      <c r="V39" s="44" t="str">
        <f t="shared" ca="1" si="15"/>
        <v/>
      </c>
      <c r="W39" s="44" t="str">
        <f t="shared" ca="1" si="12"/>
        <v/>
      </c>
      <c r="X39" s="44" t="str">
        <f t="shared" ca="1" si="17"/>
        <v/>
      </c>
      <c r="Y39" s="44" t="str">
        <f t="shared" ca="1" si="17"/>
        <v/>
      </c>
      <c r="Z39" s="44" t="str">
        <f t="shared" ca="1" si="17"/>
        <v/>
      </c>
      <c r="AA39" s="44" t="str">
        <f t="shared" ca="1" si="17"/>
        <v/>
      </c>
      <c r="AB39" s="44" t="str">
        <f t="shared" ca="1" si="17"/>
        <v/>
      </c>
      <c r="AC39" s="44" t="str">
        <f t="shared" ca="1" si="17"/>
        <v/>
      </c>
      <c r="AD39" s="44" t="str">
        <f t="shared" ca="1" si="17"/>
        <v/>
      </c>
      <c r="AE39" s="44" t="str">
        <f t="shared" ca="1" si="17"/>
        <v/>
      </c>
      <c r="AF39" s="44" t="str">
        <f t="shared" ca="1" si="17"/>
        <v/>
      </c>
      <c r="AG39" s="44" t="str">
        <f t="shared" ca="1" si="17"/>
        <v/>
      </c>
      <c r="AH39" s="44" t="str">
        <f t="shared" ca="1" si="17"/>
        <v/>
      </c>
      <c r="AI39" s="44" t="str">
        <f t="shared" ca="1" si="17"/>
        <v/>
      </c>
      <c r="AJ39" s="44" t="str">
        <f t="shared" ca="1" si="17"/>
        <v/>
      </c>
      <c r="AK39" s="44" t="str">
        <f t="shared" ca="1" si="17"/>
        <v/>
      </c>
      <c r="AL39" s="44" t="str">
        <f t="shared" ca="1" si="17"/>
        <v/>
      </c>
      <c r="AM39" s="44" t="str">
        <f t="shared" ca="1" si="17"/>
        <v/>
      </c>
      <c r="AN39" s="44" t="str">
        <f t="shared" ca="1" si="17"/>
        <v/>
      </c>
      <c r="AO39" s="44" t="str">
        <f t="shared" ca="1" si="17"/>
        <v/>
      </c>
      <c r="AP39" s="44" t="str">
        <f t="shared" ca="1" si="17"/>
        <v/>
      </c>
      <c r="AQ39" s="44" t="str">
        <f t="shared" ca="1" si="17"/>
        <v/>
      </c>
      <c r="AR39" s="44" t="str">
        <f t="shared" ca="1" si="17"/>
        <v/>
      </c>
      <c r="AS39" s="44" t="str">
        <f t="shared" ca="1" si="17"/>
        <v/>
      </c>
      <c r="AT39" s="44" t="str">
        <f t="shared" ca="1" si="17"/>
        <v/>
      </c>
      <c r="AU39" s="44" t="str">
        <f t="shared" ca="1" si="17"/>
        <v/>
      </c>
      <c r="AV39" s="44" t="str">
        <f t="shared" ca="1" si="17"/>
        <v/>
      </c>
      <c r="AW39" s="44" t="str">
        <f t="shared" ca="1" si="17"/>
        <v/>
      </c>
      <c r="AX39" s="44" t="str">
        <f t="shared" ca="1" si="17"/>
        <v/>
      </c>
      <c r="AY39" s="44" t="str">
        <f t="shared" ca="1" si="17"/>
        <v/>
      </c>
      <c r="AZ39" s="44" t="str">
        <f t="shared" ca="1" si="17"/>
        <v/>
      </c>
      <c r="BA39" s="44" t="str">
        <f t="shared" ca="1" si="17"/>
        <v/>
      </c>
      <c r="BB39" s="44" t="str">
        <f t="shared" ca="1" si="17"/>
        <v/>
      </c>
      <c r="BC39" s="44" t="str">
        <f t="shared" ca="1" si="17"/>
        <v/>
      </c>
      <c r="BD39" s="44" t="str">
        <f t="shared" ca="1" si="17"/>
        <v/>
      </c>
      <c r="BE39" s="44" t="str">
        <f t="shared" ca="1" si="17"/>
        <v/>
      </c>
      <c r="BF39" s="44" t="str">
        <f t="shared" ca="1" si="17"/>
        <v/>
      </c>
      <c r="BG39" s="44" t="str">
        <f t="shared" ca="1" si="17"/>
        <v/>
      </c>
      <c r="BH39" s="44" t="str">
        <f t="shared" ca="1" si="17"/>
        <v/>
      </c>
      <c r="BI39" s="44" t="str">
        <f t="shared" ca="1" si="17"/>
        <v/>
      </c>
      <c r="BJ39" s="44" t="str">
        <f t="shared" ca="1" si="17"/>
        <v/>
      </c>
      <c r="BK39" s="44" t="str">
        <f t="shared" ca="1" si="17"/>
        <v/>
      </c>
      <c r="BL39" s="44" t="str">
        <f t="shared" ca="1" si="17"/>
        <v/>
      </c>
      <c r="BM39" s="44"/>
    </row>
    <row r="40" spans="1:65" s="1" customFormat="1" ht="18" customHeight="1" x14ac:dyDescent="0.25">
      <c r="A40" s="144"/>
      <c r="B40" s="91" t="s">
        <v>46</v>
      </c>
      <c r="C40" s="90" t="s">
        <v>8</v>
      </c>
      <c r="D40" s="56">
        <v>3</v>
      </c>
      <c r="E40" s="57"/>
      <c r="F40" s="70"/>
      <c r="G40" s="74"/>
      <c r="H40" s="75"/>
      <c r="I40" s="44" t="str">
        <f t="shared" ca="1" si="15"/>
        <v/>
      </c>
      <c r="J40" s="44" t="str">
        <f t="shared" ca="1" si="15"/>
        <v/>
      </c>
      <c r="K40" s="44" t="str">
        <f t="shared" ca="1" si="15"/>
        <v/>
      </c>
      <c r="L40" s="44" t="str">
        <f t="shared" ca="1" si="15"/>
        <v/>
      </c>
      <c r="M40" s="44" t="str">
        <f t="shared" ca="1" si="15"/>
        <v/>
      </c>
      <c r="N40" s="44" t="str">
        <f t="shared" ca="1" si="15"/>
        <v/>
      </c>
      <c r="O40" s="44" t="str">
        <f t="shared" ca="1" si="15"/>
        <v/>
      </c>
      <c r="P40" s="44" t="str">
        <f t="shared" ca="1" si="15"/>
        <v/>
      </c>
      <c r="Q40" s="44" t="str">
        <f t="shared" ca="1" si="15"/>
        <v/>
      </c>
      <c r="R40" s="44" t="str">
        <f t="shared" ca="1" si="15"/>
        <v/>
      </c>
      <c r="S40" s="44" t="str">
        <f t="shared" ca="1" si="15"/>
        <v/>
      </c>
      <c r="T40" s="44" t="str">
        <f t="shared" ca="1" si="15"/>
        <v/>
      </c>
      <c r="U40" s="44" t="str">
        <f t="shared" ca="1" si="15"/>
        <v/>
      </c>
      <c r="V40" s="44" t="str">
        <f t="shared" ca="1" si="15"/>
        <v/>
      </c>
      <c r="W40" s="44" t="str">
        <f t="shared" ca="1" si="12"/>
        <v/>
      </c>
      <c r="X40" s="44" t="str">
        <f t="shared" ca="1" si="17"/>
        <v/>
      </c>
      <c r="Y40" s="44" t="str">
        <f t="shared" ca="1" si="17"/>
        <v/>
      </c>
      <c r="Z40" s="44" t="str">
        <f t="shared" ca="1" si="17"/>
        <v/>
      </c>
      <c r="AA40" s="44" t="str">
        <f t="shared" ca="1" si="17"/>
        <v/>
      </c>
      <c r="AB40" s="44" t="str">
        <f t="shared" ca="1" si="17"/>
        <v/>
      </c>
      <c r="AC40" s="44" t="str">
        <f t="shared" ca="1" si="17"/>
        <v/>
      </c>
      <c r="AD40" s="44" t="str">
        <f t="shared" ca="1" si="17"/>
        <v/>
      </c>
      <c r="AE40" s="44" t="str">
        <f t="shared" ca="1" si="17"/>
        <v/>
      </c>
      <c r="AF40" s="44" t="str">
        <f t="shared" ca="1" si="17"/>
        <v/>
      </c>
      <c r="AG40" s="44" t="str">
        <f t="shared" ca="1" si="17"/>
        <v/>
      </c>
      <c r="AH40" s="44" t="str">
        <f t="shared" ca="1" si="17"/>
        <v/>
      </c>
      <c r="AI40" s="44" t="str">
        <f t="shared" ca="1" si="17"/>
        <v/>
      </c>
      <c r="AJ40" s="44" t="str">
        <f t="shared" ca="1" si="17"/>
        <v/>
      </c>
      <c r="AK40" s="44" t="str">
        <f t="shared" ca="1" si="17"/>
        <v/>
      </c>
      <c r="AL40" s="44" t="str">
        <f t="shared" ca="1" si="17"/>
        <v/>
      </c>
      <c r="AM40" s="44" t="str">
        <f t="shared" ca="1" si="17"/>
        <v/>
      </c>
      <c r="AN40" s="44" t="str">
        <f t="shared" ca="1" si="17"/>
        <v/>
      </c>
      <c r="AO40" s="44" t="str">
        <f t="shared" ca="1" si="17"/>
        <v/>
      </c>
      <c r="AP40" s="44" t="str">
        <f t="shared" ca="1" si="17"/>
        <v/>
      </c>
      <c r="AQ40" s="44" t="str">
        <f t="shared" ca="1" si="17"/>
        <v/>
      </c>
      <c r="AR40" s="44" t="str">
        <f t="shared" ca="1" si="17"/>
        <v/>
      </c>
      <c r="AS40" s="44" t="str">
        <f t="shared" ca="1" si="17"/>
        <v/>
      </c>
      <c r="AT40" s="44" t="str">
        <f t="shared" ca="1" si="17"/>
        <v/>
      </c>
      <c r="AU40" s="44" t="str">
        <f t="shared" ca="1" si="17"/>
        <v/>
      </c>
      <c r="AV40" s="44" t="str">
        <f t="shared" ca="1" si="17"/>
        <v/>
      </c>
      <c r="AW40" s="44" t="str">
        <f t="shared" ca="1" si="17"/>
        <v/>
      </c>
      <c r="AX40" s="44" t="str">
        <f t="shared" ca="1" si="17"/>
        <v/>
      </c>
      <c r="AY40" s="44" t="str">
        <f t="shared" ca="1" si="17"/>
        <v/>
      </c>
      <c r="AZ40" s="44" t="str">
        <f t="shared" ca="1" si="17"/>
        <v/>
      </c>
      <c r="BA40" s="44" t="str">
        <f t="shared" ca="1" si="17"/>
        <v/>
      </c>
      <c r="BB40" s="44" t="str">
        <f t="shared" ca="1" si="17"/>
        <v/>
      </c>
      <c r="BC40" s="44" t="str">
        <f t="shared" ca="1" si="17"/>
        <v/>
      </c>
      <c r="BD40" s="44" t="str">
        <f t="shared" ca="1" si="17"/>
        <v/>
      </c>
      <c r="BE40" s="44" t="str">
        <f t="shared" ca="1" si="17"/>
        <v/>
      </c>
      <c r="BF40" s="44" t="str">
        <f t="shared" ca="1" si="17"/>
        <v/>
      </c>
      <c r="BG40" s="44" t="str">
        <f t="shared" ca="1" si="17"/>
        <v/>
      </c>
      <c r="BH40" s="44" t="str">
        <f t="shared" ca="1" si="17"/>
        <v/>
      </c>
      <c r="BI40" s="44" t="str">
        <f t="shared" ca="1" si="17"/>
        <v/>
      </c>
      <c r="BJ40" s="44" t="str">
        <f t="shared" ca="1" si="17"/>
        <v/>
      </c>
      <c r="BK40" s="44" t="str">
        <f t="shared" ca="1" si="17"/>
        <v/>
      </c>
      <c r="BL40" s="44" t="str">
        <f t="shared" ca="1" si="17"/>
        <v/>
      </c>
      <c r="BM40" s="44"/>
    </row>
    <row r="41" spans="1:65" s="1" customFormat="1" ht="18" customHeight="1" x14ac:dyDescent="0.25">
      <c r="A41" s="144"/>
      <c r="B41" s="92" t="s">
        <v>46</v>
      </c>
      <c r="C41" s="89" t="s">
        <v>8</v>
      </c>
      <c r="D41" s="78">
        <v>4</v>
      </c>
      <c r="E41" s="79"/>
      <c r="F41" s="80"/>
      <c r="G41" s="84"/>
      <c r="H41" s="86"/>
      <c r="I41" s="83" t="str">
        <f t="shared" ca="1" si="15"/>
        <v/>
      </c>
      <c r="J41" s="83" t="str">
        <f t="shared" ca="1" si="15"/>
        <v/>
      </c>
      <c r="K41" s="83" t="str">
        <f t="shared" ca="1" si="15"/>
        <v/>
      </c>
      <c r="L41" s="83" t="str">
        <f t="shared" ca="1" si="15"/>
        <v/>
      </c>
      <c r="M41" s="83" t="str">
        <f t="shared" ca="1" si="15"/>
        <v/>
      </c>
      <c r="N41" s="83" t="str">
        <f t="shared" ca="1" si="15"/>
        <v/>
      </c>
      <c r="O41" s="83" t="str">
        <f t="shared" ca="1" si="15"/>
        <v/>
      </c>
      <c r="P41" s="83" t="str">
        <f t="shared" ca="1" si="15"/>
        <v/>
      </c>
      <c r="Q41" s="83" t="str">
        <f t="shared" ca="1" si="15"/>
        <v/>
      </c>
      <c r="R41" s="83" t="str">
        <f t="shared" ca="1" si="15"/>
        <v/>
      </c>
      <c r="S41" s="83" t="str">
        <f t="shared" ca="1" si="15"/>
        <v/>
      </c>
      <c r="T41" s="83" t="str">
        <f t="shared" ca="1" si="15"/>
        <v/>
      </c>
      <c r="U41" s="83" t="str">
        <f t="shared" ca="1" si="15"/>
        <v/>
      </c>
      <c r="V41" s="83" t="str">
        <f t="shared" ca="1" si="15"/>
        <v/>
      </c>
      <c r="W41" s="83" t="str">
        <f t="shared" ca="1" si="12"/>
        <v/>
      </c>
      <c r="X41" s="83" t="str">
        <f t="shared" ca="1" si="17"/>
        <v/>
      </c>
      <c r="Y41" s="83" t="str">
        <f t="shared" ca="1" si="17"/>
        <v/>
      </c>
      <c r="Z41" s="83" t="str">
        <f t="shared" ca="1" si="17"/>
        <v/>
      </c>
      <c r="AA41" s="83" t="str">
        <f t="shared" ca="1" si="17"/>
        <v/>
      </c>
      <c r="AB41" s="83" t="str">
        <f t="shared" ca="1" si="17"/>
        <v/>
      </c>
      <c r="AC41" s="83" t="str">
        <f t="shared" ca="1" si="17"/>
        <v/>
      </c>
      <c r="AD41" s="83" t="str">
        <f t="shared" ca="1" si="17"/>
        <v/>
      </c>
      <c r="AE41" s="83" t="str">
        <f t="shared" ca="1" si="17"/>
        <v/>
      </c>
      <c r="AF41" s="83" t="str">
        <f t="shared" ca="1" si="17"/>
        <v/>
      </c>
      <c r="AG41" s="83" t="str">
        <f t="shared" ca="1" si="17"/>
        <v/>
      </c>
      <c r="AH41" s="83" t="str">
        <f t="shared" ca="1" si="17"/>
        <v/>
      </c>
      <c r="AI41" s="83" t="str">
        <f t="shared" ca="1" si="17"/>
        <v/>
      </c>
      <c r="AJ41" s="83" t="str">
        <f t="shared" ca="1" si="17"/>
        <v/>
      </c>
      <c r="AK41" s="83" t="str">
        <f t="shared" ca="1" si="17"/>
        <v/>
      </c>
      <c r="AL41" s="83" t="str">
        <f t="shared" ca="1" si="17"/>
        <v/>
      </c>
      <c r="AM41" s="83" t="str">
        <f t="shared" ca="1" si="17"/>
        <v/>
      </c>
      <c r="AN41" s="83" t="str">
        <f t="shared" ca="1" si="17"/>
        <v/>
      </c>
      <c r="AO41" s="83" t="str">
        <f t="shared" ca="1" si="17"/>
        <v/>
      </c>
      <c r="AP41" s="83" t="str">
        <f t="shared" ca="1" si="17"/>
        <v/>
      </c>
      <c r="AQ41" s="83" t="str">
        <f t="shared" ca="1" si="17"/>
        <v/>
      </c>
      <c r="AR41" s="83" t="str">
        <f t="shared" ca="1" si="17"/>
        <v/>
      </c>
      <c r="AS41" s="83" t="str">
        <f t="shared" ca="1" si="17"/>
        <v/>
      </c>
      <c r="AT41" s="83" t="str">
        <f t="shared" ca="1" si="17"/>
        <v/>
      </c>
      <c r="AU41" s="83" t="str">
        <f t="shared" ca="1" si="17"/>
        <v/>
      </c>
      <c r="AV41" s="83" t="str">
        <f t="shared" ca="1" si="17"/>
        <v/>
      </c>
      <c r="AW41" s="83" t="str">
        <f t="shared" ca="1" si="17"/>
        <v/>
      </c>
      <c r="AX41" s="83" t="str">
        <f t="shared" ca="1" si="17"/>
        <v/>
      </c>
      <c r="AY41" s="83" t="str">
        <f t="shared" ca="1" si="17"/>
        <v/>
      </c>
      <c r="AZ41" s="83" t="str">
        <f t="shared" ca="1" si="17"/>
        <v/>
      </c>
      <c r="BA41" s="83" t="str">
        <f t="shared" ca="1" si="17"/>
        <v/>
      </c>
      <c r="BB41" s="83" t="str">
        <f t="shared" ca="1" si="17"/>
        <v/>
      </c>
      <c r="BC41" s="83" t="str">
        <f t="shared" ca="1" si="17"/>
        <v/>
      </c>
      <c r="BD41" s="83" t="str">
        <f t="shared" ca="1" si="17"/>
        <v/>
      </c>
      <c r="BE41" s="83" t="str">
        <f t="shared" ca="1" si="17"/>
        <v/>
      </c>
      <c r="BF41" s="83" t="str">
        <f t="shared" ca="1" si="17"/>
        <v/>
      </c>
      <c r="BG41" s="83" t="str">
        <f t="shared" ca="1" si="17"/>
        <v/>
      </c>
      <c r="BH41" s="83" t="str">
        <f t="shared" ca="1" si="17"/>
        <v/>
      </c>
      <c r="BI41" s="83" t="str">
        <f t="shared" ca="1" si="17"/>
        <v/>
      </c>
      <c r="BJ41" s="83" t="str">
        <f t="shared" ca="1" si="17"/>
        <v/>
      </c>
      <c r="BK41" s="83" t="str">
        <f t="shared" ca="1" si="17"/>
        <v/>
      </c>
      <c r="BL41" s="83" t="str">
        <f t="shared" ca="1" si="17"/>
        <v/>
      </c>
      <c r="BM41" s="83"/>
    </row>
    <row r="42" spans="1:65" s="1" customFormat="1" ht="18" customHeight="1" x14ac:dyDescent="0.25">
      <c r="A42" s="144"/>
      <c r="B42" s="65" t="s">
        <v>49</v>
      </c>
      <c r="C42" s="55"/>
      <c r="D42" s="56"/>
      <c r="E42" s="57"/>
      <c r="F42" s="70"/>
      <c r="G42" s="71"/>
      <c r="H42" s="72"/>
      <c r="I42" s="68" t="str">
        <f t="shared" ca="1" si="15"/>
        <v/>
      </c>
      <c r="J42" s="68" t="str">
        <f t="shared" ca="1" si="15"/>
        <v/>
      </c>
      <c r="K42" s="68" t="str">
        <f t="shared" ca="1" si="15"/>
        <v/>
      </c>
      <c r="L42" s="68" t="str">
        <f t="shared" ca="1" si="15"/>
        <v/>
      </c>
      <c r="M42" s="68" t="str">
        <f t="shared" ca="1" si="15"/>
        <v/>
      </c>
      <c r="N42" s="68" t="str">
        <f t="shared" ca="1" si="15"/>
        <v/>
      </c>
      <c r="O42" s="68" t="str">
        <f t="shared" ca="1" si="15"/>
        <v/>
      </c>
      <c r="P42" s="68" t="str">
        <f t="shared" ca="1" si="15"/>
        <v/>
      </c>
      <c r="Q42" s="68" t="str">
        <f t="shared" ca="1" si="15"/>
        <v/>
      </c>
      <c r="R42" s="68" t="str">
        <f t="shared" ca="1" si="15"/>
        <v/>
      </c>
      <c r="S42" s="68" t="str">
        <f t="shared" ca="1" si="15"/>
        <v/>
      </c>
      <c r="T42" s="68" t="str">
        <f t="shared" ca="1" si="15"/>
        <v/>
      </c>
      <c r="U42" s="68" t="str">
        <f t="shared" ca="1" si="15"/>
        <v/>
      </c>
      <c r="V42" s="68" t="str">
        <f t="shared" ca="1" si="15"/>
        <v/>
      </c>
      <c r="W42" s="68" t="str">
        <f t="shared" ca="1" si="12"/>
        <v/>
      </c>
      <c r="X42" s="68" t="str">
        <f t="shared" ca="1" si="17"/>
        <v/>
      </c>
      <c r="Y42" s="68" t="str">
        <f t="shared" ca="1" si="17"/>
        <v/>
      </c>
      <c r="Z42" s="68" t="str">
        <f t="shared" ca="1" si="17"/>
        <v/>
      </c>
      <c r="AA42" s="68" t="str">
        <f t="shared" ca="1" si="17"/>
        <v/>
      </c>
      <c r="AB42" s="68" t="str">
        <f t="shared" ca="1" si="17"/>
        <v/>
      </c>
      <c r="AC42" s="68" t="str">
        <f t="shared" ca="1" si="17"/>
        <v/>
      </c>
      <c r="AD42" s="68" t="str">
        <f t="shared" ca="1" si="17"/>
        <v/>
      </c>
      <c r="AE42" s="68" t="str">
        <f t="shared" ca="1" si="17"/>
        <v/>
      </c>
      <c r="AF42" s="68" t="str">
        <f t="shared" ca="1" si="17"/>
        <v/>
      </c>
      <c r="AG42" s="68" t="str">
        <f t="shared" ca="1" si="17"/>
        <v/>
      </c>
      <c r="AH42" s="68" t="str">
        <f t="shared" ca="1" si="17"/>
        <v/>
      </c>
      <c r="AI42" s="68" t="str">
        <f t="shared" ca="1" si="17"/>
        <v/>
      </c>
      <c r="AJ42" s="68" t="str">
        <f t="shared" ca="1" si="17"/>
        <v/>
      </c>
      <c r="AK42" s="68" t="str">
        <f t="shared" ca="1" si="17"/>
        <v/>
      </c>
      <c r="AL42" s="68" t="str">
        <f t="shared" ca="1" si="17"/>
        <v/>
      </c>
      <c r="AM42" s="68" t="str">
        <f t="shared" ca="1" si="17"/>
        <v/>
      </c>
      <c r="AN42" s="68" t="str">
        <f t="shared" ca="1" si="17"/>
        <v/>
      </c>
      <c r="AO42" s="68" t="str">
        <f t="shared" ca="1" si="17"/>
        <v/>
      </c>
      <c r="AP42" s="68" t="str">
        <f t="shared" ca="1" si="17"/>
        <v/>
      </c>
      <c r="AQ42" s="68" t="str">
        <f t="shared" ca="1" si="17"/>
        <v/>
      </c>
      <c r="AR42" s="68" t="str">
        <f t="shared" ca="1" si="17"/>
        <v/>
      </c>
      <c r="AS42" s="68" t="str">
        <f t="shared" ca="1" si="17"/>
        <v/>
      </c>
      <c r="AT42" s="68" t="str">
        <f t="shared" ca="1" si="17"/>
        <v/>
      </c>
      <c r="AU42" s="68" t="str">
        <f t="shared" ca="1" si="17"/>
        <v/>
      </c>
      <c r="AV42" s="68" t="str">
        <f t="shared" ca="1" si="17"/>
        <v/>
      </c>
      <c r="AW42" s="68" t="str">
        <f t="shared" ca="1" si="17"/>
        <v/>
      </c>
      <c r="AX42" s="68" t="str">
        <f t="shared" ca="1" si="17"/>
        <v/>
      </c>
      <c r="AY42" s="68" t="str">
        <f t="shared" ca="1" si="17"/>
        <v/>
      </c>
      <c r="AZ42" s="68" t="str">
        <f t="shared" ca="1" si="17"/>
        <v/>
      </c>
      <c r="BA42" s="68" t="str">
        <f t="shared" ca="1" si="17"/>
        <v/>
      </c>
      <c r="BB42" s="68" t="str">
        <f t="shared" ca="1" si="17"/>
        <v/>
      </c>
      <c r="BC42" s="68" t="str">
        <f t="shared" ca="1" si="17"/>
        <v/>
      </c>
      <c r="BD42" s="68" t="str">
        <f t="shared" ca="1" si="17"/>
        <v/>
      </c>
      <c r="BE42" s="68" t="str">
        <f t="shared" ca="1" si="17"/>
        <v/>
      </c>
      <c r="BF42" s="68" t="str">
        <f t="shared" ca="1" si="17"/>
        <v/>
      </c>
      <c r="BG42" s="68" t="str">
        <f t="shared" ca="1" si="17"/>
        <v/>
      </c>
      <c r="BH42" s="68" t="str">
        <f t="shared" ca="1" si="17"/>
        <v/>
      </c>
      <c r="BI42" s="68" t="str">
        <f t="shared" ca="1" si="17"/>
        <v/>
      </c>
      <c r="BJ42" s="68" t="str">
        <f t="shared" ca="1" si="17"/>
        <v/>
      </c>
      <c r="BK42" s="68" t="str">
        <f t="shared" ca="1" si="17"/>
        <v/>
      </c>
      <c r="BL42" s="68" t="str">
        <f t="shared" ca="1" si="17"/>
        <v/>
      </c>
      <c r="BM42" s="68"/>
    </row>
    <row r="43" spans="1:65" s="1" customFormat="1" ht="18" customHeight="1" x14ac:dyDescent="0.25">
      <c r="A43" s="144"/>
      <c r="B43" s="64" t="s">
        <v>32</v>
      </c>
      <c r="C43" s="55"/>
      <c r="D43" s="56"/>
      <c r="E43" s="57"/>
      <c r="F43" s="70">
        <f>Plan_Weihnachten[[#This Row],[Ende]]-Plan_Weihnachten[[#This Row],[Dauer
in Tage]]</f>
        <v>46725</v>
      </c>
      <c r="G43" s="71">
        <v>5</v>
      </c>
      <c r="H43" s="72">
        <f>F45</f>
        <v>46730</v>
      </c>
      <c r="I43" s="44" t="str">
        <f t="shared" ca="1" si="15"/>
        <v/>
      </c>
      <c r="J43" s="44" t="str">
        <f t="shared" ca="1" si="15"/>
        <v/>
      </c>
      <c r="K43" s="44" t="str">
        <f t="shared" ca="1" si="15"/>
        <v/>
      </c>
      <c r="L43" s="44" t="str">
        <f t="shared" ca="1" si="15"/>
        <v/>
      </c>
      <c r="M43" s="44" t="str">
        <f t="shared" ca="1" si="15"/>
        <v/>
      </c>
      <c r="N43" s="44" t="str">
        <f t="shared" ca="1" si="15"/>
        <v/>
      </c>
      <c r="O43" s="44" t="str">
        <f t="shared" ca="1" si="15"/>
        <v/>
      </c>
      <c r="P43" s="44" t="str">
        <f t="shared" ca="1" si="15"/>
        <v/>
      </c>
      <c r="Q43" s="44" t="str">
        <f t="shared" ca="1" si="15"/>
        <v/>
      </c>
      <c r="R43" s="44" t="str">
        <f t="shared" ca="1" si="15"/>
        <v/>
      </c>
      <c r="S43" s="44" t="str">
        <f t="shared" ca="1" si="15"/>
        <v/>
      </c>
      <c r="T43" s="44" t="str">
        <f t="shared" ca="1" si="15"/>
        <v/>
      </c>
      <c r="U43" s="44" t="str">
        <f t="shared" ca="1" si="15"/>
        <v/>
      </c>
      <c r="V43" s="44" t="str">
        <f t="shared" ca="1" si="15"/>
        <v/>
      </c>
      <c r="W43" s="44" t="str">
        <f t="shared" ca="1" si="12"/>
        <v/>
      </c>
      <c r="X43" s="44" t="str">
        <f t="shared" ca="1" si="17"/>
        <v/>
      </c>
      <c r="Y43" s="44" t="str">
        <f t="shared" ca="1" si="17"/>
        <v/>
      </c>
      <c r="Z43" s="44" t="str">
        <f t="shared" ca="1" si="17"/>
        <v/>
      </c>
      <c r="AA43" s="44" t="str">
        <f t="shared" ca="1" si="17"/>
        <v/>
      </c>
      <c r="AB43" s="44" t="str">
        <f t="shared" ca="1" si="17"/>
        <v/>
      </c>
      <c r="AC43" s="44" t="str">
        <f t="shared" ca="1" si="17"/>
        <v/>
      </c>
      <c r="AD43" s="44" t="str">
        <f t="shared" ca="1" si="17"/>
        <v/>
      </c>
      <c r="AE43" s="44" t="str">
        <f t="shared" ca="1" si="17"/>
        <v/>
      </c>
      <c r="AF43" s="44" t="str">
        <f t="shared" ca="1" si="17"/>
        <v/>
      </c>
      <c r="AG43" s="44" t="str">
        <f t="shared" ca="1" si="17"/>
        <v/>
      </c>
      <c r="AH43" s="44" t="str">
        <f t="shared" ca="1" si="17"/>
        <v/>
      </c>
      <c r="AI43" s="44" t="str">
        <f t="shared" ca="1" si="17"/>
        <v/>
      </c>
      <c r="AJ43" s="44" t="str">
        <f t="shared" ca="1" si="17"/>
        <v/>
      </c>
      <c r="AK43" s="44" t="str">
        <f t="shared" ca="1" si="17"/>
        <v/>
      </c>
      <c r="AL43" s="44" t="str">
        <f t="shared" ca="1" si="17"/>
        <v/>
      </c>
      <c r="AM43" s="44" t="str">
        <f t="shared" ca="1" si="17"/>
        <v/>
      </c>
      <c r="AN43" s="44" t="str">
        <f t="shared" ca="1" si="17"/>
        <v/>
      </c>
      <c r="AO43" s="44" t="str">
        <f t="shared" ref="X43:BL45" ca="1" si="18">IF(AND($C43="Ziel",$H43=AO$7),2,IF(AND($C43="Meilenstein",$H43=AO$7),1,""))</f>
        <v/>
      </c>
      <c r="AP43" s="44" t="str">
        <f t="shared" ca="1" si="18"/>
        <v/>
      </c>
      <c r="AQ43" s="44" t="str">
        <f t="shared" ca="1" si="18"/>
        <v/>
      </c>
      <c r="AR43" s="44" t="str">
        <f t="shared" ca="1" si="18"/>
        <v/>
      </c>
      <c r="AS43" s="44" t="str">
        <f t="shared" ca="1" si="18"/>
        <v/>
      </c>
      <c r="AT43" s="44" t="str">
        <f t="shared" ca="1" si="18"/>
        <v/>
      </c>
      <c r="AU43" s="44" t="str">
        <f t="shared" ca="1" si="18"/>
        <v/>
      </c>
      <c r="AV43" s="44" t="str">
        <f t="shared" ca="1" si="18"/>
        <v/>
      </c>
      <c r="AW43" s="44" t="str">
        <f t="shared" ca="1" si="18"/>
        <v/>
      </c>
      <c r="AX43" s="44" t="str">
        <f t="shared" ca="1" si="18"/>
        <v/>
      </c>
      <c r="AY43" s="44" t="str">
        <f t="shared" ca="1" si="18"/>
        <v/>
      </c>
      <c r="AZ43" s="44" t="str">
        <f t="shared" ca="1" si="18"/>
        <v/>
      </c>
      <c r="BA43" s="44" t="str">
        <f t="shared" ca="1" si="18"/>
        <v/>
      </c>
      <c r="BB43" s="44" t="str">
        <f t="shared" ca="1" si="18"/>
        <v/>
      </c>
      <c r="BC43" s="44" t="str">
        <f t="shared" ca="1" si="18"/>
        <v/>
      </c>
      <c r="BD43" s="44" t="str">
        <f t="shared" ca="1" si="18"/>
        <v/>
      </c>
      <c r="BE43" s="44" t="str">
        <f t="shared" ca="1" si="18"/>
        <v/>
      </c>
      <c r="BF43" s="44" t="str">
        <f t="shared" ca="1" si="18"/>
        <v/>
      </c>
      <c r="BG43" s="44" t="str">
        <f t="shared" ca="1" si="18"/>
        <v/>
      </c>
      <c r="BH43" s="44" t="str">
        <f t="shared" ca="1" si="18"/>
        <v/>
      </c>
      <c r="BI43" s="44" t="str">
        <f t="shared" ca="1" si="18"/>
        <v/>
      </c>
      <c r="BJ43" s="44" t="str">
        <f t="shared" ca="1" si="18"/>
        <v/>
      </c>
      <c r="BK43" s="44" t="str">
        <f t="shared" ca="1" si="18"/>
        <v/>
      </c>
      <c r="BL43" s="44" t="str">
        <f t="shared" ca="1" si="18"/>
        <v/>
      </c>
      <c r="BM43" s="44"/>
    </row>
    <row r="44" spans="1:65" s="1" customFormat="1" ht="18" customHeight="1" x14ac:dyDescent="0.25">
      <c r="A44" s="144"/>
      <c r="B44" s="64" t="s">
        <v>34</v>
      </c>
      <c r="C44" s="55"/>
      <c r="D44" s="56"/>
      <c r="E44" s="57"/>
      <c r="F44" s="70">
        <f>Plan_Weihnachten[[#This Row],[Ende]]-Plan_Weihnachten[[#This Row],[Dauer
in Tage]]</f>
        <v>46725</v>
      </c>
      <c r="G44" s="71">
        <v>5</v>
      </c>
      <c r="H44" s="72">
        <f>F45</f>
        <v>46730</v>
      </c>
      <c r="I44" s="44" t="str">
        <f t="shared" ca="1" si="15"/>
        <v/>
      </c>
      <c r="J44" s="44" t="str">
        <f t="shared" ca="1" si="15"/>
        <v/>
      </c>
      <c r="K44" s="44" t="str">
        <f t="shared" ca="1" si="15"/>
        <v/>
      </c>
      <c r="L44" s="44" t="str">
        <f t="shared" ca="1" si="15"/>
        <v/>
      </c>
      <c r="M44" s="44" t="str">
        <f t="shared" ca="1" si="15"/>
        <v/>
      </c>
      <c r="N44" s="44" t="str">
        <f t="shared" ca="1" si="15"/>
        <v/>
      </c>
      <c r="O44" s="44" t="str">
        <f t="shared" ca="1" si="15"/>
        <v/>
      </c>
      <c r="P44" s="44" t="str">
        <f t="shared" ca="1" si="15"/>
        <v/>
      </c>
      <c r="Q44" s="44" t="str">
        <f t="shared" ca="1" si="15"/>
        <v/>
      </c>
      <c r="R44" s="44" t="str">
        <f t="shared" ca="1" si="15"/>
        <v/>
      </c>
      <c r="S44" s="44" t="str">
        <f t="shared" ca="1" si="15"/>
        <v/>
      </c>
      <c r="T44" s="44" t="str">
        <f t="shared" ca="1" si="15"/>
        <v/>
      </c>
      <c r="U44" s="44" t="str">
        <f t="shared" ca="1" si="15"/>
        <v/>
      </c>
      <c r="V44" s="44" t="str">
        <f t="shared" ca="1" si="15"/>
        <v/>
      </c>
      <c r="W44" s="44" t="str">
        <f t="shared" ca="1" si="12"/>
        <v/>
      </c>
      <c r="X44" s="44" t="str">
        <f t="shared" ca="1" si="18"/>
        <v/>
      </c>
      <c r="Y44" s="44" t="str">
        <f t="shared" ca="1" si="18"/>
        <v/>
      </c>
      <c r="Z44" s="44" t="str">
        <f t="shared" ca="1" si="18"/>
        <v/>
      </c>
      <c r="AA44" s="44" t="str">
        <f t="shared" ca="1" si="18"/>
        <v/>
      </c>
      <c r="AB44" s="44" t="str">
        <f t="shared" ca="1" si="18"/>
        <v/>
      </c>
      <c r="AC44" s="44" t="str">
        <f t="shared" ca="1" si="18"/>
        <v/>
      </c>
      <c r="AD44" s="44" t="str">
        <f t="shared" ca="1" si="18"/>
        <v/>
      </c>
      <c r="AE44" s="44" t="str">
        <f t="shared" ca="1" si="18"/>
        <v/>
      </c>
      <c r="AF44" s="44" t="str">
        <f t="shared" ca="1" si="18"/>
        <v/>
      </c>
      <c r="AG44" s="44" t="str">
        <f t="shared" ca="1" si="18"/>
        <v/>
      </c>
      <c r="AH44" s="44" t="str">
        <f t="shared" ca="1" si="18"/>
        <v/>
      </c>
      <c r="AI44" s="44" t="str">
        <f t="shared" ca="1" si="18"/>
        <v/>
      </c>
      <c r="AJ44" s="44" t="str">
        <f t="shared" ca="1" si="18"/>
        <v/>
      </c>
      <c r="AK44" s="44" t="str">
        <f t="shared" ca="1" si="18"/>
        <v/>
      </c>
      <c r="AL44" s="44" t="str">
        <f t="shared" ca="1" si="18"/>
        <v/>
      </c>
      <c r="AM44" s="44" t="str">
        <f t="shared" ca="1" si="18"/>
        <v/>
      </c>
      <c r="AN44" s="44" t="str">
        <f t="shared" ca="1" si="18"/>
        <v/>
      </c>
      <c r="AO44" s="44" t="str">
        <f t="shared" ca="1" si="18"/>
        <v/>
      </c>
      <c r="AP44" s="44" t="str">
        <f t="shared" ca="1" si="18"/>
        <v/>
      </c>
      <c r="AQ44" s="44" t="str">
        <f t="shared" ca="1" si="18"/>
        <v/>
      </c>
      <c r="AR44" s="44" t="str">
        <f t="shared" ca="1" si="18"/>
        <v/>
      </c>
      <c r="AS44" s="44" t="str">
        <f t="shared" ca="1" si="18"/>
        <v/>
      </c>
      <c r="AT44" s="44" t="str">
        <f t="shared" ca="1" si="18"/>
        <v/>
      </c>
      <c r="AU44" s="44" t="str">
        <f t="shared" ca="1" si="18"/>
        <v/>
      </c>
      <c r="AV44" s="44" t="str">
        <f t="shared" ca="1" si="18"/>
        <v/>
      </c>
      <c r="AW44" s="44" t="str">
        <f t="shared" ca="1" si="18"/>
        <v/>
      </c>
      <c r="AX44" s="44" t="str">
        <f t="shared" ca="1" si="18"/>
        <v/>
      </c>
      <c r="AY44" s="44" t="str">
        <f t="shared" ca="1" si="18"/>
        <v/>
      </c>
      <c r="AZ44" s="44" t="str">
        <f t="shared" ca="1" si="18"/>
        <v/>
      </c>
      <c r="BA44" s="44" t="str">
        <f t="shared" ca="1" si="18"/>
        <v/>
      </c>
      <c r="BB44" s="44" t="str">
        <f t="shared" ca="1" si="18"/>
        <v/>
      </c>
      <c r="BC44" s="44" t="str">
        <f t="shared" ca="1" si="18"/>
        <v/>
      </c>
      <c r="BD44" s="44" t="str">
        <f t="shared" ca="1" si="18"/>
        <v/>
      </c>
      <c r="BE44" s="44" t="str">
        <f t="shared" ca="1" si="18"/>
        <v/>
      </c>
      <c r="BF44" s="44" t="str">
        <f t="shared" ca="1" si="18"/>
        <v/>
      </c>
      <c r="BG44" s="44" t="str">
        <f t="shared" ca="1" si="18"/>
        <v/>
      </c>
      <c r="BH44" s="44" t="str">
        <f t="shared" ca="1" si="18"/>
        <v/>
      </c>
      <c r="BI44" s="44" t="str">
        <f t="shared" ca="1" si="18"/>
        <v/>
      </c>
      <c r="BJ44" s="44" t="str">
        <f t="shared" ca="1" si="18"/>
        <v/>
      </c>
      <c r="BK44" s="44" t="str">
        <f t="shared" ca="1" si="18"/>
        <v/>
      </c>
      <c r="BL44" s="44" t="str">
        <f t="shared" ca="1" si="18"/>
        <v/>
      </c>
      <c r="BM44" s="44"/>
    </row>
    <row r="45" spans="1:65" s="1" customFormat="1" ht="18" customHeight="1" x14ac:dyDescent="0.25">
      <c r="A45" s="144"/>
      <c r="B45" s="64" t="s">
        <v>50</v>
      </c>
      <c r="C45" s="55"/>
      <c r="D45" s="56" t="s">
        <v>51</v>
      </c>
      <c r="E45" s="57"/>
      <c r="F45" s="70">
        <f>Plan_Weihnachten[[#This Row],[Ende]]-Plan_Weihnachten[[#This Row],[Dauer
in Tage]]</f>
        <v>46730</v>
      </c>
      <c r="G45" s="71">
        <v>1</v>
      </c>
      <c r="H45" s="72">
        <f>H27+14</f>
        <v>46731</v>
      </c>
      <c r="I45" s="44" t="str">
        <f t="shared" ref="I45:BL45" ca="1" si="19">IF(AND($C45="Ziel",$H45=I$7),2,IF(AND($C45="Meilenstein",$H45=I$7),1,""))</f>
        <v/>
      </c>
      <c r="J45" s="44" t="str">
        <f t="shared" ca="1" si="19"/>
        <v/>
      </c>
      <c r="K45" s="44" t="str">
        <f t="shared" ca="1" si="19"/>
        <v/>
      </c>
      <c r="L45" s="44" t="str">
        <f t="shared" ca="1" si="19"/>
        <v/>
      </c>
      <c r="M45" s="44" t="str">
        <f t="shared" ca="1" si="19"/>
        <v/>
      </c>
      <c r="N45" s="44" t="str">
        <f t="shared" ca="1" si="19"/>
        <v/>
      </c>
      <c r="O45" s="44" t="str">
        <f t="shared" ca="1" si="19"/>
        <v/>
      </c>
      <c r="P45" s="44" t="str">
        <f t="shared" ca="1" si="19"/>
        <v/>
      </c>
      <c r="Q45" s="44" t="str">
        <f t="shared" ca="1" si="19"/>
        <v/>
      </c>
      <c r="R45" s="44" t="str">
        <f t="shared" ca="1" si="19"/>
        <v/>
      </c>
      <c r="S45" s="44" t="str">
        <f t="shared" ca="1" si="19"/>
        <v/>
      </c>
      <c r="T45" s="44" t="str">
        <f t="shared" ca="1" si="19"/>
        <v/>
      </c>
      <c r="U45" s="44" t="str">
        <f t="shared" ca="1" si="19"/>
        <v/>
      </c>
      <c r="V45" s="44" t="str">
        <f t="shared" ca="1" si="19"/>
        <v/>
      </c>
      <c r="W45" s="44" t="str">
        <f t="shared" ca="1" si="12"/>
        <v/>
      </c>
      <c r="X45" s="44" t="str">
        <f t="shared" ca="1" si="19"/>
        <v/>
      </c>
      <c r="Y45" s="44" t="str">
        <f t="shared" ca="1" si="19"/>
        <v/>
      </c>
      <c r="Z45" s="44" t="str">
        <f t="shared" ca="1" si="19"/>
        <v/>
      </c>
      <c r="AA45" s="44" t="str">
        <f t="shared" ca="1" si="19"/>
        <v/>
      </c>
      <c r="AB45" s="44" t="str">
        <f t="shared" ca="1" si="19"/>
        <v/>
      </c>
      <c r="AC45" s="44" t="str">
        <f t="shared" ca="1" si="19"/>
        <v/>
      </c>
      <c r="AD45" s="44" t="str">
        <f t="shared" ca="1" si="19"/>
        <v/>
      </c>
      <c r="AE45" s="44" t="str">
        <f t="shared" ca="1" si="19"/>
        <v/>
      </c>
      <c r="AF45" s="44" t="str">
        <f t="shared" ca="1" si="19"/>
        <v/>
      </c>
      <c r="AG45" s="44" t="str">
        <f t="shared" ca="1" si="19"/>
        <v/>
      </c>
      <c r="AH45" s="44" t="str">
        <f t="shared" ca="1" si="19"/>
        <v/>
      </c>
      <c r="AI45" s="44" t="str">
        <f t="shared" ca="1" si="19"/>
        <v/>
      </c>
      <c r="AJ45" s="44" t="str">
        <f t="shared" ca="1" si="19"/>
        <v/>
      </c>
      <c r="AK45" s="44" t="str">
        <f t="shared" ca="1" si="19"/>
        <v/>
      </c>
      <c r="AL45" s="44" t="str">
        <f t="shared" ca="1" si="18"/>
        <v/>
      </c>
      <c r="AM45" s="44" t="str">
        <f t="shared" ca="1" si="19"/>
        <v/>
      </c>
      <c r="AN45" s="44" t="str">
        <f t="shared" ca="1" si="19"/>
        <v/>
      </c>
      <c r="AO45" s="44" t="str">
        <f t="shared" ca="1" si="19"/>
        <v/>
      </c>
      <c r="AP45" s="44" t="str">
        <f t="shared" ca="1" si="19"/>
        <v/>
      </c>
      <c r="AQ45" s="44" t="str">
        <f t="shared" ca="1" si="19"/>
        <v/>
      </c>
      <c r="AR45" s="44" t="str">
        <f t="shared" ca="1" si="19"/>
        <v/>
      </c>
      <c r="AS45" s="44" t="str">
        <f t="shared" ca="1" si="19"/>
        <v/>
      </c>
      <c r="AT45" s="44" t="str">
        <f t="shared" ca="1" si="19"/>
        <v/>
      </c>
      <c r="AU45" s="44" t="str">
        <f t="shared" ca="1" si="19"/>
        <v/>
      </c>
      <c r="AV45" s="44" t="str">
        <f t="shared" ca="1" si="19"/>
        <v/>
      </c>
      <c r="AW45" s="44" t="str">
        <f t="shared" ca="1" si="19"/>
        <v/>
      </c>
      <c r="AX45" s="44" t="str">
        <f t="shared" ca="1" si="19"/>
        <v/>
      </c>
      <c r="AY45" s="44" t="str">
        <f t="shared" ca="1" si="19"/>
        <v/>
      </c>
      <c r="AZ45" s="44" t="str">
        <f t="shared" ca="1" si="19"/>
        <v/>
      </c>
      <c r="BA45" s="44" t="str">
        <f t="shared" ca="1" si="18"/>
        <v/>
      </c>
      <c r="BB45" s="44" t="str">
        <f t="shared" ca="1" si="19"/>
        <v/>
      </c>
      <c r="BC45" s="44" t="str">
        <f t="shared" ca="1" si="19"/>
        <v/>
      </c>
      <c r="BD45" s="44" t="str">
        <f t="shared" ca="1" si="19"/>
        <v/>
      </c>
      <c r="BE45" s="44" t="str">
        <f t="shared" ca="1" si="19"/>
        <v/>
      </c>
      <c r="BF45" s="44" t="str">
        <f t="shared" ca="1" si="19"/>
        <v/>
      </c>
      <c r="BG45" s="44" t="str">
        <f t="shared" ca="1" si="19"/>
        <v/>
      </c>
      <c r="BH45" s="44" t="str">
        <f t="shared" ca="1" si="19"/>
        <v/>
      </c>
      <c r="BI45" s="44" t="str">
        <f t="shared" ca="1" si="19"/>
        <v/>
      </c>
      <c r="BJ45" s="44" t="str">
        <f t="shared" ca="1" si="19"/>
        <v/>
      </c>
      <c r="BK45" s="44" t="str">
        <f t="shared" ca="1" si="19"/>
        <v/>
      </c>
      <c r="BL45" s="44" t="str">
        <f t="shared" ca="1" si="19"/>
        <v/>
      </c>
      <c r="BM45" s="44"/>
    </row>
    <row r="46" spans="1:65" s="1" customFormat="1" ht="40.15" customHeight="1" x14ac:dyDescent="0.25">
      <c r="A46" s="7"/>
      <c r="B46" s="40" t="s">
        <v>52</v>
      </c>
      <c r="C46" s="24"/>
      <c r="D46" s="24"/>
      <c r="E46" s="19"/>
      <c r="F46" s="25"/>
      <c r="G46" s="60"/>
      <c r="H46" s="61"/>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row>
    <row r="47" spans="1:65" ht="30" customHeight="1" x14ac:dyDescent="0.25">
      <c r="D47" s="4"/>
      <c r="G47" s="8"/>
      <c r="H47" s="3"/>
    </row>
    <row r="48" spans="1:65" ht="30" customHeight="1" x14ac:dyDescent="0.25">
      <c r="D48" s="5"/>
    </row>
  </sheetData>
  <mergeCells count="14">
    <mergeCell ref="E4:F4"/>
    <mergeCell ref="A28:A41"/>
    <mergeCell ref="A42:A45"/>
    <mergeCell ref="O2:T2"/>
    <mergeCell ref="AJ4:AO4"/>
    <mergeCell ref="AD4:AH4"/>
    <mergeCell ref="W4:AB4"/>
    <mergeCell ref="P4:U4"/>
    <mergeCell ref="AF2:AX2"/>
    <mergeCell ref="A16:A27"/>
    <mergeCell ref="B2:H2"/>
    <mergeCell ref="A11:A15"/>
    <mergeCell ref="I2:N2"/>
    <mergeCell ref="I4:N4"/>
  </mergeCells>
  <conditionalFormatting sqref="C11:C12">
    <cfRule type="expression" dxfId="34" priority="1584">
      <formula>$C11:$C52=$E$5</formula>
    </cfRule>
    <cfRule type="expression" dxfId="33" priority="1585">
      <formula>$C11:$C52=$F$5</formula>
    </cfRule>
    <cfRule type="expression" dxfId="32" priority="1586">
      <formula>$C11:$C52=$D$5</formula>
    </cfRule>
    <cfRule type="expression" dxfId="31" priority="1587">
      <formula>$C11:$C52=$C$5</formula>
    </cfRule>
  </conditionalFormatting>
  <conditionalFormatting sqref="C13:C25">
    <cfRule type="expression" dxfId="30" priority="1580">
      <formula>$C13:$C53=$E$5</formula>
    </cfRule>
    <cfRule type="expression" dxfId="29" priority="1581">
      <formula>$C13:$C53=$F$5</formula>
    </cfRule>
    <cfRule type="expression" dxfId="28" priority="1582">
      <formula>$C13:$C53=$D$5</formula>
    </cfRule>
    <cfRule type="expression" dxfId="27" priority="1583">
      <formula>$C13:$C53=$C$5</formula>
    </cfRule>
  </conditionalFormatting>
  <conditionalFormatting sqref="C26:C43">
    <cfRule type="expression" dxfId="26" priority="1570">
      <formula>$C26:$C65=$E$5</formula>
    </cfRule>
    <cfRule type="expression" dxfId="25" priority="1571">
      <formula>$C26:$C65=$F$5</formula>
    </cfRule>
    <cfRule type="expression" dxfId="24" priority="1572">
      <formula>$C26:$C65=$D$5</formula>
    </cfRule>
    <cfRule type="expression" dxfId="23" priority="1573">
      <formula>$C26:$C65=$C$5</formula>
    </cfRule>
  </conditionalFormatting>
  <conditionalFormatting sqref="C44:C45">
    <cfRule type="expression" dxfId="22" priority="3">
      <formula>$C44:$C82=$E$5</formula>
    </cfRule>
    <cfRule type="expression" dxfId="21" priority="1536">
      <formula>$C44:$C82=$C$5</formula>
    </cfRule>
    <cfRule type="expression" dxfId="20" priority="1535">
      <formula>$C44:$C82=$D$5</formula>
    </cfRule>
    <cfRule type="expression" dxfId="19" priority="1534">
      <formula>$C44:$C82=$F$5</formula>
    </cfRule>
  </conditionalFormatting>
  <conditionalFormatting sqref="C47:C48">
    <cfRule type="expression" dxfId="18" priority="1600">
      <formula>$C15:$C47=$E$5</formula>
    </cfRule>
  </conditionalFormatting>
  <conditionalFormatting sqref="C49:C50">
    <cfRule type="expression" dxfId="17" priority="1579">
      <formula>$C18:$C49=$E$5</formula>
    </cfRule>
  </conditionalFormatting>
  <conditionalFormatting sqref="C51">
    <cfRule type="expression" dxfId="16" priority="1398">
      <formula>$C16:$C51=$E$5</formula>
    </cfRule>
  </conditionalFormatting>
  <conditionalFormatting sqref="E9:E46">
    <cfRule type="dataBar" priority="5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E7:F7">
    <cfRule type="expression" dxfId="15" priority="43" stopIfTrue="1">
      <formula>AND(LEN($C7)=0,E$7&gt;=$F7,E$7&lt;=$F7+$G7-1)</formula>
    </cfRule>
  </conditionalFormatting>
  <conditionalFormatting sqref="F7">
    <cfRule type="expression" dxfId="14" priority="37">
      <formula>AND(TODAY()&gt;=F$7,TODAY()&lt;G$7)</formula>
    </cfRule>
  </conditionalFormatting>
  <conditionalFormatting sqref="I6:AM6">
    <cfRule type="expression" dxfId="12" priority="54">
      <formula>I$7&lt;=EOMONTH($I$7,0)</formula>
    </cfRule>
  </conditionalFormatting>
  <conditionalFormatting sqref="I6:BL6">
    <cfRule type="expression" dxfId="11" priority="52">
      <formula>AND(I$7&lt;=EOMONTH($I$7,1),I$7&gt;EOMONTH($I$7,0))</formula>
    </cfRule>
  </conditionalFormatting>
  <conditionalFormatting sqref="I7:BL7">
    <cfRule type="expression" dxfId="10" priority="29">
      <formula>AND(TODAY()&gt;=I$7,TODAY()&lt;J$7)</formula>
    </cfRule>
  </conditionalFormatting>
  <conditionalFormatting sqref="I8:BL10 I11:BM45">
    <cfRule type="expression" dxfId="9" priority="60" stopIfTrue="1">
      <formula>AND($C8=$C$5,I$7&gt;=$F8,I$7&lt;=$F8+$G8-1)</formula>
    </cfRule>
    <cfRule type="expression" dxfId="8" priority="61" stopIfTrue="1">
      <formula>AND($C8=$D$5,I$7&gt;=$F8,I$7&lt;=$F8+$G8-1)</formula>
    </cfRule>
    <cfRule type="expression" dxfId="7" priority="62" stopIfTrue="1">
      <formula>AND($C8=$E$5,I$7&gt;=$F8,I$7&lt;=$F8+$G8-1)</formula>
    </cfRule>
    <cfRule type="expression" dxfId="6" priority="63" stopIfTrue="1">
      <formula>AND($C8=$F$5,I$7&gt;=$F8,I$7&lt;=$F8+$G8-1)</formula>
    </cfRule>
    <cfRule type="expression" dxfId="5" priority="64" stopIfTrue="1">
      <formula>AND(LEN($C8)=0,I$7&gt;=$F8,I$7&lt;=$F8+$G8-1)</formula>
    </cfRule>
  </conditionalFormatting>
  <conditionalFormatting sqref="I9:BL9">
    <cfRule type="expression" dxfId="4" priority="1">
      <formula>I$9="S"</formula>
    </cfRule>
  </conditionalFormatting>
  <conditionalFormatting sqref="I11:BM45 I8:BL10">
    <cfRule type="expression" dxfId="3" priority="30">
      <formula>AND(TODAY()&gt;=I$7,TODAY()&lt;J$7)</formula>
    </cfRule>
  </conditionalFormatting>
  <conditionalFormatting sqref="I11:BM45">
    <cfRule type="expression" dxfId="2" priority="2">
      <formula>I$9="S"</formula>
    </cfRule>
  </conditionalFormatting>
  <conditionalFormatting sqref="J6:BL6">
    <cfRule type="expression" dxfId="1" priority="53">
      <formula>AND(J$7&lt;=EOMONTH($I$7,2),J$7&gt;EOMONTH($I$7,0),J$7&gt;EOMONTH($I$7,1))</formula>
    </cfRule>
  </conditionalFormatting>
  <dataValidations count="10">
    <dataValidation type="list" allowBlank="1" showInputMessage="1" showErrorMessage="1" sqref="C10" xr:uid="{AE36670D-A762-476F-A998-26F2E53DA15E}">
      <formula1>"Ziel,Meilenstein,Im Plan, Geringes Risiko, Mittleres Risiko, Hohes Risiko"</formula1>
    </dataValidation>
    <dataValidation type="whole" operator="greaterThanOrEqual" allowBlank="1" showInputMessage="1" promptTitle="Scrollschrittweite" prompt="Das Ändern dieser Zahl bewirkt ein Scrollen in der Gantt-Diagrammansicht." sqref="C7" xr:uid="{82BAE9E1-0935-489F-8A46-D9399C319E9D}">
      <formula1>0</formula1>
    </dataValidation>
    <dataValidation allowBlank="1" showInputMessage="1" showErrorMessage="1" prompt="Diese Zeile markiert das Ende der Gantt-Meilensteindaten. Geben Sie nichts in diese Zeile ein. _x000a_Um weitere Elemente hinzuzufügen, fügen Sie neue Zeilen darüber ein._x000a_" sqref="A46" xr:uid="{18EB7120-E959-4DE8-B2C4-0AC61EACF72D}"/>
    <dataValidation allowBlank="1" showInputMessage="1" showErrorMessage="1" sqref="A6" xr:uid="{90A16C61-4AA4-4255-AA94-4B55245DC181}"/>
    <dataValidation allowBlank="1" showInputMessage="1" showErrorMessage="1" prompt="Eine Scrollleiste befindet sich in den Zellen I8 bis BL8._x000a_Um in der Zeitleiste vorwärts oder rückwärts zu springen, geben Sie in Zelle C7 einen Wert von 0 oder höher ein._x000a_Ein Wert von 0 führt Sie zum Anfang des Diagramms." sqref="A8" xr:uid="{1D19439A-C57B-41ED-A18A-98A98F642F5B}"/>
    <dataValidation allowBlank="1" showInputMessage="1" showErrorMessage="1" prompt="Die Zellen I9 bis BL9 enthalten die Tagesnummer des Monats für den Monat, der im Zellenblock über jeder Datumszelle dargestellt ist, und werden automatisch berechnet._x000a_ Ändern Sie diese Zellen nicht._x000a_" sqref="A7" xr:uid="{96A2C8CA-2387-46AA-998D-CBCDFD035464}"/>
    <dataValidation allowBlank="1" showInputMessage="1" showErrorMessage="1" prompt="Geben Sie den Firmennamen in Zelle B4._x000a_Eine Legende befindet sich in den Zellen I4 bis AC4. Das Legendenetikett befindet sich in Zelle G4." sqref="A4" xr:uid="{0EFE1F7A-516D-432B-A0F0-C9548B31751B}"/>
    <dataValidation type="list" allowBlank="1" showInputMessage="1" showErrorMessage="1" sqref="C11:C45" xr:uid="{1FA86119-1C0F-4FE6-BDF6-8944579FCF85}">
      <formula1>$C$5:$H$5</formula1>
    </dataValidation>
    <dataValidation type="list" allowBlank="1" showInputMessage="1" showErrorMessage="1" promptTitle="Verknüpfung" prompt="Name der Maßnahme auf Blatt „Jahresplanung“. Von hier kommt der PAL (Briefkasten-Datum). Der Vorlauf wird aus diesem Gantt nach Blatt 1 übertragen." sqref="E4" xr:uid="{00000000-0002-0000-0200-000008000000}">
      <formula1>JP_Massnahme</formula1>
    </dataValidation>
    <dataValidation allowBlank="1" showInputMessage="1" promptTitle="Briefkasten-Datum (PAL)" prompt="Wird aus Blatt „Jahresplanung“ übernommen – bitte dort ändern." sqref="C4" xr:uid="{00000000-0002-0000-0200-000009000000}"/>
  </dataValidations>
  <printOptions horizontalCentered="1"/>
  <pageMargins left="0.25" right="0.25" top="0.5" bottom="0.5" header="0.3" footer="0.3"/>
  <pageSetup paperSize="9" scale="42"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8433" r:id="rId4" name="Scrollleiste 1">
              <controlPr defaultSize="0" autoPict="0" altText="Scrollleiste, um entlang der Gantt-Projektzeitachse zu scrollen.">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E9:E46</xm:sqref>
        </x14:conditionalFormatting>
        <x14:conditionalFormatting xmlns:xm="http://schemas.microsoft.com/office/excel/2006/main">
          <x14:cfRule type="iconSet" priority="1399" id="{1CF6AEBB-FEDB-4135-B0BB-2750D5B9504A}">
            <x14:iconSet showValue="0" custom="1">
              <x14:cfvo type="percent">
                <xm:f>0</xm:f>
              </x14:cfvo>
              <x14:cfvo type="num">
                <xm:f>1</xm:f>
              </x14:cfvo>
              <x14:cfvo type="num">
                <xm:f>2</xm:f>
              </x14:cfvo>
              <x14:cfIcon iconSet="NoIcons" iconId="0"/>
              <x14:cfIcon iconSet="3Flags" iconId="1"/>
              <x14:cfIcon iconSet="3Symbols" iconId="2"/>
            </x14:iconSet>
          </x14:cfRule>
          <xm:sqref>I11:BM45 I8:BL10</xm:sqref>
        </x14:conditionalFormatting>
        <x14:conditionalFormatting xmlns:xm="http://schemas.microsoft.com/office/excel/2006/main">
          <x14:cfRule type="iconSet" priority="1402" id="{D2196495-684F-453F-BBB6-788F505CB5C1}">
            <x14:iconSet showValue="0" custom="1">
              <x14:cfvo type="percent">
                <xm:f>0</xm:f>
              </x14:cfvo>
              <x14:cfvo type="num">
                <xm:f>1</xm:f>
              </x14:cfvo>
              <x14:cfvo type="num">
                <xm:f>2</xm:f>
              </x14:cfvo>
              <x14:cfIcon iconSet="NoIcons" iconId="0"/>
              <x14:cfIcon iconSet="3Flags" iconId="1"/>
              <x14:cfIcon iconSet="3Symbols" iconId="2"/>
            </x14:iconSet>
          </x14:cfRule>
          <xm:sqref>BI11:BM45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8CBAD"/>
    <pageSetUpPr fitToPage="1"/>
  </sheetPr>
  <dimension ref="B1:H21"/>
  <sheetViews>
    <sheetView showGridLines="0" zoomScaleNormal="100" workbookViewId="0">
      <selection activeCell="D8" sqref="D8"/>
    </sheetView>
  </sheetViews>
  <sheetFormatPr baseColWidth="10" defaultColWidth="9.140625" defaultRowHeight="15" x14ac:dyDescent="0.25"/>
  <cols>
    <col min="1" max="1" width="2.7109375" customWidth="1"/>
    <col min="2" max="2" width="16.7109375" customWidth="1"/>
    <col min="3" max="3" width="14.7109375" customWidth="1"/>
    <col min="4" max="4" width="30.7109375" customWidth="1"/>
    <col min="5" max="5" width="60.7109375" customWidth="1"/>
    <col min="6" max="6" width="2.7109375" customWidth="1"/>
    <col min="7" max="7" width="22.7109375" customWidth="1"/>
    <col min="8" max="8" width="8.7109375" customWidth="1"/>
  </cols>
  <sheetData>
    <row r="1" spans="2:8" ht="9.9499999999999993" customHeight="1" x14ac:dyDescent="0.25"/>
    <row r="2" spans="2:8" ht="30" customHeight="1" x14ac:dyDescent="0.25">
      <c r="B2" s="156" t="str">
        <f>"Gesetzliche Feiertage NRW "&amp;Planungsjahr</f>
        <v>Gesetzliche Feiertage NRW 2027</v>
      </c>
      <c r="C2" s="157"/>
      <c r="D2" s="157"/>
      <c r="E2" s="157"/>
      <c r="F2" s="157"/>
      <c r="G2" s="157"/>
      <c r="H2" s="157"/>
    </row>
    <row r="3" spans="2:8" ht="8.1" customHeight="1" x14ac:dyDescent="0.25"/>
    <row r="4" spans="2:8" ht="18" customHeight="1" x14ac:dyDescent="0.25">
      <c r="B4" s="96" t="s">
        <v>56</v>
      </c>
      <c r="C4" s="108">
        <f>Planungsjahr</f>
        <v>2027</v>
      </c>
      <c r="D4" s="97" t="s">
        <v>102</v>
      </c>
    </row>
    <row r="5" spans="2:8" ht="8.1" customHeight="1" x14ac:dyDescent="0.25"/>
    <row r="6" spans="2:8" ht="20.100000000000001" customHeight="1" x14ac:dyDescent="0.25">
      <c r="B6" s="98" t="s">
        <v>103</v>
      </c>
      <c r="C6" s="98" t="s">
        <v>104</v>
      </c>
      <c r="D6" s="98" t="s">
        <v>105</v>
      </c>
      <c r="E6" s="98" t="s">
        <v>106</v>
      </c>
      <c r="G6" s="111" t="s">
        <v>107</v>
      </c>
      <c r="H6" s="111"/>
    </row>
    <row r="7" spans="2:8" ht="18" customHeight="1" x14ac:dyDescent="0.25">
      <c r="B7" s="102">
        <f>DATE(Planungsjahr,1,1)</f>
        <v>46388</v>
      </c>
      <c r="C7" s="103">
        <f t="shared" ref="C7:C17" si="0">B7</f>
        <v>46388</v>
      </c>
      <c r="D7" s="104" t="s">
        <v>108</v>
      </c>
      <c r="E7" s="105" t="s">
        <v>109</v>
      </c>
      <c r="G7" s="109" t="s">
        <v>110</v>
      </c>
      <c r="H7" s="110">
        <f>MOD(Planungsjahr,19)</f>
        <v>13</v>
      </c>
    </row>
    <row r="8" spans="2:8" ht="18" customHeight="1" x14ac:dyDescent="0.25">
      <c r="B8" s="102">
        <f>$B$19-2</f>
        <v>46472</v>
      </c>
      <c r="C8" s="103">
        <f t="shared" si="0"/>
        <v>46472</v>
      </c>
      <c r="D8" s="104" t="s">
        <v>111</v>
      </c>
      <c r="E8" s="105" t="s">
        <v>112</v>
      </c>
      <c r="G8" s="109" t="s">
        <v>113</v>
      </c>
      <c r="H8" s="110">
        <f>INT(Planungsjahr/100)</f>
        <v>20</v>
      </c>
    </row>
    <row r="9" spans="2:8" ht="18" customHeight="1" x14ac:dyDescent="0.25">
      <c r="B9" s="102">
        <f>$B$19+1</f>
        <v>46475</v>
      </c>
      <c r="C9" s="103">
        <f t="shared" si="0"/>
        <v>46475</v>
      </c>
      <c r="D9" s="104" t="s">
        <v>114</v>
      </c>
      <c r="E9" s="105" t="s">
        <v>115</v>
      </c>
      <c r="G9" s="109" t="s">
        <v>116</v>
      </c>
      <c r="H9" s="110">
        <f>MOD(Planungsjahr,100)</f>
        <v>27</v>
      </c>
    </row>
    <row r="10" spans="2:8" ht="18" customHeight="1" x14ac:dyDescent="0.25">
      <c r="B10" s="102">
        <f>DATE(Planungsjahr,5,1)</f>
        <v>46508</v>
      </c>
      <c r="C10" s="103">
        <f t="shared" si="0"/>
        <v>46508</v>
      </c>
      <c r="D10" s="104" t="s">
        <v>117</v>
      </c>
      <c r="E10" s="105" t="s">
        <v>118</v>
      </c>
      <c r="G10" s="109" t="s">
        <v>119</v>
      </c>
      <c r="H10" s="110">
        <f>INT(H8/4)</f>
        <v>5</v>
      </c>
    </row>
    <row r="11" spans="2:8" ht="18" customHeight="1" x14ac:dyDescent="0.25">
      <c r="B11" s="102">
        <f>$B$19+39</f>
        <v>46513</v>
      </c>
      <c r="C11" s="103">
        <f t="shared" si="0"/>
        <v>46513</v>
      </c>
      <c r="D11" s="104" t="s">
        <v>120</v>
      </c>
      <c r="E11" s="105" t="s">
        <v>121</v>
      </c>
      <c r="G11" s="109" t="s">
        <v>122</v>
      </c>
      <c r="H11" s="110">
        <f>MOD(H8,4)</f>
        <v>0</v>
      </c>
    </row>
    <row r="12" spans="2:8" ht="18" customHeight="1" x14ac:dyDescent="0.25">
      <c r="B12" s="102">
        <f>$B$19+50</f>
        <v>46524</v>
      </c>
      <c r="C12" s="103">
        <f t="shared" si="0"/>
        <v>46524</v>
      </c>
      <c r="D12" s="104" t="s">
        <v>123</v>
      </c>
      <c r="E12" s="105" t="s">
        <v>124</v>
      </c>
      <c r="G12" s="109" t="s">
        <v>125</v>
      </c>
      <c r="H12" s="110">
        <f>INT((H8+8)/25)</f>
        <v>1</v>
      </c>
    </row>
    <row r="13" spans="2:8" ht="18" customHeight="1" x14ac:dyDescent="0.25">
      <c r="B13" s="102">
        <f>$B$19+60</f>
        <v>46534</v>
      </c>
      <c r="C13" s="103">
        <f t="shared" si="0"/>
        <v>46534</v>
      </c>
      <c r="D13" s="104" t="s">
        <v>126</v>
      </c>
      <c r="E13" s="105" t="s">
        <v>127</v>
      </c>
      <c r="G13" s="109" t="s">
        <v>128</v>
      </c>
      <c r="H13" s="110">
        <f>INT((H8-H12+1)/3)</f>
        <v>6</v>
      </c>
    </row>
    <row r="14" spans="2:8" ht="18" customHeight="1" x14ac:dyDescent="0.25">
      <c r="B14" s="102">
        <f>DATE(Planungsjahr,10,3)</f>
        <v>46663</v>
      </c>
      <c r="C14" s="103">
        <f t="shared" si="0"/>
        <v>46663</v>
      </c>
      <c r="D14" s="104" t="s">
        <v>129</v>
      </c>
      <c r="E14" s="105" t="s">
        <v>130</v>
      </c>
      <c r="G14" s="109" t="s">
        <v>131</v>
      </c>
      <c r="H14" s="110">
        <f>MOD(19*H7+H8-H10-H13+15,30)</f>
        <v>1</v>
      </c>
    </row>
    <row r="15" spans="2:8" ht="18" customHeight="1" x14ac:dyDescent="0.25">
      <c r="B15" s="102">
        <f>DATE(Planungsjahr,11,1)</f>
        <v>46692</v>
      </c>
      <c r="C15" s="103">
        <f t="shared" si="0"/>
        <v>46692</v>
      </c>
      <c r="D15" s="104" t="s">
        <v>132</v>
      </c>
      <c r="E15" s="105" t="s">
        <v>133</v>
      </c>
      <c r="G15" s="109" t="s">
        <v>134</v>
      </c>
      <c r="H15" s="110">
        <f>INT(H9/4)</f>
        <v>6</v>
      </c>
    </row>
    <row r="16" spans="2:8" ht="18" customHeight="1" x14ac:dyDescent="0.25">
      <c r="B16" s="102">
        <f>DATE(Planungsjahr,12,25)</f>
        <v>46746</v>
      </c>
      <c r="C16" s="103">
        <f t="shared" si="0"/>
        <v>46746</v>
      </c>
      <c r="D16" s="104" t="s">
        <v>135</v>
      </c>
      <c r="E16" s="105" t="s">
        <v>136</v>
      </c>
      <c r="G16" s="109" t="s">
        <v>137</v>
      </c>
      <c r="H16" s="110">
        <f>MOD(H9,4)</f>
        <v>3</v>
      </c>
    </row>
    <row r="17" spans="2:8" ht="18" customHeight="1" x14ac:dyDescent="0.25">
      <c r="B17" s="102">
        <f>DATE(Planungsjahr,12,26)</f>
        <v>46747</v>
      </c>
      <c r="C17" s="103">
        <f t="shared" si="0"/>
        <v>46747</v>
      </c>
      <c r="D17" s="104" t="s">
        <v>138</v>
      </c>
      <c r="E17" s="105" t="s">
        <v>139</v>
      </c>
      <c r="G17" s="109" t="s">
        <v>140</v>
      </c>
      <c r="H17" s="110">
        <f>MOD(32+2*H11+2*H15-H14-H16,7)</f>
        <v>5</v>
      </c>
    </row>
    <row r="18" spans="2:8" ht="9.9499999999999993" customHeight="1" x14ac:dyDescent="0.25">
      <c r="G18" s="109" t="s">
        <v>141</v>
      </c>
      <c r="H18" s="110">
        <f>INT((H7+11*H14+22*H17)/451)</f>
        <v>0</v>
      </c>
    </row>
    <row r="19" spans="2:8" x14ac:dyDescent="0.25">
      <c r="B19" s="106">
        <f>DATE(Planungsjahr,INT($H$19/31),MOD($H$19,31)+1)</f>
        <v>46474</v>
      </c>
      <c r="C19" s="107">
        <f>$B$19</f>
        <v>46474</v>
      </c>
      <c r="D19" s="97" t="s">
        <v>142</v>
      </c>
      <c r="E19" s="97" t="s">
        <v>143</v>
      </c>
      <c r="G19" s="109" t="s">
        <v>144</v>
      </c>
      <c r="H19" s="110">
        <f>H14+H17-7*H18+114</f>
        <v>120</v>
      </c>
    </row>
    <row r="20" spans="2:8" x14ac:dyDescent="0.25">
      <c r="G20" s="109" t="s">
        <v>145</v>
      </c>
    </row>
    <row r="21" spans="2:8" x14ac:dyDescent="0.25">
      <c r="B21" s="119" t="s">
        <v>146</v>
      </c>
      <c r="C21" s="119"/>
      <c r="D21" s="119"/>
      <c r="E21" s="119"/>
    </row>
  </sheetData>
  <mergeCells count="2">
    <mergeCell ref="B2:H2"/>
    <mergeCell ref="B21:E21"/>
  </mergeCells>
  <printOptions horizontalCentered="1"/>
  <pageMargins left="0.3" right="0.3" top="0.4" bottom="0.4" header="0.2" footer="0.2"/>
  <pageSetup paperSize="9" fitToHeight="0"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0ec41c8-55bf-49c1-b9c7-02358476e711">
      <Terms xmlns="http://schemas.microsoft.com/office/infopath/2007/PartnerControls"/>
    </lcf76f155ced4ddcb4097134ff3c332f>
    <TaxCatchAll xmlns="3a151757-f372-441e-8a6b-9f09b7a1daa5"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kument" ma:contentTypeID="0x0101002203D941AE394B4FBDBBEC0D363D4EFE" ma:contentTypeVersion="15" ma:contentTypeDescription="Ein neues Dokument erstellen." ma:contentTypeScope="" ma:versionID="63ff1dc1f82b6c890d1804c3027d1f05">
  <xsd:schema xmlns:xsd="http://www.w3.org/2001/XMLSchema" xmlns:xs="http://www.w3.org/2001/XMLSchema" xmlns:p="http://schemas.microsoft.com/office/2006/metadata/properties" xmlns:ns2="00ec41c8-55bf-49c1-b9c7-02358476e711" xmlns:ns3="3a151757-f372-441e-8a6b-9f09b7a1daa5" targetNamespace="http://schemas.microsoft.com/office/2006/metadata/properties" ma:root="true" ma:fieldsID="88bc21b49d9c78ce2cf9e5bec7680ef5" ns2:_="" ns3:_="">
    <xsd:import namespace="00ec41c8-55bf-49c1-b9c7-02358476e711"/>
    <xsd:import namespace="3a151757-f372-441e-8a6b-9f09b7a1daa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ec41c8-55bf-49c1-b9c7-02358476e7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Bildmarkierungen" ma:readOnly="false" ma:fieldId="{5cf76f15-5ced-4ddc-b409-7134ff3c332f}" ma:taxonomyMulti="true" ma:sspId="d175d4c7-dc8b-40ac-89bb-2a5077c9071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a151757-f372-441e-8a6b-9f09b7a1daa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1784343-0de6-4143-b3d0-21ce289a5ac1}" ma:internalName="TaxCatchAll" ma:showField="CatchAllData" ma:web="3a151757-f372-441e-8a6b-9f09b7a1daa5">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00ec41c8-55bf-49c1-b9c7-02358476e711"/>
    <ds:schemaRef ds:uri="3a151757-f372-441e-8a6b-9f09b7a1daa5"/>
  </ds:schemaRefs>
</ds:datastoreItem>
</file>

<file path=customXml/itemProps2.xml><?xml version="1.0" encoding="utf-8"?>
<ds:datastoreItem xmlns:ds="http://schemas.openxmlformats.org/officeDocument/2006/customXml" ds:itemID="{0A5B9B6F-64B7-470A-9C84-7DDA8973C785}">
  <ds:schemaRefs>
    <ds:schemaRef ds:uri="http://schemas.microsoft.com/DataMashup"/>
  </ds:schemaRefs>
</ds:datastoreItem>
</file>

<file path=customXml/itemProps3.xml><?xml version="1.0" encoding="utf-8"?>
<ds:datastoreItem xmlns:ds="http://schemas.openxmlformats.org/officeDocument/2006/customXml" ds:itemID="{E904769D-6B85-4A70-AF45-D4292E0886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ec41c8-55bf-49c1-b9c7-02358476e711"/>
    <ds:schemaRef ds:uri="3a151757-f372-441e-8a6b-9f09b7a1da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9060724-9CA2-4290-8A0C-B53624A594E7}">
  <ds:schemaRefs>
    <ds:schemaRef ds:uri="http://schemas.microsoft.com/sharepoint/v3/contenttype/forms"/>
  </ds:schemaRefs>
</ds:datastoreItem>
</file>

<file path=docMetadata/LabelInfo.xml><?xml version="1.0" encoding="utf-8"?>
<clbl:labelList xmlns:clbl="http://schemas.microsoft.com/office/2020/mipLabelMetadata">
  <clbl:label id="{affe7464-4ad0-4f65-bb24-7909061670de}" enabled="1" method="Standard" siteId="{7a0df6a5-35c9-4bdc-ae48-9c981a4d5559}" removed="0"/>
</clbl:labelList>
</file>

<file path=docProps/app.xml><?xml version="1.0" encoding="utf-8"?>
<Properties xmlns="http://schemas.openxmlformats.org/officeDocument/2006/extended-properties" xmlns:vt="http://schemas.openxmlformats.org/officeDocument/2006/docPropsVTypes">
  <Template>TM55723235</Template>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20</vt:i4>
      </vt:variant>
    </vt:vector>
  </HeadingPairs>
  <TitlesOfParts>
    <vt:vector size="24" baseType="lpstr">
      <vt:lpstr>Jahresplanung</vt:lpstr>
      <vt:lpstr>Sommermailing</vt:lpstr>
      <vt:lpstr>Weihnachtsmailing</vt:lpstr>
      <vt:lpstr>Feiertage NRW</vt:lpstr>
      <vt:lpstr>Jahresplanung!Druckbereich</vt:lpstr>
      <vt:lpstr>Sommermailing!Drucktitel</vt:lpstr>
      <vt:lpstr>Weihnachtsmailing!Drucktitel</vt:lpstr>
      <vt:lpstr>Feiertage</vt:lpstr>
      <vt:lpstr>Feiertage_Name</vt:lpstr>
      <vt:lpstr>JP_Auflage</vt:lpstr>
      <vt:lpstr>JP_Massnahme</vt:lpstr>
      <vt:lpstr>JP_PAL</vt:lpstr>
      <vt:lpstr>JP_ShowInhalt</vt:lpstr>
      <vt:lpstr>JP_ShowPAL</vt:lpstr>
      <vt:lpstr>JP_ShowSel</vt:lpstr>
      <vt:lpstr>JP_StartInhalt</vt:lpstr>
      <vt:lpstr>JP_StartSel</vt:lpstr>
      <vt:lpstr>JP_VorlaufInhalt</vt:lpstr>
      <vt:lpstr>JP_VorlaufSel</vt:lpstr>
      <vt:lpstr>Planungsjahr</vt:lpstr>
      <vt:lpstr>Sommermailing!Projekt_Start</vt:lpstr>
      <vt:lpstr>Weihnachtsmailing!Projekt_Start</vt:lpstr>
      <vt:lpstr>Sommermailing!Scroll_Schrittweite</vt:lpstr>
      <vt:lpstr>Weihnachtsmailing!Scroll_Schrittweite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2021-02-17T05:31:39Z</dcterms:created>
  <dcterms:modified xsi:type="dcterms:W3CDTF">2026-09-24T11:28:58Z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0x0101002203D941AE394B4FBDBBEC0D363D4EFE</vt:lpwstr>
  </property>
  <property fmtid="{D5CDD505-2E9C-101B-9397-08002B2CF9AE}" pid="3" name="MediaServiceImageTags">
    <vt:lpwstr/>
  </property>
</Properties>
</file>