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amp; Urlaub" sheetId="4" r:id="rId4"/>
    <sheet name="Hilfsdaten" sheetId="5" state="hidden" r:id="rId99"/>
  </sheets>
  <definedNames>
    <definedName name="_xlnm.Print_Area" localSheetId="0">Jahresplanung!$A$1:$CN$96</definedName>
    <definedName name="_xlnm.Print_Titles" localSheetId="0">Jahresplanung!$1:$2</definedName>
    <definedName name="_xlnm.Print_Titles" localSheetId="1">Sommermailing!$6:$9</definedName>
    <definedName name="_xlnm.Print_Titles" localSheetId="2">Weihnachtsmailing!$6:$9</definedName>
    <definedName name="Anzeige_I">Jahresplanung!$BS$5</definedName>
    <definedName name="Anzeige_P">Jahresplanung!$BS$6</definedName>
    <definedName name="Anzeige_S">Jahresplanung!$BS$4</definedName>
    <definedName name="Feiertage">'Feiertage &amp; Urlaub'!$B$7:$B$17</definedName>
    <definedName name="Feiertage_Name">'Feiertage &amp; Urlaub'!$D$7:$D$17</definedName>
    <definedName name="Filter_Aktiv">Jahresplanung!$A$12</definedName>
    <definedName name="Heute" localSheetId="1">TODAY()</definedName>
    <definedName name="Heute" localSheetId="2">TODAY()</definedName>
    <definedName name="JP_Anzeige">Jahresplanung!$A$13:$A$32</definedName>
    <definedName name="JP_Auflage">Jahresplanung!$V$13:$V$32</definedName>
    <definedName name="JP_Farbe">Hilfsdaten!$E$2:$E$21</definedName>
    <definedName name="JP_Massnahme">Jahresplanung!$B$13:$B$32</definedName>
    <definedName name="JP_PAL">Jahresplanung!$BD$13:$BD$32</definedName>
    <definedName name="JP_StartInhalt">Jahresplanung!$AP$13:$AP$32</definedName>
    <definedName name="JP_StartSel">Jahresplanung!$Z$13:$Z$32</definedName>
    <definedName name="JP_VorlaufInhalt">Jahresplanung!$AW$13:$AW$32</definedName>
    <definedName name="JP_VorlaufSel">Jahresplanung!$AI$13:$AI$32</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 name="U_Bis">'Feiertage &amp; Urlaub'!$C$25:$C$44</definedName>
    <definedName name="U_Von">'Feiertage &amp; Urlaub'!$B$25:$B$44</definedName>
    <definedName name="U_Wer">'Feiertage &amp; Urlaub'!$D$25:$D$44</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<sst xmlns="http://schemas.openxmlformats.org/spreadsheetml/2006/main" count="361" uniqueCount="178">
  <si>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</si>
  <si>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</si>
  <si>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</si>
  <si>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</si>
  <si>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</si>
  <si>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</si>
  <si>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</si>
  <si>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</si>
  <si>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</si>
  <si>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</si>
  <si>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</si>
  <si>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</si>
  <si>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</si>
  <si>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</si>
  <si>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</si>
  <si>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</si>
  <si>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</si>
  <si>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</si>
  <si>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</si>
  <si>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</si>
  <si>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</si>
  <si>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</si>
  <si>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</si>
  <si>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</si>
  <si>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</si>
  <si>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</si>
  <si>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</si>
  <si>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</si>
  <si>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</si>
  <si>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</si>
  <si>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</si>
  <si>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</si>
  <si>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</si>
  <si>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</si>
  <si>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</si>
  <si>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</si>
  <si>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</si>
  <si>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</si>
  <si>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</si>
  <si>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</si>
  <si>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</si>
  <si>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</si>
  <si>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</si>
  <si>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</si>
  <si>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</si>
  <si>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</si>
  <si>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</si>
  <si>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</si>
  <si>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</si>
  <si>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</si>
  <si>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</si>
  <si>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</si>
  <si>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</si>
  <si>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</si>
  <si>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</si>
  <si>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</si>
  <si>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</si>
  <si>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</si>
  <si>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</si>
  <si>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</si>
  <si>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</si>
  <si>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</si>
  <si>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</si>
  <si>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</si>
  <si>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</si>
  <si>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</si>
  <si>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</si>
  <si>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</si>
  <si>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</si>
  <si>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</si>
  <si>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</si>
  <si>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</si>
  <si>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</si>
  <si>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</si>
  <si>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</si>
  <si>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</si>
  <si>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</si>
  <si>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</si>
  <si>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</si>
  <si>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</si>
  <si>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</si>
  <si>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</si>
  <si>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</si>
  <si>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</si>
  <si>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</si>
  <si>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</si>
  <si>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</si>
  <si>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</si>
  <si>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</si>
  <si>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</si>
  <si>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</si>
  <si>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</si>
  <si>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</si>
  <si>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</si>
  <si>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</si>
  <si>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</si>
  <si>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</si>
  <si>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</si>
  <si>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Art der Bitte und Hinweis werden hier gepflegt. Start Selektion und Start inhaltliche Arbeit berechnen sich automatisch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</si>
  <si>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</si>
  <si>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</si>
  <si>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</si>
  <si>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</si>
  <si>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</si>
  <si>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</si>
  <si>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</si>
  <si>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</si>
  <si>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</si>
  <si>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</si>
  <si>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</si>
  <si>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</si>
  <si>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</si>
  <si>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</si>
  <si>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</si>
  <si>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</si>
  <si>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</si>
  <si>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</si>
  <si>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</si>
  <si>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</si>
  <si>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</si>
  <si>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</si>
  <si>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</si>
  <si>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</si>
  <si>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</si>
  <si>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</si>
  <si>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</si>
  <si>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</si>
  <si>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</si>
  <si>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</si>
  <si>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</si>
  <si>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</si>
  <si>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</si>
  <si>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</si>
  <si>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</si>
  <si>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</si>
  <si>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</si>
  <si>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</si>
  <si>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</si>
  <si>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</si>
  <si>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</si>
  <si>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</si>
  <si>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</si>
  <si>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</si>
  <si>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</si>
  <si>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</si>
  <si>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</si>
  <si>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</si>
  <si>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</si>
  <si>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</si>
  <si>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</si>
  <si>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</si>
  <si>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</si>
  <si>
    <t xml:space="preserve">• Vorlauf: Bei Sommer- und Weihnachtsmailing wird er automatisch aus dem Gantt übernommen (Summe der Arbeitsschritte bis zum PAL, graue Felder). Bei allen anderen Maßnahmen individuell eintragen; Zelle leeren = kein Termin.</t>
  </si>
  <si>
    <t xml:space="preserve">• Sommer- und Weihnachtsmailing: Der PAL hier steuert die gleichnamigen Detailblätter. Dauern der Arbeitsschritte im Gantt ändern = Vorlauf und Starttermine hier ändern sich mit. Verknüpfung über den Namen in Spalte „Maßnahme“.</t>
  </si>
  <si>
    <t xml:space="preserve">S</t>
  </si>
  <si>
    <t xml:space="preserve">I</t>
  </si>
  <si>
    <t xml:space="preserve">P</t>
  </si>
  <si>
    <t xml:space="preserve">• Häkchen S · I · P neben der Maßnahme: legt fest, ob Start Selektion, Start inhaltliche Arbeit und PAL im Kalender erscheinen. Häkchen entfernen blendet nur den Marker aus.</t>
  </si>
  <si>
    <t xml:space="preserve">• Kontrollkästchen: Oben rechts neben S · I · P blendet die jeweilige Markerart für alle Maßnahmen ein oder aus. Das Kästchen links neben einer Maßnahme blendet alle ihre Marker ein oder aus.</t>
  </si>
  <si>
    <t xml:space="preserve">• Kontrollkästchen: Oben rechts neben S · I · P blendet die jeweilige Markerart für alle Maßnahmen ein oder aus. Links neben jeder Maßnahme: alle ihre Marker ein/aus. Kästchen in der Kopfzeile: alle Maßnahmen an/aus (nur mit aktivierten Makros).</t>
  </si>
  <si>
    <t xml:space="preserve">• Terminliste unter jedem Monat: zeigt alle sichtbaren Marker mit Datum und Maßnahme (z. B. „19.06. P Sommermailing“) und folgt den Kontrollkästchen.</t>
  </si>
  <si>
    <r>
      <rPr>
        <b/>
        <sz val="9.5"/>
        <color rgb="FFFFFFFF"/>
        <rFont val="Calibri"/>
        <family val="2"/>
        <scheme val="minor"/>
      </rPr>
      <t>Maßnahme</t>
    </r>
    <r>
      <rPr>
        <sz val="8"/>
        <color rgb="FFD9D9D9"/>
        <rFont val="Calibri"/>
        <family val="2"/>
        <scheme val="minor"/>
      </rPr>
      <t xml:space="preserve">
◂ Kästchen links: nur angehakte Maßnahmen anzeigen</t>
    </r>
  </si>
  <si>
    <t xml:space="preserve">• Kontrollkästchen: Oben rechts neben S · I · P blendet die jeweilige Markerart für alle Maßnahmen ein oder aus. Kästchen links neben „Maßnahme“: an = nur die darunter angehakten Maßnahmen anzeigen, aus = alle Maßnahmen.</t>
  </si>
  <si>
    <t xml:space="preserve">12</t>
  </si>
  <si>
    <t xml:space="preserve">Urlaub (Blatt „Feiertage &amp; Urlaub“)</t>
  </si>
  <si>
    <t xml:space="preserve">Weiß = Eingabe  ·  grau = berechnet  ·  kursiv = außerhalb des Planungsjahres  ·  orange = PAL prüfen  ·  gelb = im Urlaub  ·  rot = Reihenfolge prüfen</t>
  </si>
  <si>
    <t xml:space="preserve">• Terminliste unter jedem Monat: je eine Zeile für S (blau), I (grün) und P (rot) mit Datum und Maßnahme, darüber Feiertage und Urlaube. Die Liste folgt den Kontrollkästchen.</t>
  </si>
  <si>
    <t xml:space="preserve">• Urlaube: auf Blatt „Feiertage &amp; Urlaub“ eintragen (Von, Bis, Wer). Urlaubstage sind im Kalender und im Gantt der Detailblätter gelb; Termine der Tabelle, die in einen Urlaub fallen, ebenfalls.</t>
  </si>
  <si>
    <t xml:space="preserve">Urlaub / Abwesenheiten</t>
  </si>
  <si>
    <t xml:space="preserve">Von</t>
  </si>
  <si>
    <t xml:space="preserve">Bis</t>
  </si>
  <si>
    <t xml:space="preserve">Wer / Bezeichnung</t>
  </si>
  <si>
    <t xml:space="preserve">Arbeitstage (ohne Wochenenden und Feiertage)</t>
  </si>
  <si>
    <t xml:space="preserve">Eintragen genügt: Urlaubstage erscheinen im Kalender (gelb), in der Zeile unter dem Monat und im Gantt der Detailblätter. Für einen einzelnen Tag bei „Von“ und „Bis“ dasselbe Datum eintragen.</t>
  </si>
  <si>
    <t xml:space="preserve">Start Selektion – Pastellton</t>
  </si>
  <si>
    <t xml:space="preserve">Start inhaltliche Arbeit – Pastellton</t>
  </si>
  <si>
    <t xml:space="preserve">PAL – kräftige Maßnahmen-Farbe</t>
  </si>
  <si>
    <t xml:space="preserve">• Terminliste unter jedem Monat: eine Zeile je Maßnahme in ihrer Farbe (z. B. „Sommermailing: S 04.04. · I 22.04.“). Ab der dritten Maßnahme im Monat stehen weitere in der dritten Zeile. Die Liste folgt den Kontrollkästchen.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</si>
</sst>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 numFmtId="210" formatCode="&quot;S&quot;;&quot;S&quot;;&quot;S&quot;;@"/>
    <numFmt numFmtId="211" formatCode="&quot;I&quot;;&quot;I&quot;;&quot;I&quot;;@"/>
    <numFmt numFmtId="212" formatCode="&quot;P&quot;;&quot;P&quot;;&quot;P&quot;;@"/>
    <numFmt numFmtId="213" formatCode=";;;"/>
  </numFmts>
  <fonts count="89"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
      <sz val="11"/>
      <color rgb="FF2E75B6"/>
      <name val="Calibri"/>
      <family val="2"/>
      <scheme val="minor"/>
    </font>
    <font>
      <sz val="11"/>
      <color rgb="FF548235"/>
      <name val="Calibri"/>
      <family val="2"/>
      <scheme val="minor"/>
    </font>
    <font>
      <sz val="11"/>
      <color rgb="FFE30714"/>
      <name val="Calibri"/>
      <family val="2"/>
      <scheme val="minor"/>
    </font>
    <font>
      <sz val="8"/>
      <color rgb="FF2E75B6"/>
      <name val="Calibri"/>
      <family val="2"/>
      <scheme val="minor"/>
    </font>
    <font>
      <sz val="8"/>
      <color rgb="FF548235"/>
      <name val="Calibri"/>
      <family val="2"/>
      <scheme val="minor"/>
    </font>
    <font>
      <sz val="8"/>
      <color rgb="FFE30714"/>
      <name val="Calibri"/>
      <family val="2"/>
      <scheme val="minor"/>
    </font>
    <font>
      <b/>
      <sz val="9"/>
      <color rgb="FF404040"/>
      <name val="Calibri"/>
      <family val="2"/>
      <scheme val="minor"/>
    </font>
    <font>
      <sz val="12"/>
      <color rgb="FF404040"/>
      <name val="Calibri"/>
      <family val="2"/>
      <scheme val="minor"/>
    </font>
    <font>
      <sz val="12"/>
      <color rgb="FF2E75B6"/>
      <name val="Calibri"/>
      <family val="2"/>
      <scheme val="minor"/>
    </font>
    <font>
      <sz val="12"/>
      <color rgb="FF548235"/>
      <name val="Calibri"/>
      <family val="2"/>
      <scheme val="minor"/>
    </font>
    <font>
      <sz val="12"/>
      <color rgb="FFE30714"/>
      <name val="Calibri"/>
      <family val="2"/>
      <scheme val="minor"/>
    </font>
    <font>
      <sz val="7.5"/>
      <color rgb="FF404040"/>
      <name val="Calibri"/>
      <family val="2"/>
      <scheme val="minor"/>
    </font>
    <font>
      <b/>
      <sz val="10"/>
      <color rgb="FF262626"/>
      <name val="Calibri"/>
      <family val="2"/>
      <scheme val="minor"/>
    </font>
    <font>
      <b/>
      <sz val="8"/>
      <color rgb="FF2E75B6"/>
      <name val="Calibri"/>
      <family val="2"/>
      <scheme val="minor"/>
    </font>
    <font>
      <sz val="7.5"/>
      <color rgb="FF2E75B6"/>
      <name val="Calibri"/>
      <family val="2"/>
      <scheme val="minor"/>
    </font>
    <font>
      <b/>
      <sz val="8"/>
      <color rgb="FF548235"/>
      <name val="Calibri"/>
      <family val="2"/>
      <scheme val="minor"/>
    </font>
    <font>
      <sz val="7.5"/>
      <color rgb="FF548235"/>
      <name val="Calibri"/>
      <family val="2"/>
      <scheme val="minor"/>
    </font>
    <font>
      <b/>
      <sz val="8"/>
      <color rgb="FFE30714"/>
      <name val="Calibri"/>
      <family val="2"/>
      <scheme val="minor"/>
    </font>
    <font>
      <sz val="7.5"/>
      <color rgb="FFE30714"/>
      <name val="Calibri"/>
      <family val="2"/>
      <scheme val="minor"/>
    </font>
    <font>
      <sz val="7.5"/>
      <color rgb="FF404040"/>
      <name val="Calibri"/>
      <family val="2"/>
      <scheme val="minor"/>
    </font>
    <font>
      <b/>
      <sz val="7"/>
      <color rgb="FF1F77B4"/>
      <name val="Calibri"/>
      <family val="2"/>
      <scheme val="minor"/>
    </font>
    <font>
      <b/>
      <sz val="7"/>
      <color rgb="FF1F77B4"/>
      <name val="Calibri"/>
      <family val="2"/>
      <scheme val="minor"/>
    </font>
  </fonts>
  <fills count="26">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
      <patternFill patternType="lightUp">
        <fgColor rgb="FFA6A6A6"/>
        <bgColor rgb="FFF2F2F2"/>
      </patternFill>
    </fill>
    <fill>
      <patternFill patternType="solid">
        <fgColor rgb="FFFFF2CC"/>
        <bgColor indexed="64"/>
      </patternFill>
    </fill>
    <fill>
      <patternFill patternType="solid">
        <fgColor rgb="FFC6DCEF"/>
        <bgColor indexed="64"/>
      </patternFill>
    </fill>
    <fill>
      <patternFill patternType="solid">
        <fgColor rgb="FFC6DCEF"/>
        <bgColor indexed="64"/>
      </patternFill>
    </fill>
    <fill>
      <patternFill patternType="solid">
        <fgColor rgb="FF1F77B4"/>
        <bgColor indexed="64"/>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231">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xf numFmtId="0" fontId="53" fillId="0" borderId="32" xfId="0" applyFont="1" applyBorder="1" applyAlignment="1">
      <alignment vertical="center" horizontal="centerContinuous"/>
    </xf>
    <xf numFmtId="0" fontId="53" fillId="0" borderId="39" xfId="0" applyFont="1" applyBorder="1" applyAlignment="1">
      <alignment vertical="center" horizontal="centerContinuous"/>
    </xf>
    <xf numFmtId="0" fontId="53" fillId="0" borderId="49" xfId="0" applyFont="1" applyBorder="1" applyAlignment="1">
      <alignment vertical="center" horizontal="centerContinuous"/>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0" fontId="67"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8"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69"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0"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1"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2" fillId="19" borderId="31" xfId="0" applyFont="1" applyFill="1" applyBorder="1" applyAlignment="1">
      <alignment horizontal="center" vertical="center"/>
      <extLst>
        <ext xmlns:xfpb="http://schemas.microsoft.com/office/spreadsheetml/2022/featurepropertybag" uri="{C7286773-470A-42A8-94C5-96B5CB345126}">
          <xfpb:xfComplement i="0"/>
        </ext>
      </extLst>
    </xf>
    <xf numFmtId="0" fontId="73" fillId="21" borderId="31" xfId="0" applyFont="1" applyFill="1" applyBorder="1" applyAlignment="1">
      <alignment horizontal="center" vertical="center"/>
    </xf>
    <xf numFmtId="0" fontId="74" fillId="0" borderId="0" xfId="0" applyFont="1" applyAlignment="1">
      <alignment horizontal="center" vertical="center"/>
      <extLst>
        <ext xmlns:xfpb="http://schemas.microsoft.com/office/spreadsheetml/2022/featurepropertybag" uri="{C7286773-470A-42A8-94C5-96B5CB345126}">
          <xfpb:xfComplement i="0"/>
        </ext>
      </extLst>
    </xf>
    <xf numFmtId="0" fontId="75" fillId="0" borderId="0" xfId="0" applyFont="1" applyAlignment="1">
      <alignment horizontal="center" vertical="center"/>
      <extLst>
        <ext xmlns:xfpb="http://schemas.microsoft.com/office/spreadsheetml/2022/featurepropertybag" uri="{C7286773-470A-42A8-94C5-96B5CB345126}">
          <xfpb:xfComplement i="0"/>
        </ext>
      </extLst>
    </xf>
    <xf numFmtId="0" fontId="76" fillId="0" borderId="0" xfId="0" applyFont="1" applyAlignment="1">
      <alignment horizontal="center" vertical="center"/>
      <extLst>
        <ext xmlns:xfpb="http://schemas.microsoft.com/office/spreadsheetml/2022/featurepropertybag" uri="{C7286773-470A-42A8-94C5-96B5CB345126}">
          <xfpb:xfComplement i="0"/>
        </ext>
      </extLst>
    </xf>
    <xf numFmtId="0" fontId="77" fillId="0" borderId="0" xfId="0" applyFont="1" applyAlignment="1">
      <alignment horizontal="center" vertical="center"/>
      <extLst>
        <ext xmlns:xfpb="http://schemas.microsoft.com/office/spreadsheetml/2022/featurepropertybag" uri="{C7286773-470A-42A8-94C5-96B5CB345126}">
          <xfpb:xfComplement i="0"/>
        </ext>
      </extLst>
    </xf>
    <xf numFmtId="0" fontId="78" fillId="0" borderId="0" xfId="0" applyFont="1" applyAlignment="1">
      <alignment horizontal="left" vertical="top" wrapText="1"/>
    </xf>
    <xf numFmtId="0" fontId="0" fillId="0" borderId="0" xfId="0"/>
    <xf numFmtId="0" fontId="79" fillId="0" borderId="0" xfId="0" applyFont="1"/>
    <xf numFmtId="14" fontId="0" fillId="0" borderId="0" xfId="0" applyNumberFormat="1"/>
    <xf numFmtId="4" fontId="0" fillId="0" borderId="0" xfId="0" applyNumberFormat="1"/>
    <xf applyNumberFormat="1" numFmtId="0" fontId="80" fillId="0" borderId="0" xfId="0" applyFont="1" applyAlignment="1">
      <alignment horizontal="left" vertical="center" indent="1"/>
    </xf>
    <xf applyNumberFormat="1" numFmtId="0" fontId="81" fillId="0" borderId="0" xfId="0" applyFont="1" applyAlignment="1">
      <alignment horizontal="left" vertical="center" shrinkToFit="1"/>
    </xf>
    <xf applyNumberFormat="1" numFmtId="0" fontId="82" fillId="0" borderId="0" xfId="0" applyFont="1" applyAlignment="1">
      <alignment horizontal="left" vertical="center" indent="1"/>
    </xf>
    <xf applyNumberFormat="1" numFmtId="0" fontId="83" fillId="0" borderId="0" xfId="0" applyFont="1" applyAlignment="1">
      <alignment horizontal="left" vertical="center" shrinkToFit="1"/>
    </xf>
    <xf applyNumberFormat="1" numFmtId="0" fontId="84" fillId="0" borderId="0" xfId="0" applyFont="1" applyAlignment="1">
      <alignment horizontal="left" vertical="center" indent="1"/>
    </xf>
    <xf applyNumberFormat="1" numFmtId="0" fontId="85" fillId="0" borderId="0" xfId="0" applyFont="1" applyAlignment="1">
      <alignment horizontal="left" vertical="center" shrinkToFit="1"/>
    </xf>
    <xf applyNumberFormat="1" numFmtId="0" fontId="50" fillId="22" borderId="31" xfId="0" applyFont="1" applyFill="1" applyBorder="1" applyAlignment="1">
      <alignment horizontal="center" vertical="center"/>
    </xf>
    <xf applyNumberFormat="1" numFmtId="169" fontId="42" fillId="0" borderId="34" xfId="0" applyFont="1" applyBorder="1" applyAlignment="1">
      <alignment horizontal="left" vertical="center" indent="1"/>
    </xf>
    <xf applyNumberFormat="1" numFmtId="1" fontId="45" fillId="0" borderId="34" xfId="0" applyFont="1" applyBorder="1" applyAlignment="1">
      <alignment horizontal="left" vertical="center" indent="1"/>
    </xf>
    <xf applyFill="1" applyNumberFormat="1" numFmtId="210" fontId="49" fillId="0" borderId="0" xfId="0" applyFont="1" applyBorder="1" applyAlignment="1">
      <alignment horizontal="center" vertical="center"/>
    </xf>
    <xf applyFill="1" applyNumberFormat="1" numFmtId="211" fontId="49" fillId="0" borderId="0" xfId="0" applyFont="1" applyBorder="1" applyAlignment="1">
      <alignment horizontal="center" vertical="center"/>
    </xf>
    <xf applyFill="1" applyNumberFormat="1" numFmtId="212" fontId="49" fillId="0" borderId="0" xfId="0" applyFont="1" applyBorder="1" applyAlignment="1">
      <alignment horizontal="center" vertical="center"/>
    </xf>
    <xf applyFill="1" applyNumberFormat="1" numFmtId="213" fontId="80" fillId="0" borderId="0" xfId="0" applyFont="1" applyAlignment="1">
      <alignment horizontal="left" vertical="center" indent="1"/>
    </xf>
    <xf applyFill="1" applyNumberFormat="1" numFmtId="0" fontId="86" fillId="0" borderId="0" xfId="0" applyFont="1" applyAlignment="1">
      <alignment horizontal="left" vertical="center" shrinkToFit="1"/>
    </xf>
    <xf applyNumberFormat="1" numFmtId="0" fontId="87" fillId="23" borderId="0" xfId="0" applyFont="1" applyFill="1" applyAlignment="1">
      <alignment horizontal="center" vertical="center"/>
    </xf>
    <xf applyNumberFormat="1" numFmtId="0" fontId="88" fillId="24" borderId="0" xfId="0" applyFont="1" applyFill="1" applyAlignment="1">
      <alignment horizontal="center" vertical="center"/>
    </xf>
    <xf applyNumberFormat="1" numFmtId="0" fontId="49" fillId="25"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210">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
      <font>
        <b/>
      </font>
      <border>
        <left style="thin">
          <color rgb="FFE30714"/>
        </left>
      </border>
    </dxf>
    <dxf>
      <border>
        <bottom style="thin">
          <color rgb="FFE30714"/>
        </bottom>
      </border>
    </dxf>
    <dxf>
      <border>
        <left style="thin">
          <color rgb="FFE30714"/>
        </left>
      </border>
    </dxf>
    <dxf>
      <border>
        <left style="thin">
          <color rgb="FFE30714"/>
        </left>
        <bottom style="thin">
          <color rgb="FFE30714"/>
        </bottom>
      </border>
    </dxf>
    <dxf>
      <border>
        <bottom style="thin">
          <color rgb="FFE30714"/>
        </bottom>
      </border>
    </dxf>
    <dxf>
      <border>
        <right style="thin">
          <color rgb="FFE30714"/>
        </right>
        <bottom style="thin">
          <color rgb="FFE30714"/>
        </bottom>
      </border>
    </dxf>
    <dxf>
      <font>
        <b/>
        <color rgb="FF404040"/>
      </font>
      <fill>
        <patternFill patternType="lightUp">
          <fgColor rgb="FFA6A6A6"/>
          <bgColor rgb="FFF2F2F2"/>
        </patternFill>
      </fill>
    </dxf>
    <dxf>
      <numFmt numFmtId="200" formatCode=";;;"/>
      <fill>
        <patternFill patternType="lightUp">
          <fgColor rgb="FFA6A6A6"/>
          <bgColor rgb="FFF2F2F2"/>
        </patternFill>
      </fill>
    </dxf>
    <dxf>
      <font>
        <color rgb="FFBFBFBF"/>
      </font>
    </dxf>
    <dxf>
      <font>
        <b/>
        <color rgb="FFC00000"/>
      </font>
    </dxf>
    <dxf>
      <fill>
        <patternFill patternType="solid">
          <fgColor rgb="FFFFF2CC"/>
          <bgColor rgb="FFFFF2CC"/>
        </patternFill>
      </fill>
    </dxf>
    <dxf>
      <numFmt numFmtId="201" formatCode=";;;"/>
      <fill>
        <patternFill patternType="solid">
          <fgColor rgb="FFFFF2CC"/>
          <bgColor rgb="FFFFF2CC"/>
        </patternFill>
      </fill>
    </dxf>
    <dxf>
      <fill>
        <patternFill patternType="solid">
          <fgColor rgb="FFFFF2CC"/>
          <bgColor rgb="FFFFF2CC"/>
        </patternFill>
      </fill>
    </dxf>
    <dxf>
      <fill>
        <patternFill patternType="solid">
          <fgColor rgb="FFFFF2CC"/>
          <bgColor rgb="FFFFF2CC"/>
        </patternFill>
      </fill>
    </dxf>
    <dxf>
      <font>
        <b/>
        <color rgb="FF1F77B4"/>
      </font>
      <fill>
        <patternFill patternType="solid">
          <fgColor rgb="FFC6DCEF"/>
          <bgColor rgb="FFC6DCEF"/>
        </patternFill>
      </fill>
    </dxf>
    <dxf>
      <font>
        <b/>
        <color rgb="FFE6550D"/>
      </font>
      <fill>
        <patternFill patternType="solid">
          <fgColor rgb="FFFDD5B4"/>
          <bgColor rgb="FFFDD5B4"/>
        </patternFill>
      </fill>
    </dxf>
    <dxf>
      <font>
        <b/>
        <color rgb="FF2CA02C"/>
      </font>
      <fill>
        <patternFill patternType="solid">
          <fgColor rgb="FFCDEBC5"/>
          <bgColor rgb="FFCDEBC5"/>
        </patternFill>
      </fill>
    </dxf>
    <dxf>
      <font>
        <b/>
        <color rgb="FFC2185B"/>
      </font>
      <fill>
        <patternFill patternType="solid">
          <fgColor rgb="FFF5C6DA"/>
          <bgColor rgb="FFF5C6DA"/>
        </patternFill>
      </fill>
    </dxf>
    <dxf>
      <font>
        <b/>
        <color rgb="FF0097A7"/>
      </font>
      <fill>
        <patternFill patternType="solid">
          <fgColor rgb="FFC2EBEF"/>
          <bgColor rgb="FFC2EBEF"/>
        </patternFill>
      </fill>
    </dxf>
    <dxf>
      <font>
        <b/>
        <color rgb="FFC62828"/>
      </font>
      <fill>
        <patternFill patternType="solid">
          <fgColor rgb="FFF6C9C9"/>
          <bgColor rgb="FFF6C9C9"/>
        </patternFill>
      </fill>
    </dxf>
    <dxf>
      <font>
        <b/>
        <color rgb="FF283593"/>
      </font>
      <fill>
        <patternFill patternType="solid">
          <fgColor rgb="FFCBD0EE"/>
          <bgColor rgb="FFCBD0EE"/>
        </patternFill>
      </fill>
    </dxf>
    <dxf>
      <font>
        <b/>
        <color rgb="FF7C8B1F"/>
      </font>
      <fill>
        <patternFill patternType="solid">
          <fgColor rgb="FFE3E8BF"/>
          <bgColor rgb="FFE3E8BF"/>
        </patternFill>
      </fill>
    </dxf>
    <dxf>
      <font>
        <b/>
        <color rgb="FF7B3FA0"/>
      </font>
      <fill>
        <patternFill patternType="solid">
          <fgColor rgb="FFE0D4EE"/>
          <bgColor rgb="FFE0D4EE"/>
        </patternFill>
      </fill>
    </dxf>
    <dxf>
      <font>
        <b/>
        <color rgb="FF8D5B3A"/>
      </font>
      <fill>
        <patternFill patternType="solid">
          <fgColor rgb="FFE6D3C4"/>
          <bgColor rgb="FFE6D3C4"/>
        </patternFill>
      </fill>
    </dxf>
    <dxf>
      <font>
        <b/>
        <color rgb="FF1F77B4"/>
      </font>
      <fill>
        <patternFill patternType="solid">
          <fgColor rgb="FFC6DCEF"/>
          <bgColor rgb="FFC6DCEF"/>
        </patternFill>
      </fill>
    </dxf>
    <dxf>
      <font>
        <b/>
        <color rgb="FFE6550D"/>
      </font>
      <fill>
        <patternFill patternType="solid">
          <fgColor rgb="FFFDD5B4"/>
          <bgColor rgb="FFFDD5B4"/>
        </patternFill>
      </fill>
    </dxf>
    <dxf>
      <font>
        <b/>
        <color rgb="FF2CA02C"/>
      </font>
      <fill>
        <patternFill patternType="solid">
          <fgColor rgb="FFCDEBC5"/>
          <bgColor rgb="FFCDEBC5"/>
        </patternFill>
      </fill>
    </dxf>
    <dxf>
      <font>
        <b/>
        <color rgb="FFC2185B"/>
      </font>
      <fill>
        <patternFill patternType="solid">
          <fgColor rgb="FFF5C6DA"/>
          <bgColor rgb="FFF5C6DA"/>
        </patternFill>
      </fill>
    </dxf>
    <dxf>
      <font>
        <b/>
        <color rgb="FF0097A7"/>
      </font>
      <fill>
        <patternFill patternType="solid">
          <fgColor rgb="FFC2EBEF"/>
          <bgColor rgb="FFC2EBEF"/>
        </patternFill>
      </fill>
    </dxf>
    <dxf>
      <font>
        <b/>
        <color rgb="FFC62828"/>
      </font>
      <fill>
        <patternFill patternType="solid">
          <fgColor rgb="FFF6C9C9"/>
          <bgColor rgb="FFF6C9C9"/>
        </patternFill>
      </fill>
    </dxf>
    <dxf>
      <font>
        <b/>
        <color rgb="FF283593"/>
      </font>
      <fill>
        <patternFill patternType="solid">
          <fgColor rgb="FFCBD0EE"/>
          <bgColor rgb="FFCBD0EE"/>
        </patternFill>
      </fill>
    </dxf>
    <dxf>
      <font>
        <b/>
        <color rgb="FF7C8B1F"/>
      </font>
      <fill>
        <patternFill patternType="solid">
          <fgColor rgb="FFE3E8BF"/>
          <bgColor rgb="FFE3E8BF"/>
        </patternFill>
      </fill>
    </dxf>
    <dxf>
      <font>
        <b/>
        <color rgb="FF7B3FA0"/>
      </font>
      <fill>
        <patternFill patternType="solid">
          <fgColor rgb="FFE0D4EE"/>
          <bgColor rgb="FFE0D4EE"/>
        </patternFill>
      </fill>
    </dxf>
    <dxf>
      <font>
        <b/>
        <color rgb="FF8D5B3A"/>
      </font>
      <fill>
        <patternFill patternType="solid">
          <fgColor rgb="FFE6D3C4"/>
          <bgColor rgb="FFE6D3C4"/>
        </patternFill>
      </fill>
    </dxf>
    <dxf>
      <font>
        <b/>
        <color rgb="FFFFFFFF"/>
      </font>
      <fill>
        <patternFill patternType="solid">
          <fgColor rgb="FF1F77B4"/>
          <bgColor rgb="FF1F77B4"/>
        </patternFill>
      </fill>
    </dxf>
    <dxf>
      <font>
        <b/>
        <color rgb="FFFFFFFF"/>
      </font>
      <fill>
        <patternFill patternType="solid">
          <fgColor rgb="FFE6550D"/>
          <bgColor rgb="FFE6550D"/>
        </patternFill>
      </fill>
    </dxf>
    <dxf>
      <font>
        <b/>
        <color rgb="FFFFFFFF"/>
      </font>
      <fill>
        <patternFill patternType="solid">
          <fgColor rgb="FF2CA02C"/>
          <bgColor rgb="FF2CA02C"/>
        </patternFill>
      </fill>
    </dxf>
    <dxf>
      <font>
        <b/>
        <color rgb="FFFFFFFF"/>
      </font>
      <fill>
        <patternFill patternType="solid">
          <fgColor rgb="FFC2185B"/>
          <bgColor rgb="FFC2185B"/>
        </patternFill>
      </fill>
    </dxf>
    <dxf>
      <font>
        <b/>
        <color rgb="FFFFFFFF"/>
      </font>
      <fill>
        <patternFill patternType="solid">
          <fgColor rgb="FF0097A7"/>
          <bgColor rgb="FF0097A7"/>
        </patternFill>
      </fill>
    </dxf>
    <dxf>
      <font>
        <b/>
        <color rgb="FFFFFFFF"/>
      </font>
      <fill>
        <patternFill patternType="solid">
          <fgColor rgb="FFC62828"/>
          <bgColor rgb="FFC62828"/>
        </patternFill>
      </fill>
    </dxf>
    <dxf>
      <font>
        <b/>
        <color rgb="FFFFFFFF"/>
      </font>
      <fill>
        <patternFill patternType="solid">
          <fgColor rgb="FF283593"/>
          <bgColor rgb="FF283593"/>
        </patternFill>
      </fill>
    </dxf>
    <dxf>
      <font>
        <b/>
        <color rgb="FFFFFFFF"/>
      </font>
      <fill>
        <patternFill patternType="solid">
          <fgColor rgb="FF7C8B1F"/>
          <bgColor rgb="FF7C8B1F"/>
        </patternFill>
      </fill>
    </dxf>
    <dxf>
      <font>
        <b/>
        <color rgb="FFFFFFFF"/>
      </font>
      <fill>
        <patternFill patternType="solid">
          <fgColor rgb="FF7B3FA0"/>
          <bgColor rgb="FF7B3FA0"/>
        </patternFill>
      </fill>
    </dxf>
    <dxf>
      <font>
        <b/>
        <color rgb="FFFFFFFF"/>
      </font>
      <fill>
        <patternFill patternType="solid">
          <fgColor rgb="FF8D5B3A"/>
          <bgColor rgb="FF8D5B3A"/>
        </patternFill>
      </fill>
    </dxf>
    <dxf>
      <font>
        <color rgb="FF1F77B4"/>
      </font>
      <fill>
        <patternFill patternType="solid">
          <fgColor rgb="FF1F77B4"/>
          <bgColor rgb="FF1F77B4"/>
        </patternFill>
      </fill>
    </dxf>
    <dxf>
      <font>
        <color rgb="FFE6550D"/>
      </font>
      <fill>
        <patternFill patternType="solid">
          <fgColor rgb="FFE6550D"/>
          <bgColor rgb="FFE6550D"/>
        </patternFill>
      </fill>
    </dxf>
    <dxf>
      <font>
        <color rgb="FF2CA02C"/>
      </font>
      <fill>
        <patternFill patternType="solid">
          <fgColor rgb="FF2CA02C"/>
          <bgColor rgb="FF2CA02C"/>
        </patternFill>
      </fill>
    </dxf>
    <dxf>
      <font>
        <color rgb="FFC2185B"/>
      </font>
      <fill>
        <patternFill patternType="solid">
          <fgColor rgb="FFC2185B"/>
          <bgColor rgb="FFC2185B"/>
        </patternFill>
      </fill>
    </dxf>
    <dxf>
      <font>
        <color rgb="FF0097A7"/>
      </font>
      <fill>
        <patternFill patternType="solid">
          <fgColor rgb="FF0097A7"/>
          <bgColor rgb="FF0097A7"/>
        </patternFill>
      </fill>
    </dxf>
    <dxf>
      <font>
        <color rgb="FFC62828"/>
      </font>
      <fill>
        <patternFill patternType="solid">
          <fgColor rgb="FFC62828"/>
          <bgColor rgb="FFC62828"/>
        </patternFill>
      </fill>
    </dxf>
    <dxf>
      <font>
        <color rgb="FF283593"/>
      </font>
      <fill>
        <patternFill patternType="solid">
          <fgColor rgb="FF283593"/>
          <bgColor rgb="FF283593"/>
        </patternFill>
      </fill>
    </dxf>
    <dxf>
      <font>
        <color rgb="FF7C8B1F"/>
      </font>
      <fill>
        <patternFill patternType="solid">
          <fgColor rgb="FF7C8B1F"/>
          <bgColor rgb="FF7C8B1F"/>
        </patternFill>
      </fill>
    </dxf>
    <dxf>
      <font>
        <color rgb="FF7B3FA0"/>
      </font>
      <fill>
        <patternFill patternType="solid">
          <fgColor rgb="FF7B3FA0"/>
          <bgColor rgb="FF7B3FA0"/>
        </patternFill>
      </fill>
    </dxf>
    <dxf>
      <font>
        <color rgb="FF8D5B3A"/>
      </font>
      <fill>
        <patternFill patternType="solid">
          <fgColor rgb="FF8D5B3A"/>
          <bgColor rgb="FF8D5B3A"/>
        </patternFill>
      </fill>
    </dxf>
    <dxf>
      <font>
        <color rgb="FF1F77B4"/>
      </font>
    </dxf>
    <dxf>
      <font>
        <color rgb="FFE6550D"/>
      </font>
    </dxf>
    <dxf>
      <font>
        <color rgb="FF2CA02C"/>
      </font>
    </dxf>
    <dxf>
      <font>
        <color rgb="FFC2185B"/>
      </font>
    </dxf>
    <dxf>
      <font>
        <color rgb="FF0097A7"/>
      </font>
    </dxf>
    <dxf>
      <font>
        <color rgb="FFC62828"/>
      </font>
    </dxf>
    <dxf>
      <font>
        <color rgb="FF283593"/>
      </font>
    </dxf>
    <dxf>
      <font>
        <color rgb="FF7C8B1F"/>
      </font>
    </dxf>
    <dxf>
      <font>
        <color rgb="FF7B3FA0"/>
      </font>
    </dxf>
    <dxf>
      <font>
        <color rgb="FF8D5B3A"/>
      </font>
    </dxf>
    <dxf>
      <font>
        <b/>
        <color rgb="FF1F77B4"/>
      </font>
    </dxf>
    <dxf>
      <font>
        <b/>
        <color rgb="FFE6550D"/>
      </font>
    </dxf>
    <dxf>
      <font>
        <b/>
        <color rgb="FF2CA02C"/>
      </font>
    </dxf>
    <dxf>
      <font>
        <b/>
        <color rgb="FFC2185B"/>
      </font>
    </dxf>
    <dxf>
      <font>
        <b/>
        <color rgb="FF0097A7"/>
      </font>
    </dxf>
    <dxf>
      <font>
        <b/>
        <color rgb="FFC62828"/>
      </font>
    </dxf>
    <dxf>
      <font>
        <b/>
        <color rgb="FF283593"/>
      </font>
    </dxf>
    <dxf>
      <font>
        <b/>
        <color rgb="FF7C8B1F"/>
      </font>
    </dxf>
    <dxf>
      <font>
        <b/>
        <color rgb="FF7B3FA0"/>
      </font>
    </dxf>
    <dxf>
      <font>
        <b/>
        <color rgb="FF8D5B3A"/>
      </font>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3" Type="http://schemas.microsoft.com/office/2022/11/relationships/FeaturePropertyBag" Target="featurePropertyBag/featurePropertyBag.xml"/><Relationship Id="rId99" Type="http://schemas.openxmlformats.org/officeDocument/2006/relationships/worksheet" Target="worksheets/sheet5.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rgb="FFE30714"/>
  </sheetPr>
  <dimension ref="B1:CN41"/>
  <sheetViews>
    <sheetView showGridLines="0" tabSelected="1" topLeftCell="A8" zoomScaleNormal="100" workbookViewId="0">
      <selection activeCell="CO65" sqref="CO65"/>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1: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S4" s="206" t="b">
        <v>1</v>
      </c>
      <c r="BT4" s="228" t="s">
        <v>58</v>
      </c>
      <c r="BV4" s="121" t="s">
        <v>174</v>
      </c>
      <c r="BW4" s="121"/>
      <c r="BX4" s="121"/>
      <c r="BY4" s="121"/>
      <c r="BZ4" s="121"/>
      <c r="CA4" s="121"/>
      <c r="CB4" s="121"/>
      <c r="CC4" s="121"/>
      <c r="CD4" s="121"/>
      <c r="CE4" s="121"/>
      <c r="CF4" s="121"/>
      <c r="CG4" s="121"/>
      <c r="CH4" s="121"/>
      <c r="CI4" s="121"/>
      <c r="CJ4" s="121"/>
      <c r="CK4" s="121"/>
      <c r="CL4" s="121"/>
      <c r="CM4" s="121"/>
      <c r="CN4" s="121"/>
    </row>
    <row r="5" spans="1:92" ht="17.100000000000001" customHeight="1" x14ac:dyDescent="0.25">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S5" s="207" t="b">
        <v>1</v>
      </c>
      <c r="BT5" s="229" t="s">
        <v>62</v>
      </c>
      <c r="BV5" s="121" t="s">
        <v>175</v>
      </c>
      <c r="BW5" s="121"/>
      <c r="BX5" s="121"/>
      <c r="BY5" s="121"/>
      <c r="BZ5" s="121"/>
      <c r="CA5" s="121"/>
      <c r="CB5" s="121"/>
      <c r="CC5" s="121"/>
      <c r="CD5" s="121"/>
      <c r="CE5" s="121"/>
      <c r="CF5" s="121"/>
      <c r="CG5" s="121"/>
      <c r="CH5" s="121"/>
      <c r="CI5" s="121"/>
      <c r="CJ5" s="121"/>
      <c r="CK5" s="121"/>
      <c r="CL5" s="121"/>
      <c r="CM5" s="121"/>
      <c r="CN5" s="121"/>
    </row>
    <row r="6" spans="1:92" ht="17.100000000000001" customHeight="1" x14ac:dyDescent="0.25">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S6" s="208" t="b">
        <v>1</v>
      </c>
      <c r="BT6" s="230" t="s">
        <v>66</v>
      </c>
      <c r="BV6" s="121" t="s">
        <v>176</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c r="AF7" s="120"/>
      <c r="AG7" s="120"/>
      <c r="AH7" s="120"/>
      <c r="AI7" s="120"/>
      <c r="AJ7" s="120"/>
      <c r="AK7" s="120"/>
      <c r="AL7" s="120"/>
      <c r="AM7" s="120"/>
      <c r="AN7" s="120"/>
      <c r="AO7" s="120"/>
      <c r="AP7" s="120"/>
      <c r="AQ7" s="120"/>
      <c r="AR7" s="120"/>
      <c r="AS7" s="120"/>
      <c r="AT7" s="120"/>
      <c r="AU7" s="120"/>
      <c r="AV7" s="120"/>
      <c r="AX7" s="120"/>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204" t="s">
        <v>68</v>
      </c>
      <c r="CE7" s="204"/>
      <c r="CF7" s="121" t="s">
        <v>70</v>
      </c>
      <c r="CG7" s="121"/>
      <c r="CH7" s="121"/>
      <c r="CI7" s="121"/>
      <c r="CJ7" s="121"/>
      <c r="CK7" s="121"/>
      <c r="CL7" s="121"/>
      <c r="CM7" s="121"/>
      <c r="CN7" s="121"/>
    </row>
    <row r="8" x14ac:dyDescent="0.25" ht="17.1" customHeight="1">
      <c r="BT8" s="220" t="s">
        <v>163</v>
      </c>
      <c r="BU8" s="220"/>
      <c r="BV8" s="121" t="s">
        <v>164</v>
      </c>
    </row>
    <row r="9" spans="2:92" ht="15" customHeight="1" x14ac:dyDescent="0.25">
      <c r="B9" s="119" t="str">
        <f>IF(Filter_Aktiv,"Filter aktiv: Der Kalender zeigt nur die in der Tabelle angehakten Maßnahmen ("&amp;COUNTIFS(JP_Anzeige,TRUE,JP_Massnahme,"&lt;&gt;")&amp;"). Häkchen links neben „Maßnahme“ entfernen = wieder alle anzeigen.","Jede Maßnahme hat eine eigene Farbe (siehe Tabelle): P kräftig, S und I im Pastellton. Unter jedem Monat: eine Zeile je Maßnahme mit ihren Terminen.")</f>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9.9499999999999993" customHeight="1" x14ac:dyDescent="0.25"/>
    <row r="11" spans="2:92" ht="24" customHeight="1" x14ac:dyDescent="0.25">
      <c r="B11" s="125" t="str">
        <f>"Maßnahmen "&amp;Planungsjahr&amp;" – sortiert nach PAL"</f>
        <v>Maßnahmen 2027 – sortiert nach PAL</v>
      </c>
      <c r="C11" s="125"/>
      <c r="D11" s="125"/>
      <c r="E11" s="125"/>
      <c r="F11" s="125"/>
      <c r="G11" s="125"/>
      <c r="H11" s="125"/>
      <c r="I11" s="125"/>
      <c r="J11" s="125"/>
      <c r="K11" s="125"/>
      <c r="L11" s="125"/>
      <c r="M11" s="125"/>
      <c r="N11" s="125"/>
      <c r="O11" s="125"/>
      <c r="P11" s="125"/>
      <c r="Q11" s="125"/>
      <c r="R11" s="125"/>
      <c r="S11" s="125"/>
      <c r="T11" s="125"/>
      <c r="U11" s="125"/>
      <c r="V11" s="125"/>
      <c r="W11" s="125"/>
      <c r="X11" s="125"/>
      <c r="Y11" s="125"/>
      <c r="Z11" s="125"/>
      <c r="AA11" s="125"/>
      <c r="AB11" s="125"/>
      <c r="AC11" s="125"/>
      <c r="AD11" s="125"/>
      <c r="AE11" s="125"/>
      <c r="AF11" s="125"/>
      <c r="AG11" s="125"/>
      <c r="AH11" s="125"/>
      <c r="AI11" s="125"/>
      <c r="AJ11" s="125"/>
      <c r="AK11" s="126" t="s">
        <v>165</v>
      </c>
      <c r="AL11" s="126"/>
      <c r="AM11" s="126"/>
      <c r="AN11" s="126"/>
      <c r="AO11" s="126"/>
      <c r="AP11" s="126"/>
      <c r="AQ11" s="126"/>
      <c r="AR11" s="126"/>
      <c r="AS11" s="126"/>
      <c r="AT11" s="126"/>
      <c r="AU11" s="126"/>
      <c r="AV11" s="126"/>
      <c r="AW11" s="126"/>
      <c r="AX11" s="126"/>
      <c r="AY11" s="126"/>
      <c r="AZ11" s="126"/>
      <c r="BA11" s="126"/>
      <c r="BB11" s="126"/>
      <c r="BC11" s="126"/>
      <c r="BD11" s="126"/>
      <c r="BE11" s="126"/>
      <c r="BF11" s="126"/>
      <c r="BG11" s="126"/>
      <c r="BH11" s="126"/>
      <c r="BI11" s="126"/>
      <c r="BJ11" s="126"/>
      <c r="BK11" s="126"/>
      <c r="BL11" s="126"/>
      <c r="BM11" s="126"/>
      <c r="BN11" s="126"/>
      <c r="BO11" s="126"/>
      <c r="BP11" s="126"/>
      <c r="BQ11" s="126"/>
      <c r="BR11" s="126"/>
      <c r="BS11" s="126"/>
      <c r="BT11" s="126"/>
      <c r="BU11" s="126"/>
      <c r="BV11" s="126"/>
      <c r="BW11" s="126"/>
      <c r="BX11" s="126"/>
      <c r="BY11" s="126"/>
      <c r="BZ11" s="126"/>
      <c r="CA11" s="126"/>
      <c r="CB11" s="126"/>
      <c r="CC11" s="126"/>
      <c r="CD11" s="126"/>
      <c r="CE11" s="126"/>
      <c r="CF11" s="126"/>
      <c r="CG11" s="126"/>
      <c r="CH11" s="126"/>
      <c r="CI11" s="126"/>
      <c r="CJ11" s="126"/>
      <c r="CK11" s="126"/>
      <c r="CL11" s="126"/>
      <c r="CM11" s="126"/>
      <c r="CN11" s="126"/>
    </row>
    <row r="12" ht="42" customHeight="1" x14ac:dyDescent="0.25">
      <c r="A12" s="205" t="b">
        <v>0</v>
      </c>
      <c r="B12" s="127" t="s">
        <v>161</v>
      </c>
      <c r="C12" s="127"/>
      <c r="D12" s="127"/>
      <c r="E12" s="127"/>
      <c r="F12" s="127"/>
      <c r="G12" s="127"/>
      <c r="H12" s="127"/>
      <c r="I12" s="127"/>
      <c r="J12" s="127"/>
      <c r="K12" s="127"/>
      <c r="L12" s="127"/>
      <c r="M12" s="127"/>
      <c r="N12" s="127"/>
      <c r="O12" s="127"/>
      <c r="P12" s="127"/>
      <c r="Q12" s="127"/>
      <c r="R12" s="127"/>
      <c r="S12" s="127"/>
      <c r="T12" s="127"/>
      <c r="U12" s="127"/>
      <c r="V12" s="128" t="s">
        <v>82</v>
      </c>
      <c r="W12" s="128"/>
      <c r="X12" s="128"/>
      <c r="Y12" s="128"/>
      <c r="Z12" s="129" t="s">
        <v>59</v>
      </c>
      <c r="AA12" s="129"/>
      <c r="AB12" s="129"/>
      <c r="AC12" s="129"/>
      <c r="AD12" s="129"/>
      <c r="AE12" s="129"/>
      <c r="AF12" s="129"/>
      <c r="AG12" s="129"/>
      <c r="AH12" s="129"/>
      <c r="AI12" s="130" t="s">
        <v>147</v>
      </c>
      <c r="AJ12" s="130"/>
      <c r="AK12" s="130"/>
      <c r="AL12" s="130"/>
      <c r="AM12" s="130"/>
      <c r="AN12" s="130"/>
      <c r="AO12" s="130"/>
      <c r="AP12" s="131" t="s">
        <v>63</v>
      </c>
      <c r="AQ12" s="131"/>
      <c r="AR12" s="131"/>
      <c r="AS12" s="131"/>
      <c r="AT12" s="131"/>
      <c r="AU12" s="131"/>
      <c r="AV12" s="131"/>
      <c r="AW12" s="132" t="s">
        <v>148</v>
      </c>
      <c r="AX12" s="132"/>
      <c r="AY12" s="132"/>
      <c r="AZ12" s="132"/>
      <c r="BA12" s="132"/>
      <c r="BB12" s="132"/>
      <c r="BC12" s="132"/>
      <c r="BD12" s="133" t="s">
        <v>83</v>
      </c>
      <c r="BE12" s="133"/>
      <c r="BF12" s="133"/>
      <c r="BG12" s="133"/>
      <c r="BH12" s="133"/>
      <c r="BI12" s="133"/>
      <c r="BJ12" s="133"/>
      <c r="BK12" s="133"/>
      <c r="BL12" s="133"/>
      <c r="BM12" s="128" t="s">
        <v>84</v>
      </c>
      <c r="BN12" s="128"/>
      <c r="BO12" s="128"/>
      <c r="BP12" s="128"/>
      <c r="BQ12" s="128"/>
      <c r="BR12" s="128"/>
      <c r="BS12" s="128"/>
      <c r="BT12" s="128"/>
      <c r="BU12" s="127" t="s">
        <v>85</v>
      </c>
      <c r="BV12" s="127"/>
      <c r="BW12" s="127"/>
      <c r="BX12" s="127"/>
      <c r="BY12" s="127"/>
      <c r="BZ12" s="127"/>
      <c r="CA12" s="127"/>
      <c r="CB12" s="127"/>
      <c r="CC12" s="127"/>
      <c r="CD12" s="127"/>
      <c r="CE12" s="127"/>
      <c r="CF12" s="127"/>
      <c r="CG12" s="127"/>
      <c r="CH12" s="127"/>
      <c r="CI12" s="127"/>
      <c r="CJ12" s="127"/>
      <c r="CK12" s="127"/>
      <c r="CL12" s="127"/>
      <c r="CM12" s="127"/>
      <c r="CN12" s="127"/>
    </row>
    <row r="13" spans="1:92" ht="18" customHeight="1" x14ac:dyDescent="0.25">
      <c r="A13" s="205" t="b">
        <v>0</v>
      </c>
      <c r="B13" s="134" t="s">
        <v>86</v>
      </c>
      <c r="C13" s="134"/>
      <c r="D13" s="134"/>
      <c r="E13" s="134"/>
      <c r="F13" s="134"/>
      <c r="G13" s="134"/>
      <c r="H13" s="134"/>
      <c r="I13" s="134"/>
      <c r="J13" s="134"/>
      <c r="K13" s="134"/>
      <c r="L13" s="134"/>
      <c r="M13" s="134"/>
      <c r="N13" s="134"/>
      <c r="O13" s="134"/>
      <c r="P13" s="134"/>
      <c r="Q13" s="134"/>
      <c r="R13" s="134"/>
      <c r="S13" s="134"/>
      <c r="T13" s="134"/>
      <c r="U13" s="134"/>
      <c r="V13" s="135"/>
      <c r="W13" s="135"/>
      <c r="X13" s="135"/>
      <c r="Y13" s="135"/>
      <c r="Z13" s="185">
        <f t="shared" ref="Z13:Z32" si="0">IF(OR($BD13="",$AI13=""),"",$BD13-$AI13)</f>
        <v>46340</v>
      </c>
      <c r="AA13" s="186"/>
      <c r="AB13" s="186"/>
      <c r="AC13" s="186"/>
      <c r="AD13" s="186"/>
      <c r="AE13" s="186"/>
      <c r="AF13" s="186"/>
      <c r="AG13" s="186"/>
      <c r="AH13" s="187"/>
      <c r="AI13" s="137">
        <v>76</v>
      </c>
      <c r="AJ13" s="137"/>
      <c r="AK13" s="137"/>
      <c r="AL13" s="137"/>
      <c r="AM13" s="137"/>
      <c r="AN13" s="137"/>
      <c r="AO13" s="137"/>
      <c r="AP13" s="136">
        <f t="shared" ref="AP13:AP32" si="2">IF(OR($BD13="",$AW13=""),"",$BD13-$AW13)</f>
        <v>46358</v>
      </c>
      <c r="AQ13" s="136"/>
      <c r="AR13" s="136"/>
      <c r="AS13" s="136"/>
      <c r="AT13" s="136"/>
      <c r="AU13" s="136"/>
      <c r="AV13" s="136"/>
      <c r="AW13" s="137">
        <v>58</v>
      </c>
      <c r="AX13" s="137"/>
      <c r="AY13" s="137"/>
      <c r="AZ13" s="137"/>
      <c r="BA13" s="137"/>
      <c r="BB13" s="137"/>
      <c r="BC13" s="137"/>
      <c r="BD13" s="138">
        <v>46416</v>
      </c>
      <c r="BE13" s="138"/>
      <c r="BF13" s="138"/>
      <c r="BG13" s="138"/>
      <c r="BH13" s="138"/>
      <c r="BI13" s="138"/>
      <c r="BJ13" s="138"/>
      <c r="BK13" s="138"/>
      <c r="BL13" s="138"/>
      <c r="BM13" s="139"/>
      <c r="BN13" s="139"/>
      <c r="BO13" s="139"/>
      <c r="BP13" s="139"/>
      <c r="BQ13" s="139"/>
      <c r="BR13" s="139"/>
      <c r="BS13" s="139"/>
      <c r="BT13" s="139"/>
      <c r="BU13" s="140" t="s">
        <v>87</v>
      </c>
      <c r="BV13" s="140"/>
      <c r="BW13" s="140"/>
      <c r="BX13" s="140"/>
      <c r="BY13" s="140"/>
      <c r="BZ13" s="140"/>
      <c r="CA13" s="140"/>
      <c r="CB13" s="140"/>
      <c r="CC13" s="140"/>
      <c r="CD13" s="140"/>
      <c r="CE13" s="140"/>
      <c r="CF13" s="140"/>
      <c r="CG13" s="140"/>
      <c r="CH13" s="140"/>
      <c r="CI13" s="140"/>
      <c r="CJ13" s="140"/>
      <c r="CK13" s="140"/>
      <c r="CL13" s="140"/>
      <c r="CM13" s="140"/>
      <c r="CN13" s="140"/>
    </row>
    <row r="14" spans="1:92" ht="18" customHeight="1" x14ac:dyDescent="0.25">
      <c r="A14" s="205" t="b">
        <v>0</v>
      </c>
      <c r="B14" s="134" t="s">
        <v>88</v>
      </c>
      <c r="C14" s="134"/>
      <c r="D14" s="134"/>
      <c r="E14" s="134"/>
      <c r="F14" s="134"/>
      <c r="G14" s="134"/>
      <c r="H14" s="134"/>
      <c r="I14" s="134"/>
      <c r="J14" s="134"/>
      <c r="K14" s="134"/>
      <c r="L14" s="134"/>
      <c r="M14" s="134"/>
      <c r="N14" s="134"/>
      <c r="O14" s="134"/>
      <c r="P14" s="134"/>
      <c r="Q14" s="134"/>
      <c r="R14" s="134"/>
      <c r="S14" s="134"/>
      <c r="T14" s="134"/>
      <c r="U14" s="134"/>
      <c r="V14" s="135"/>
      <c r="W14" s="135"/>
      <c r="X14" s="135"/>
      <c r="Y14" s="135"/>
      <c r="Z14" s="136">
        <f t="shared" si="0"/>
        <v>46416</v>
      </c>
      <c r="AA14" s="136"/>
      <c r="AB14" s="136"/>
      <c r="AC14" s="136"/>
      <c r="AD14" s="136"/>
      <c r="AE14" s="136"/>
      <c r="AF14" s="136"/>
      <c r="AG14" s="136"/>
      <c r="AH14" s="136"/>
      <c r="AI14" s="137">
        <v>21</v>
      </c>
      <c r="AJ14" s="137"/>
      <c r="AK14" s="137"/>
      <c r="AL14" s="137"/>
      <c r="AM14" s="137"/>
      <c r="AN14" s="137"/>
      <c r="AO14" s="137"/>
      <c r="AP14" s="136">
        <f t="shared" si="2"/>
        <v>46430</v>
      </c>
      <c r="AQ14" s="136"/>
      <c r="AR14" s="136"/>
      <c r="AS14" s="136"/>
      <c r="AT14" s="136"/>
      <c r="AU14" s="136"/>
      <c r="AV14" s="136"/>
      <c r="AW14" s="137">
        <v>7</v>
      </c>
      <c r="AX14" s="137"/>
      <c r="AY14" s="137"/>
      <c r="AZ14" s="137"/>
      <c r="BA14" s="137"/>
      <c r="BB14" s="137"/>
      <c r="BC14" s="137"/>
      <c r="BD14" s="138">
        <v>46437</v>
      </c>
      <c r="BE14" s="138"/>
      <c r="BF14" s="138"/>
      <c r="BG14" s="138"/>
      <c r="BH14" s="138"/>
      <c r="BI14" s="138"/>
      <c r="BJ14" s="138"/>
      <c r="BK14" s="138"/>
      <c r="BL14" s="138"/>
      <c r="BM14" s="139"/>
      <c r="BN14" s="139"/>
      <c r="BO14" s="139"/>
      <c r="BP14" s="139"/>
      <c r="BQ14" s="139"/>
      <c r="BR14" s="139"/>
      <c r="BS14" s="139"/>
      <c r="BT14" s="139"/>
      <c r="BU14" s="140" t="s">
        <v>87</v>
      </c>
      <c r="BV14" s="140"/>
      <c r="BW14" s="140"/>
      <c r="BX14" s="140"/>
      <c r="BY14" s="140"/>
      <c r="BZ14" s="140"/>
      <c r="CA14" s="140"/>
      <c r="CB14" s="140"/>
      <c r="CC14" s="140"/>
      <c r="CD14" s="140"/>
      <c r="CE14" s="140"/>
      <c r="CF14" s="140"/>
      <c r="CG14" s="140"/>
      <c r="CH14" s="140"/>
      <c r="CI14" s="140"/>
      <c r="CJ14" s="140"/>
      <c r="CK14" s="140"/>
      <c r="CL14" s="140"/>
      <c r="CM14" s="140"/>
      <c r="CN14" s="140"/>
    </row>
    <row r="15" spans="1:92" ht="18" customHeight="1" x14ac:dyDescent="0.25">
      <c r="A15" s="205" t="b">
        <v>0</v>
      </c>
      <c r="B15" s="134" t="s">
        <v>89</v>
      </c>
      <c r="C15" s="134"/>
      <c r="D15" s="134"/>
      <c r="E15" s="134"/>
      <c r="F15" s="134"/>
      <c r="G15" s="134"/>
      <c r="H15" s="134"/>
      <c r="I15" s="134"/>
      <c r="J15" s="134"/>
      <c r="K15" s="134"/>
      <c r="L15" s="134"/>
      <c r="M15" s="134"/>
      <c r="N15" s="134"/>
      <c r="O15" s="134"/>
      <c r="P15" s="134"/>
      <c r="Q15" s="134"/>
      <c r="R15" s="134"/>
      <c r="S15" s="134"/>
      <c r="T15" s="134"/>
      <c r="U15" s="134"/>
      <c r="V15" s="135"/>
      <c r="W15" s="135"/>
      <c r="X15" s="135"/>
      <c r="Y15" s="135"/>
      <c r="Z15" s="136">
        <f t="shared" si="0"/>
        <v>46424</v>
      </c>
      <c r="AA15" s="136"/>
      <c r="AB15" s="136"/>
      <c r="AC15" s="136"/>
      <c r="AD15" s="136"/>
      <c r="AE15" s="136"/>
      <c r="AF15" s="136"/>
      <c r="AG15" s="136"/>
      <c r="AH15" s="136"/>
      <c r="AI15" s="137">
        <v>76</v>
      </c>
      <c r="AJ15" s="137"/>
      <c r="AK15" s="137"/>
      <c r="AL15" s="137"/>
      <c r="AM15" s="137"/>
      <c r="AN15" s="137"/>
      <c r="AO15" s="137"/>
      <c r="AP15" s="136">
        <f t="shared" si="2"/>
        <v>46442</v>
      </c>
      <c r="AQ15" s="136"/>
      <c r="AR15" s="136"/>
      <c r="AS15" s="136"/>
      <c r="AT15" s="136"/>
      <c r="AU15" s="136"/>
      <c r="AV15" s="136"/>
      <c r="AW15" s="137">
        <v>58</v>
      </c>
      <c r="AX15" s="137"/>
      <c r="AY15" s="137"/>
      <c r="AZ15" s="137"/>
      <c r="BA15" s="137"/>
      <c r="BB15" s="137"/>
      <c r="BC15" s="137"/>
      <c r="BD15" s="138">
        <v>46500</v>
      </c>
      <c r="BE15" s="138"/>
      <c r="BF15" s="138"/>
      <c r="BG15" s="138"/>
      <c r="BH15" s="138"/>
      <c r="BI15" s="138"/>
      <c r="BJ15" s="138"/>
      <c r="BK15" s="138"/>
      <c r="BL15" s="138"/>
      <c r="BM15" s="139"/>
      <c r="BN15" s="139"/>
      <c r="BO15" s="139"/>
      <c r="BP15" s="139"/>
      <c r="BQ15" s="139"/>
      <c r="BR15" s="139"/>
      <c r="BS15" s="139"/>
      <c r="BT15" s="139"/>
      <c r="BU15" s="140" t="s">
        <v>87</v>
      </c>
      <c r="BV15" s="140"/>
      <c r="BW15" s="140"/>
      <c r="BX15" s="140"/>
      <c r="BY15" s="140"/>
      <c r="BZ15" s="140"/>
      <c r="CA15" s="140"/>
      <c r="CB15" s="140"/>
      <c r="CC15" s="140"/>
      <c r="CD15" s="140"/>
      <c r="CE15" s="140"/>
      <c r="CF15" s="140"/>
      <c r="CG15" s="140"/>
      <c r="CH15" s="140"/>
      <c r="CI15" s="140"/>
      <c r="CJ15" s="140"/>
      <c r="CK15" s="140"/>
      <c r="CL15" s="140"/>
      <c r="CM15" s="140"/>
      <c r="CN15" s="140"/>
    </row>
    <row r="16" spans="1:92" ht="18" customHeight="1" x14ac:dyDescent="0.25">
      <c r="A16" s="205" t="b">
        <v>0</v>
      </c>
      <c r="B16" s="134" t="s">
        <v>54</v>
      </c>
      <c r="C16" s="134"/>
      <c r="D16" s="134"/>
      <c r="E16" s="134"/>
      <c r="F16" s="134"/>
      <c r="G16" s="134"/>
      <c r="H16" s="134"/>
      <c r="I16" s="134"/>
      <c r="J16" s="134"/>
      <c r="K16" s="134"/>
      <c r="L16" s="134"/>
      <c r="M16" s="134"/>
      <c r="N16" s="134"/>
      <c r="O16" s="134"/>
      <c r="P16" s="134"/>
      <c r="Q16" s="134"/>
      <c r="R16" s="134"/>
      <c r="S16" s="134"/>
      <c r="T16" s="134"/>
      <c r="U16" s="134"/>
      <c r="V16" s="135"/>
      <c r="W16" s="135"/>
      <c r="X16" s="135"/>
      <c r="Y16" s="135"/>
      <c r="Z16" s="136">
        <f t="shared" si="0"/>
        <v>46481</v>
      </c>
      <c r="AA16" s="136"/>
      <c r="AB16" s="136"/>
      <c r="AC16" s="136"/>
      <c r="AD16" s="136"/>
      <c r="AE16" s="136"/>
      <c r="AF16" s="136"/>
      <c r="AG16" s="136"/>
      <c r="AH16" s="136"/>
      <c r="AI16" s="194">
        <f>IF($BD16="","",Sommermailing!$C$4-Sommermailing!$F$11)</f>
        <v>76</v>
      </c>
      <c r="AJ16" s="137"/>
      <c r="AK16" s="137"/>
      <c r="AL16" s="137"/>
      <c r="AM16" s="137"/>
      <c r="AN16" s="137"/>
      <c r="AO16" s="137"/>
      <c r="AP16" s="136">
        <f t="shared" si="2"/>
        <v>46499</v>
      </c>
      <c r="AQ16" s="136"/>
      <c r="AR16" s="136"/>
      <c r="AS16" s="136"/>
      <c r="AT16" s="136"/>
      <c r="AU16" s="136"/>
      <c r="AV16" s="136"/>
      <c r="AW16" s="195">
        <f>IF($BD16="","",Sommermailing!$C$4-Sommermailing!$F$17)</f>
        <v>58</v>
      </c>
      <c r="AX16" s="137"/>
      <c r="AY16" s="137"/>
      <c r="AZ16" s="137"/>
      <c r="BA16" s="137"/>
      <c r="BB16" s="137"/>
      <c r="BC16" s="137"/>
      <c r="BD16" s="138">
        <v>46557</v>
      </c>
      <c r="BE16" s="138"/>
      <c r="BF16" s="138"/>
      <c r="BG16" s="138"/>
      <c r="BH16" s="138"/>
      <c r="BI16" s="138"/>
      <c r="BJ16" s="138"/>
      <c r="BK16" s="138"/>
      <c r="BL16" s="138"/>
      <c r="BM16" s="139" t="s">
        <v>90</v>
      </c>
      <c r="BN16" s="139"/>
      <c r="BO16" s="139"/>
      <c r="BP16" s="139"/>
      <c r="BQ16" s="139"/>
      <c r="BR16" s="139"/>
      <c r="BS16" s="139"/>
      <c r="BT16" s="139"/>
      <c r="BU16" s="140" t="s">
        <v>91</v>
      </c>
      <c r="BV16" s="140"/>
      <c r="BW16" s="140"/>
      <c r="BX16" s="140"/>
      <c r="BY16" s="140"/>
      <c r="BZ16" s="140"/>
      <c r="CA16" s="140"/>
      <c r="CB16" s="140"/>
      <c r="CC16" s="140"/>
      <c r="CD16" s="140"/>
      <c r="CE16" s="140"/>
      <c r="CF16" s="140"/>
      <c r="CG16" s="140"/>
      <c r="CH16" s="140"/>
      <c r="CI16" s="140"/>
      <c r="CJ16" s="140"/>
      <c r="CK16" s="140"/>
      <c r="CL16" s="140"/>
      <c r="CM16" s="140"/>
      <c r="CN16" s="140"/>
    </row>
    <row r="17" spans="1:92" ht="18" customHeight="1" x14ac:dyDescent="0.25">
      <c r="A17" s="205" t="b">
        <v>0</v>
      </c>
      <c r="B17" s="134" t="s">
        <v>92</v>
      </c>
      <c r="C17" s="134"/>
      <c r="D17" s="134"/>
      <c r="E17" s="134"/>
      <c r="F17" s="134"/>
      <c r="G17" s="134"/>
      <c r="H17" s="134"/>
      <c r="I17" s="134"/>
      <c r="J17" s="134"/>
      <c r="K17" s="134"/>
      <c r="L17" s="134"/>
      <c r="M17" s="134"/>
      <c r="N17" s="134"/>
      <c r="O17" s="134"/>
      <c r="P17" s="134"/>
      <c r="Q17" s="134"/>
      <c r="R17" s="134"/>
      <c r="S17" s="134"/>
      <c r="T17" s="134"/>
      <c r="U17" s="134"/>
      <c r="V17" s="135"/>
      <c r="W17" s="135"/>
      <c r="X17" s="135"/>
      <c r="Y17" s="135"/>
      <c r="Z17" s="136">
        <f t="shared" si="0"/>
        <v>46550</v>
      </c>
      <c r="AA17" s="136"/>
      <c r="AB17" s="136"/>
      <c r="AC17" s="136"/>
      <c r="AD17" s="136"/>
      <c r="AE17" s="136"/>
      <c r="AF17" s="136"/>
      <c r="AG17" s="136"/>
      <c r="AH17" s="136"/>
      <c r="AI17" s="137">
        <v>76</v>
      </c>
      <c r="AJ17" s="137"/>
      <c r="AK17" s="137"/>
      <c r="AL17" s="137"/>
      <c r="AM17" s="137"/>
      <c r="AN17" s="137"/>
      <c r="AO17" s="137"/>
      <c r="AP17" s="136">
        <f t="shared" si="2"/>
        <v>46568</v>
      </c>
      <c r="AQ17" s="136"/>
      <c r="AR17" s="136"/>
      <c r="AS17" s="136"/>
      <c r="AT17" s="136"/>
      <c r="AU17" s="136"/>
      <c r="AV17" s="136"/>
      <c r="AW17" s="137">
        <v>58</v>
      </c>
      <c r="AX17" s="137"/>
      <c r="AY17" s="137"/>
      <c r="AZ17" s="137"/>
      <c r="BA17" s="137"/>
      <c r="BB17" s="137"/>
      <c r="BC17" s="137"/>
      <c r="BD17" s="138">
        <v>46626</v>
      </c>
      <c r="BE17" s="138"/>
      <c r="BF17" s="138"/>
      <c r="BG17" s="138"/>
      <c r="BH17" s="138"/>
      <c r="BI17" s="138"/>
      <c r="BJ17" s="138"/>
      <c r="BK17" s="138"/>
      <c r="BL17" s="138"/>
      <c r="BM17" s="139"/>
      <c r="BN17" s="139"/>
      <c r="BO17" s="139"/>
      <c r="BP17" s="139"/>
      <c r="BQ17" s="139"/>
      <c r="BR17" s="139"/>
      <c r="BS17" s="139"/>
      <c r="BT17" s="139"/>
      <c r="BU17" s="140" t="s">
        <v>87</v>
      </c>
      <c r="BV17" s="140"/>
      <c r="BW17" s="140"/>
      <c r="BX17" s="140"/>
      <c r="BY17" s="140"/>
      <c r="BZ17" s="140"/>
      <c r="CA17" s="140"/>
      <c r="CB17" s="140"/>
      <c r="CC17" s="140"/>
      <c r="CD17" s="140"/>
      <c r="CE17" s="140"/>
      <c r="CF17" s="140"/>
      <c r="CG17" s="140"/>
      <c r="CH17" s="140"/>
      <c r="CI17" s="140"/>
      <c r="CJ17" s="140"/>
      <c r="CK17" s="140"/>
      <c r="CL17" s="140"/>
      <c r="CM17" s="140"/>
      <c r="CN17" s="140"/>
    </row>
    <row r="18" spans="1:92" ht="18" customHeight="1" x14ac:dyDescent="0.25">
      <c r="A18" s="205" t="b">
        <v>0</v>
      </c>
      <c r="B18" s="134" t="s">
        <v>93</v>
      </c>
      <c r="C18" s="134"/>
      <c r="D18" s="134"/>
      <c r="E18" s="134"/>
      <c r="F18" s="134"/>
      <c r="G18" s="134"/>
      <c r="H18" s="134"/>
      <c r="I18" s="134"/>
      <c r="J18" s="134"/>
      <c r="K18" s="134"/>
      <c r="L18" s="134"/>
      <c r="M18" s="134"/>
      <c r="N18" s="134"/>
      <c r="O18" s="134"/>
      <c r="P18" s="134"/>
      <c r="Q18" s="134"/>
      <c r="R18" s="134"/>
      <c r="S18" s="134"/>
      <c r="T18" s="134"/>
      <c r="U18" s="134"/>
      <c r="V18" s="135"/>
      <c r="W18" s="135"/>
      <c r="X18" s="135"/>
      <c r="Y18" s="135"/>
      <c r="Z18" s="136">
        <f t="shared" si="0"/>
        <v>46578</v>
      </c>
      <c r="AA18" s="136"/>
      <c r="AB18" s="136"/>
      <c r="AC18" s="136"/>
      <c r="AD18" s="136"/>
      <c r="AE18" s="136"/>
      <c r="AF18" s="136"/>
      <c r="AG18" s="136"/>
      <c r="AH18" s="136"/>
      <c r="AI18" s="137">
        <v>76</v>
      </c>
      <c r="AJ18" s="137"/>
      <c r="AK18" s="137"/>
      <c r="AL18" s="137"/>
      <c r="AM18" s="137"/>
      <c r="AN18" s="137"/>
      <c r="AO18" s="137"/>
      <c r="AP18" s="136">
        <f t="shared" si="2"/>
        <v>46596</v>
      </c>
      <c r="AQ18" s="136"/>
      <c r="AR18" s="136"/>
      <c r="AS18" s="136"/>
      <c r="AT18" s="136"/>
      <c r="AU18" s="136"/>
      <c r="AV18" s="136"/>
      <c r="AW18" s="137">
        <v>58</v>
      </c>
      <c r="AX18" s="137"/>
      <c r="AY18" s="137"/>
      <c r="AZ18" s="137"/>
      <c r="BA18" s="137"/>
      <c r="BB18" s="137"/>
      <c r="BC18" s="137"/>
      <c r="BD18" s="138">
        <v>46654</v>
      </c>
      <c r="BE18" s="138"/>
      <c r="BF18" s="138"/>
      <c r="BG18" s="138"/>
      <c r="BH18" s="138"/>
      <c r="BI18" s="138"/>
      <c r="BJ18" s="138"/>
      <c r="BK18" s="138"/>
      <c r="BL18" s="138"/>
      <c r="BM18" s="139"/>
      <c r="BN18" s="139"/>
      <c r="BO18" s="139"/>
      <c r="BP18" s="139"/>
      <c r="BQ18" s="139"/>
      <c r="BR18" s="139"/>
      <c r="BS18" s="139"/>
      <c r="BT18" s="139"/>
      <c r="BU18" s="140" t="s">
        <v>87</v>
      </c>
      <c r="BV18" s="140"/>
      <c r="BW18" s="140"/>
      <c r="BX18" s="140"/>
      <c r="BY18" s="140"/>
      <c r="BZ18" s="140"/>
      <c r="CA18" s="140"/>
      <c r="CB18" s="140"/>
      <c r="CC18" s="140"/>
      <c r="CD18" s="140"/>
      <c r="CE18" s="140"/>
      <c r="CF18" s="140"/>
      <c r="CG18" s="140"/>
      <c r="CH18" s="140"/>
      <c r="CI18" s="140"/>
      <c r="CJ18" s="140"/>
      <c r="CK18" s="140"/>
      <c r="CL18" s="140"/>
      <c r="CM18" s="140"/>
      <c r="CN18" s="140"/>
    </row>
    <row r="19" spans="1:92" ht="18" customHeight="1" x14ac:dyDescent="0.25">
      <c r="A19" s="205" t="b">
        <v>0</v>
      </c>
      <c r="B19" s="134" t="s">
        <v>150</v>
      </c>
      <c r="C19" s="134"/>
      <c r="D19" s="134"/>
      <c r="E19" s="134"/>
      <c r="F19" s="134"/>
      <c r="G19" s="134"/>
      <c r="H19" s="134"/>
      <c r="I19" s="134"/>
      <c r="J19" s="134"/>
      <c r="K19" s="134"/>
      <c r="L19" s="134"/>
      <c r="M19" s="134"/>
      <c r="N19" s="134"/>
      <c r="O19" s="134"/>
      <c r="P19" s="134"/>
      <c r="Q19" s="134"/>
      <c r="R19" s="134"/>
      <c r="S19" s="134"/>
      <c r="T19" s="134"/>
      <c r="U19" s="134"/>
      <c r="V19" s="135"/>
      <c r="W19" s="135"/>
      <c r="X19" s="135"/>
      <c r="Y19" s="135"/>
      <c r="Z19" s="136">
        <f t="shared" si="0"/>
        <v>46592</v>
      </c>
      <c r="AA19" s="136"/>
      <c r="AB19" s="136"/>
      <c r="AC19" s="136"/>
      <c r="AD19" s="136"/>
      <c r="AE19" s="136"/>
      <c r="AF19" s="136"/>
      <c r="AG19" s="136"/>
      <c r="AH19" s="136"/>
      <c r="AI19" s="137">
        <v>76</v>
      </c>
      <c r="AJ19" s="137"/>
      <c r="AK19" s="137"/>
      <c r="AL19" s="137"/>
      <c r="AM19" s="137"/>
      <c r="AN19" s="137"/>
      <c r="AO19" s="137"/>
      <c r="AP19" s="136">
        <f t="shared" si="2"/>
        <v>46610</v>
      </c>
      <c r="AQ19" s="136"/>
      <c r="AR19" s="136"/>
      <c r="AS19" s="136"/>
      <c r="AT19" s="136"/>
      <c r="AU19" s="136"/>
      <c r="AV19" s="136"/>
      <c r="AW19" s="137">
        <v>58</v>
      </c>
      <c r="AX19" s="137"/>
      <c r="AY19" s="137"/>
      <c r="AZ19" s="137"/>
      <c r="BA19" s="137"/>
      <c r="BB19" s="137"/>
      <c r="BC19" s="137"/>
      <c r="BD19" s="138">
        <v>46668</v>
      </c>
      <c r="BE19" s="138"/>
      <c r="BF19" s="138"/>
      <c r="BG19" s="138"/>
      <c r="BH19" s="138"/>
      <c r="BI19" s="138"/>
      <c r="BJ19" s="138"/>
      <c r="BK19" s="138"/>
      <c r="BL19" s="138"/>
      <c r="BM19" s="139" t="s">
        <v>90</v>
      </c>
      <c r="BN19" s="139"/>
      <c r="BO19" s="139"/>
      <c r="BP19" s="139"/>
      <c r="BQ19" s="139"/>
      <c r="BR19" s="139"/>
      <c r="BS19" s="139"/>
      <c r="BT19" s="139"/>
      <c r="BU19" s="140" t="s">
        <v>94</v>
      </c>
      <c r="BV19" s="140"/>
      <c r="BW19" s="140"/>
      <c r="BX19" s="140"/>
      <c r="BY19" s="140"/>
      <c r="BZ19" s="140"/>
      <c r="CA19" s="140"/>
      <c r="CB19" s="140"/>
      <c r="CC19" s="140"/>
      <c r="CD19" s="140"/>
      <c r="CE19" s="140"/>
      <c r="CF19" s="140"/>
      <c r="CG19" s="140"/>
      <c r="CH19" s="140"/>
      <c r="CI19" s="140"/>
      <c r="CJ19" s="140"/>
      <c r="CK19" s="140"/>
      <c r="CL19" s="140"/>
      <c r="CM19" s="140"/>
      <c r="CN19" s="140"/>
    </row>
    <row r="20" spans="1:92" ht="18" customHeight="1" x14ac:dyDescent="0.25">
      <c r="A20" s="205" t="b">
        <v>0</v>
      </c>
      <c r="B20" s="134" t="s">
        <v>151</v>
      </c>
      <c r="C20" s="134"/>
      <c r="D20" s="134"/>
      <c r="E20" s="134"/>
      <c r="F20" s="134"/>
      <c r="G20" s="134"/>
      <c r="H20" s="134"/>
      <c r="I20" s="134"/>
      <c r="J20" s="134"/>
      <c r="K20" s="134"/>
      <c r="L20" s="134"/>
      <c r="M20" s="134"/>
      <c r="N20" s="134"/>
      <c r="O20" s="134"/>
      <c r="P20" s="134"/>
      <c r="Q20" s="134"/>
      <c r="R20" s="134"/>
      <c r="S20" s="134"/>
      <c r="T20" s="134"/>
      <c r="U20" s="134"/>
      <c r="V20" s="135"/>
      <c r="W20" s="135"/>
      <c r="X20" s="135"/>
      <c r="Y20" s="135"/>
      <c r="Z20" s="136">
        <f t="shared" si="0"/>
        <v>46606</v>
      </c>
      <c r="AA20" s="136"/>
      <c r="AB20" s="136"/>
      <c r="AC20" s="136"/>
      <c r="AD20" s="136"/>
      <c r="AE20" s="136"/>
      <c r="AF20" s="136"/>
      <c r="AG20" s="136"/>
      <c r="AH20" s="136"/>
      <c r="AI20" s="137">
        <v>76</v>
      </c>
      <c r="AJ20" s="137"/>
      <c r="AK20" s="137"/>
      <c r="AL20" s="137"/>
      <c r="AM20" s="137"/>
      <c r="AN20" s="137"/>
      <c r="AO20" s="137"/>
      <c r="AP20" s="136">
        <f t="shared" si="2"/>
        <v>46624</v>
      </c>
      <c r="AQ20" s="136"/>
      <c r="AR20" s="136"/>
      <c r="AS20" s="136"/>
      <c r="AT20" s="136"/>
      <c r="AU20" s="136"/>
      <c r="AV20" s="136"/>
      <c r="AW20" s="137">
        <v>58</v>
      </c>
      <c r="AX20" s="137"/>
      <c r="AY20" s="137"/>
      <c r="AZ20" s="137"/>
      <c r="BA20" s="137"/>
      <c r="BB20" s="137"/>
      <c r="BC20" s="137"/>
      <c r="BD20" s="138">
        <v>46682</v>
      </c>
      <c r="BE20" s="138"/>
      <c r="BF20" s="138"/>
      <c r="BG20" s="138"/>
      <c r="BH20" s="138"/>
      <c r="BI20" s="138"/>
      <c r="BJ20" s="138"/>
      <c r="BK20" s="138"/>
      <c r="BL20" s="138"/>
      <c r="BM20" s="139"/>
      <c r="BN20" s="139"/>
      <c r="BO20" s="139"/>
      <c r="BP20" s="139"/>
      <c r="BQ20" s="139"/>
      <c r="BR20" s="139"/>
      <c r="BS20" s="139"/>
      <c r="BT20" s="139"/>
      <c r="BU20" s="140" t="s">
        <v>87</v>
      </c>
      <c r="BV20" s="140"/>
      <c r="BW20" s="140"/>
      <c r="BX20" s="140"/>
      <c r="BY20" s="140"/>
      <c r="BZ20" s="140"/>
      <c r="CA20" s="140"/>
      <c r="CB20" s="140"/>
      <c r="CC20" s="140"/>
      <c r="CD20" s="140"/>
      <c r="CE20" s="140"/>
      <c r="CF20" s="140"/>
      <c r="CG20" s="140"/>
      <c r="CH20" s="140"/>
      <c r="CI20" s="140"/>
      <c r="CJ20" s="140"/>
      <c r="CK20" s="140"/>
      <c r="CL20" s="140"/>
      <c r="CM20" s="140"/>
      <c r="CN20" s="140"/>
    </row>
    <row r="21" spans="1:92" ht="18" customHeight="1" x14ac:dyDescent="0.25">
      <c r="A21" s="205" t="b">
        <v>0</v>
      </c>
      <c r="B21" s="134" t="s">
        <v>55</v>
      </c>
      <c r="C21" s="134"/>
      <c r="D21" s="134"/>
      <c r="E21" s="134"/>
      <c r="F21" s="134"/>
      <c r="G21" s="134"/>
      <c r="H21" s="134"/>
      <c r="I21" s="134"/>
      <c r="J21" s="134"/>
      <c r="K21" s="134"/>
      <c r="L21" s="134"/>
      <c r="M21" s="134"/>
      <c r="N21" s="134"/>
      <c r="O21" s="134"/>
      <c r="P21" s="134"/>
      <c r="Q21" s="134"/>
      <c r="R21" s="134"/>
      <c r="S21" s="134"/>
      <c r="T21" s="134"/>
      <c r="U21" s="134"/>
      <c r="V21" s="135"/>
      <c r="W21" s="135"/>
      <c r="X21" s="135"/>
      <c r="Y21" s="135"/>
      <c r="Z21" s="136">
        <f t="shared" si="0"/>
        <v>46641</v>
      </c>
      <c r="AA21" s="136"/>
      <c r="AB21" s="136"/>
      <c r="AC21" s="136"/>
      <c r="AD21" s="136"/>
      <c r="AE21" s="136"/>
      <c r="AF21" s="136"/>
      <c r="AG21" s="136"/>
      <c r="AH21" s="136"/>
      <c r="AI21" s="196">
        <f>IF($BD21="","",Weihnachtsmailing!$C$4-Weihnachtsmailing!$F$11)</f>
        <v>76</v>
      </c>
      <c r="AJ21" s="137"/>
      <c r="AK21" s="137"/>
      <c r="AL21" s="137"/>
      <c r="AM21" s="137"/>
      <c r="AN21" s="137"/>
      <c r="AO21" s="137"/>
      <c r="AP21" s="136">
        <f t="shared" si="2"/>
        <v>46659</v>
      </c>
      <c r="AQ21" s="136"/>
      <c r="AR21" s="136"/>
      <c r="AS21" s="136"/>
      <c r="AT21" s="136"/>
      <c r="AU21" s="136"/>
      <c r="AV21" s="136"/>
      <c r="AW21" s="197">
        <f>IF($BD21="","",Weihnachtsmailing!$C$4-Weihnachtsmailing!$F$17)</f>
        <v>58</v>
      </c>
      <c r="AX21" s="137"/>
      <c r="AY21" s="137"/>
      <c r="AZ21" s="137"/>
      <c r="BA21" s="137"/>
      <c r="BB21" s="137"/>
      <c r="BC21" s="137"/>
      <c r="BD21" s="138">
        <v>46717</v>
      </c>
      <c r="BE21" s="138"/>
      <c r="BF21" s="138"/>
      <c r="BG21" s="138"/>
      <c r="BH21" s="138"/>
      <c r="BI21" s="138"/>
      <c r="BJ21" s="138"/>
      <c r="BK21" s="138"/>
      <c r="BL21" s="138"/>
      <c r="BM21" s="139" t="s">
        <v>90</v>
      </c>
      <c r="BN21" s="139"/>
      <c r="BO21" s="139"/>
      <c r="BP21" s="139"/>
      <c r="BQ21" s="139"/>
      <c r="BR21" s="139"/>
      <c r="BS21" s="139"/>
      <c r="BT21" s="139"/>
      <c r="BU21" s="140" t="s">
        <v>95</v>
      </c>
      <c r="BV21" s="140"/>
      <c r="BW21" s="140"/>
      <c r="BX21" s="140"/>
      <c r="BY21" s="140"/>
      <c r="BZ21" s="140"/>
      <c r="CA21" s="140"/>
      <c r="CB21" s="140"/>
      <c r="CC21" s="140"/>
      <c r="CD21" s="140"/>
      <c r="CE21" s="140"/>
      <c r="CF21" s="140"/>
      <c r="CG21" s="140"/>
      <c r="CH21" s="140"/>
      <c r="CI21" s="140"/>
      <c r="CJ21" s="140"/>
      <c r="CK21" s="140"/>
      <c r="CL21" s="140"/>
      <c r="CM21" s="140"/>
      <c r="CN21" s="140"/>
    </row>
    <row r="22" spans="1:92" ht="18" customHeight="1" x14ac:dyDescent="0.25">
      <c r="A22" s="205" t="b">
        <v>0</v>
      </c>
      <c r="B22" s="134" t="s">
        <v>96</v>
      </c>
      <c r="C22" s="134"/>
      <c r="D22" s="134"/>
      <c r="E22" s="134"/>
      <c r="F22" s="134"/>
      <c r="G22" s="134"/>
      <c r="H22" s="134"/>
      <c r="I22" s="134"/>
      <c r="J22" s="134"/>
      <c r="K22" s="134"/>
      <c r="L22" s="134"/>
      <c r="M22" s="134"/>
      <c r="N22" s="134"/>
      <c r="O22" s="134"/>
      <c r="P22" s="134"/>
      <c r="Q22" s="134"/>
      <c r="R22" s="134"/>
      <c r="S22" s="134"/>
      <c r="T22" s="134"/>
      <c r="U22" s="134"/>
      <c r="V22" s="135"/>
      <c r="W22" s="135"/>
      <c r="X22" s="135"/>
      <c r="Y22" s="135"/>
      <c r="Z22" s="136">
        <f t="shared" si="0"/>
        <v>46655</v>
      </c>
      <c r="AA22" s="136"/>
      <c r="AB22" s="136"/>
      <c r="AC22" s="136"/>
      <c r="AD22" s="136"/>
      <c r="AE22" s="136"/>
      <c r="AF22" s="136"/>
      <c r="AG22" s="136"/>
      <c r="AH22" s="136"/>
      <c r="AI22" s="137">
        <v>76</v>
      </c>
      <c r="AJ22" s="137"/>
      <c r="AK22" s="137"/>
      <c r="AL22" s="137"/>
      <c r="AM22" s="137"/>
      <c r="AN22" s="137"/>
      <c r="AO22" s="137"/>
      <c r="AP22" s="136">
        <f t="shared" si="2"/>
        <v>46673</v>
      </c>
      <c r="AQ22" s="136"/>
      <c r="AR22" s="136"/>
      <c r="AS22" s="136"/>
      <c r="AT22" s="136"/>
      <c r="AU22" s="136"/>
      <c r="AV22" s="136"/>
      <c r="AW22" s="137">
        <v>58</v>
      </c>
      <c r="AX22" s="137"/>
      <c r="AY22" s="137"/>
      <c r="AZ22" s="137"/>
      <c r="BA22" s="137"/>
      <c r="BB22" s="137"/>
      <c r="BC22" s="137"/>
      <c r="BD22" s="138">
        <v>46731</v>
      </c>
      <c r="BE22" s="138"/>
      <c r="BF22" s="138"/>
      <c r="BG22" s="138"/>
      <c r="BH22" s="138"/>
      <c r="BI22" s="138"/>
      <c r="BJ22" s="138"/>
      <c r="BK22" s="138"/>
      <c r="BL22" s="138"/>
      <c r="BM22" s="139"/>
      <c r="BN22" s="139"/>
      <c r="BO22" s="139"/>
      <c r="BP22" s="139"/>
      <c r="BQ22" s="139"/>
      <c r="BR22" s="139"/>
      <c r="BS22" s="139"/>
      <c r="BT22" s="139"/>
      <c r="BU22" s="140" t="s">
        <v>87</v>
      </c>
      <c r="BV22" s="140"/>
      <c r="BW22" s="140"/>
      <c r="BX22" s="140"/>
      <c r="BY22" s="140"/>
      <c r="BZ22" s="140"/>
      <c r="CA22" s="140"/>
      <c r="CB22" s="140"/>
      <c r="CC22" s="140"/>
      <c r="CD22" s="140"/>
      <c r="CE22" s="140"/>
      <c r="CF22" s="140"/>
      <c r="CG22" s="140"/>
      <c r="CH22" s="140"/>
      <c r="CI22" s="140"/>
      <c r="CJ22" s="140"/>
      <c r="CK22" s="140"/>
      <c r="CL22" s="140"/>
      <c r="CM22" s="140"/>
      <c r="CN22" s="140"/>
    </row>
    <row r="23" spans="1:92" ht="18" customHeight="1" x14ac:dyDescent="0.25">
      <c r="A23" s="205" t="b">
        <v>0</v>
      </c>
      <c r="B23" s="134"/>
      <c r="C23" s="134"/>
      <c r="D23" s="134"/>
      <c r="E23" s="134"/>
      <c r="F23" s="134"/>
      <c r="G23" s="134"/>
      <c r="H23" s="134"/>
      <c r="I23" s="134"/>
      <c r="J23" s="134"/>
      <c r="K23" s="134"/>
      <c r="L23" s="134"/>
      <c r="M23" s="134"/>
      <c r="N23" s="134"/>
      <c r="O23" s="134"/>
      <c r="P23" s="134"/>
      <c r="Q23" s="134"/>
      <c r="R23" s="134"/>
      <c r="S23" s="134"/>
      <c r="T23" s="134"/>
      <c r="U23" s="134"/>
      <c r="V23" s="135"/>
      <c r="W23" s="135"/>
      <c r="X23" s="135"/>
      <c r="Y23" s="135"/>
      <c r="Z23" s="136" t="str">
        <f t="shared" si="0"/>
        <v/>
      </c>
      <c r="AA23" s="136"/>
      <c r="AB23" s="136"/>
      <c r="AC23" s="136"/>
      <c r="AD23" s="136"/>
      <c r="AE23" s="136"/>
      <c r="AF23" s="136"/>
      <c r="AG23" s="136"/>
      <c r="AH23" s="136"/>
      <c r="AI23" s="137"/>
      <c r="AJ23" s="137"/>
      <c r="AK23" s="137"/>
      <c r="AL23" s="137"/>
      <c r="AM23" s="137"/>
      <c r="AN23" s="137"/>
      <c r="AO23" s="137"/>
      <c r="AP23" s="136" t="str">
        <f t="shared" si="2"/>
        <v/>
      </c>
      <c r="AQ23" s="136"/>
      <c r="AR23" s="136"/>
      <c r="AS23" s="136"/>
      <c r="AT23" s="136"/>
      <c r="AU23" s="136"/>
      <c r="AV23" s="136"/>
      <c r="AW23" s="137"/>
      <c r="AX23" s="137"/>
      <c r="AY23" s="137"/>
      <c r="AZ23" s="137"/>
      <c r="BA23" s="137"/>
      <c r="BB23" s="137"/>
      <c r="BC23" s="137"/>
      <c r="BD23" s="138"/>
      <c r="BE23" s="138"/>
      <c r="BF23" s="138"/>
      <c r="BG23" s="138"/>
      <c r="BH23" s="138"/>
      <c r="BI23" s="138"/>
      <c r="BJ23" s="138"/>
      <c r="BK23" s="138"/>
      <c r="BL23" s="138"/>
      <c r="BM23" s="139"/>
      <c r="BN23" s="139"/>
      <c r="BO23" s="139"/>
      <c r="BP23" s="139"/>
      <c r="BQ23" s="139"/>
      <c r="BR23" s="139"/>
      <c r="BS23" s="139"/>
      <c r="BT23" s="139"/>
      <c r="BU23" s="140"/>
      <c r="BV23" s="140"/>
      <c r="BW23" s="140"/>
      <c r="BX23" s="140"/>
      <c r="BY23" s="140"/>
      <c r="BZ23" s="140"/>
      <c r="CA23" s="140"/>
      <c r="CB23" s="140"/>
      <c r="CC23" s="140"/>
      <c r="CD23" s="140"/>
      <c r="CE23" s="140"/>
      <c r="CF23" s="140"/>
      <c r="CG23" s="140"/>
      <c r="CH23" s="140"/>
      <c r="CI23" s="140"/>
      <c r="CJ23" s="140"/>
      <c r="CK23" s="140"/>
      <c r="CL23" s="140"/>
      <c r="CM23" s="140"/>
      <c r="CN23" s="140"/>
    </row>
    <row r="24" spans="1:92" ht="18" customHeight="1" x14ac:dyDescent="0.25">
      <c r="A24" s="205" t="b">
        <v>0</v>
      </c>
      <c r="B24" s="134"/>
      <c r="C24" s="134"/>
      <c r="D24" s="134"/>
      <c r="E24" s="134"/>
      <c r="F24" s="134"/>
      <c r="G24" s="134"/>
      <c r="H24" s="134"/>
      <c r="I24" s="134"/>
      <c r="J24" s="134"/>
      <c r="K24" s="134"/>
      <c r="L24" s="134"/>
      <c r="M24" s="134"/>
      <c r="N24" s="134"/>
      <c r="O24" s="134"/>
      <c r="P24" s="134"/>
      <c r="Q24" s="134"/>
      <c r="R24" s="134"/>
      <c r="S24" s="134"/>
      <c r="T24" s="134"/>
      <c r="U24" s="134"/>
      <c r="V24" s="135"/>
      <c r="W24" s="135"/>
      <c r="X24" s="135"/>
      <c r="Y24" s="135"/>
      <c r="Z24" s="136" t="str">
        <f t="shared" si="0"/>
        <v/>
      </c>
      <c r="AA24" s="136"/>
      <c r="AB24" s="136"/>
      <c r="AC24" s="136"/>
      <c r="AD24" s="136"/>
      <c r="AE24" s="136"/>
      <c r="AF24" s="136"/>
      <c r="AG24" s="136"/>
      <c r="AH24" s="136"/>
      <c r="AI24" s="137"/>
      <c r="AJ24" s="137"/>
      <c r="AK24" s="137"/>
      <c r="AL24" s="137"/>
      <c r="AM24" s="137"/>
      <c r="AN24" s="137"/>
      <c r="AO24" s="137"/>
      <c r="AP24" s="136" t="str">
        <f t="shared" si="2"/>
        <v/>
      </c>
      <c r="AQ24" s="136"/>
      <c r="AR24" s="136"/>
      <c r="AS24" s="136"/>
      <c r="AT24" s="136"/>
      <c r="AU24" s="136"/>
      <c r="AV24" s="136"/>
      <c r="AW24" s="137"/>
      <c r="AX24" s="137"/>
      <c r="AY24" s="137"/>
      <c r="AZ24" s="137"/>
      <c r="BA24" s="137"/>
      <c r="BB24" s="137"/>
      <c r="BC24" s="137"/>
      <c r="BD24" s="138"/>
      <c r="BE24" s="138"/>
      <c r="BF24" s="138"/>
      <c r="BG24" s="138"/>
      <c r="BH24" s="138"/>
      <c r="BI24" s="138"/>
      <c r="BJ24" s="138"/>
      <c r="BK24" s="138"/>
      <c r="BL24" s="138"/>
      <c r="BM24" s="139"/>
      <c r="BN24" s="139"/>
      <c r="BO24" s="139"/>
      <c r="BP24" s="139"/>
      <c r="BQ24" s="139"/>
      <c r="BR24" s="139"/>
      <c r="BS24" s="139"/>
      <c r="BT24" s="139"/>
      <c r="BU24" s="140"/>
      <c r="BV24" s="140"/>
      <c r="BW24" s="140"/>
      <c r="BX24" s="140"/>
      <c r="BY24" s="140"/>
      <c r="BZ24" s="140"/>
      <c r="CA24" s="140"/>
      <c r="CB24" s="140"/>
      <c r="CC24" s="140"/>
      <c r="CD24" s="140"/>
      <c r="CE24" s="140"/>
      <c r="CF24" s="140"/>
      <c r="CG24" s="140"/>
      <c r="CH24" s="140"/>
      <c r="CI24" s="140"/>
      <c r="CJ24" s="140"/>
      <c r="CK24" s="140"/>
      <c r="CL24" s="140"/>
      <c r="CM24" s="140"/>
      <c r="CN24" s="140"/>
    </row>
    <row r="25" spans="1:92" ht="18" customHeight="1" x14ac:dyDescent="0.25">
      <c r="A25" s="205" t="b">
        <v>0</v>
      </c>
      <c r="B25" s="134"/>
      <c r="C25" s="134"/>
      <c r="D25" s="134"/>
      <c r="E25" s="134"/>
      <c r="F25" s="134"/>
      <c r="G25" s="134"/>
      <c r="H25" s="134"/>
      <c r="I25" s="134"/>
      <c r="J25" s="134"/>
      <c r="K25" s="134"/>
      <c r="L25" s="134"/>
      <c r="M25" s="134"/>
      <c r="N25" s="134"/>
      <c r="O25" s="134"/>
      <c r="P25" s="134"/>
      <c r="Q25" s="134"/>
      <c r="R25" s="134"/>
      <c r="S25" s="134"/>
      <c r="T25" s="134"/>
      <c r="U25" s="134"/>
      <c r="V25" s="135"/>
      <c r="W25" s="135"/>
      <c r="X25" s="135"/>
      <c r="Y25" s="135"/>
      <c r="Z25" s="136" t="str">
        <f t="shared" si="0"/>
        <v/>
      </c>
      <c r="AA25" s="136"/>
      <c r="AB25" s="136"/>
      <c r="AC25" s="136"/>
      <c r="AD25" s="136"/>
      <c r="AE25" s="136"/>
      <c r="AF25" s="136"/>
      <c r="AG25" s="136"/>
      <c r="AH25" s="136"/>
      <c r="AI25" s="137"/>
      <c r="AJ25" s="137"/>
      <c r="AK25" s="137"/>
      <c r="AL25" s="137"/>
      <c r="AM25" s="137"/>
      <c r="AN25" s="137"/>
      <c r="AO25" s="137"/>
      <c r="AP25" s="136" t="str">
        <f t="shared" si="2"/>
        <v/>
      </c>
      <c r="AQ25" s="136"/>
      <c r="AR25" s="136"/>
      <c r="AS25" s="136"/>
      <c r="AT25" s="136"/>
      <c r="AU25" s="136"/>
      <c r="AV25" s="136"/>
      <c r="AW25" s="137"/>
      <c r="AX25" s="137"/>
      <c r="AY25" s="137"/>
      <c r="AZ25" s="137"/>
      <c r="BA25" s="137"/>
      <c r="BB25" s="137"/>
      <c r="BC25" s="137"/>
      <c r="BD25" s="138"/>
      <c r="BE25" s="138"/>
      <c r="BF25" s="138"/>
      <c r="BG25" s="138"/>
      <c r="BH25" s="138"/>
      <c r="BI25" s="138"/>
      <c r="BJ25" s="138"/>
      <c r="BK25" s="138"/>
      <c r="BL25" s="138"/>
      <c r="BM25" s="139"/>
      <c r="BN25" s="139"/>
      <c r="BO25" s="139"/>
      <c r="BP25" s="139"/>
      <c r="BQ25" s="139"/>
      <c r="BR25" s="139"/>
      <c r="BS25" s="139"/>
      <c r="BT25" s="139"/>
      <c r="BU25" s="140"/>
      <c r="BV25" s="140"/>
      <c r="BW25" s="140"/>
      <c r="BX25" s="140"/>
      <c r="BY25" s="140"/>
      <c r="BZ25" s="140"/>
      <c r="CA25" s="140"/>
      <c r="CB25" s="140"/>
      <c r="CC25" s="140"/>
      <c r="CD25" s="140"/>
      <c r="CE25" s="140"/>
      <c r="CF25" s="140"/>
      <c r="CG25" s="140"/>
      <c r="CH25" s="140"/>
      <c r="CI25" s="140"/>
      <c r="CJ25" s="140"/>
      <c r="CK25" s="140"/>
      <c r="CL25" s="140"/>
      <c r="CM25" s="140"/>
      <c r="CN25" s="140"/>
    </row>
    <row r="26" spans="1:92" ht="18" customHeight="1" x14ac:dyDescent="0.25">
      <c r="A26" s="205" t="b">
        <v>0</v>
      </c>
      <c r="B26" s="134"/>
      <c r="C26" s="134"/>
      <c r="D26" s="134"/>
      <c r="E26" s="134"/>
      <c r="F26" s="134"/>
      <c r="G26" s="134"/>
      <c r="H26" s="134"/>
      <c r="I26" s="134"/>
      <c r="J26" s="134"/>
      <c r="K26" s="134"/>
      <c r="L26" s="134"/>
      <c r="M26" s="134"/>
      <c r="N26" s="134"/>
      <c r="O26" s="134"/>
      <c r="P26" s="134"/>
      <c r="Q26" s="134"/>
      <c r="R26" s="134"/>
      <c r="S26" s="134"/>
      <c r="T26" s="134"/>
      <c r="U26" s="134"/>
      <c r="V26" s="135"/>
      <c r="W26" s="135"/>
      <c r="X26" s="135"/>
      <c r="Y26" s="135"/>
      <c r="Z26" s="136" t="str">
        <f t="shared" si="0"/>
        <v/>
      </c>
      <c r="AA26" s="136"/>
      <c r="AB26" s="136"/>
      <c r="AC26" s="136"/>
      <c r="AD26" s="136"/>
      <c r="AE26" s="136"/>
      <c r="AF26" s="136"/>
      <c r="AG26" s="136"/>
      <c r="AH26" s="136"/>
      <c r="AI26" s="137"/>
      <c r="AJ26" s="137"/>
      <c r="AK26" s="137"/>
      <c r="AL26" s="137"/>
      <c r="AM26" s="137"/>
      <c r="AN26" s="137"/>
      <c r="AO26" s="137"/>
      <c r="AP26" s="136" t="str">
        <f t="shared" si="2"/>
        <v/>
      </c>
      <c r="AQ26" s="136"/>
      <c r="AR26" s="136"/>
      <c r="AS26" s="136"/>
      <c r="AT26" s="136"/>
      <c r="AU26" s="136"/>
      <c r="AV26" s="136"/>
      <c r="AW26" s="137"/>
      <c r="AX26" s="137"/>
      <c r="AY26" s="137"/>
      <c r="AZ26" s="137"/>
      <c r="BA26" s="137"/>
      <c r="BB26" s="137"/>
      <c r="BC26" s="137"/>
      <c r="BD26" s="138"/>
      <c r="BE26" s="138"/>
      <c r="BF26" s="138"/>
      <c r="BG26" s="138"/>
      <c r="BH26" s="138"/>
      <c r="BI26" s="138"/>
      <c r="BJ26" s="138"/>
      <c r="BK26" s="138"/>
      <c r="BL26" s="138"/>
      <c r="BM26" s="139"/>
      <c r="BN26" s="139"/>
      <c r="BO26" s="139"/>
      <c r="BP26" s="139"/>
      <c r="BQ26" s="139"/>
      <c r="BR26" s="139"/>
      <c r="BS26" s="139"/>
      <c r="BT26" s="139"/>
      <c r="BU26" s="140"/>
      <c r="BV26" s="140"/>
      <c r="BW26" s="140"/>
      <c r="BX26" s="140"/>
      <c r="BY26" s="140"/>
      <c r="BZ26" s="140"/>
      <c r="CA26" s="140"/>
      <c r="CB26" s="140"/>
      <c r="CC26" s="140"/>
      <c r="CD26" s="140"/>
      <c r="CE26" s="140"/>
      <c r="CF26" s="140"/>
      <c r="CG26" s="140"/>
      <c r="CH26" s="140"/>
      <c r="CI26" s="140"/>
      <c r="CJ26" s="140"/>
      <c r="CK26" s="140"/>
      <c r="CL26" s="140"/>
      <c r="CM26" s="140"/>
      <c r="CN26" s="140"/>
    </row>
    <row r="27" spans="1:92" ht="18" customHeight="1" x14ac:dyDescent="0.25">
      <c r="A27" s="205" t="b">
        <v>0</v>
      </c>
      <c r="B27" s="134"/>
      <c r="C27" s="134"/>
      <c r="D27" s="134"/>
      <c r="E27" s="134"/>
      <c r="F27" s="134"/>
      <c r="G27" s="134"/>
      <c r="H27" s="134"/>
      <c r="I27" s="134"/>
      <c r="J27" s="134"/>
      <c r="K27" s="134"/>
      <c r="L27" s="134"/>
      <c r="M27" s="134"/>
      <c r="N27" s="134"/>
      <c r="O27" s="134"/>
      <c r="P27" s="134"/>
      <c r="Q27" s="134"/>
      <c r="R27" s="134"/>
      <c r="S27" s="134"/>
      <c r="T27" s="134"/>
      <c r="U27" s="134"/>
      <c r="V27" s="135"/>
      <c r="W27" s="135"/>
      <c r="X27" s="135"/>
      <c r="Y27" s="135"/>
      <c r="Z27" s="136" t="str">
        <f t="shared" si="0"/>
        <v/>
      </c>
      <c r="AA27" s="136"/>
      <c r="AB27" s="136"/>
      <c r="AC27" s="136"/>
      <c r="AD27" s="136"/>
      <c r="AE27" s="136"/>
      <c r="AF27" s="136"/>
      <c r="AG27" s="136"/>
      <c r="AH27" s="136"/>
      <c r="AI27" s="137"/>
      <c r="AJ27" s="137"/>
      <c r="AK27" s="137"/>
      <c r="AL27" s="137"/>
      <c r="AM27" s="137"/>
      <c r="AN27" s="137"/>
      <c r="AO27" s="137"/>
      <c r="AP27" s="136" t="str">
        <f t="shared" si="2"/>
        <v/>
      </c>
      <c r="AQ27" s="136"/>
      <c r="AR27" s="136"/>
      <c r="AS27" s="136"/>
      <c r="AT27" s="136"/>
      <c r="AU27" s="136"/>
      <c r="AV27" s="136"/>
      <c r="AW27" s="137"/>
      <c r="AX27" s="137"/>
      <c r="AY27" s="137"/>
      <c r="AZ27" s="137"/>
      <c r="BA27" s="137"/>
      <c r="BB27" s="137"/>
      <c r="BC27" s="137"/>
      <c r="BD27" s="138"/>
      <c r="BE27" s="138"/>
      <c r="BF27" s="138"/>
      <c r="BG27" s="138"/>
      <c r="BH27" s="138"/>
      <c r="BI27" s="138"/>
      <c r="BJ27" s="138"/>
      <c r="BK27" s="138"/>
      <c r="BL27" s="138"/>
      <c r="BM27" s="139"/>
      <c r="BN27" s="139"/>
      <c r="BO27" s="139"/>
      <c r="BP27" s="139"/>
      <c r="BQ27" s="139"/>
      <c r="BR27" s="139"/>
      <c r="BS27" s="139"/>
      <c r="BT27" s="139"/>
      <c r="BU27" s="140"/>
      <c r="BV27" s="140"/>
      <c r="BW27" s="140"/>
      <c r="BX27" s="140"/>
      <c r="BY27" s="140"/>
      <c r="BZ27" s="140"/>
      <c r="CA27" s="140"/>
      <c r="CB27" s="140"/>
      <c r="CC27" s="140"/>
      <c r="CD27" s="140"/>
      <c r="CE27" s="140"/>
      <c r="CF27" s="140"/>
      <c r="CG27" s="140"/>
      <c r="CH27" s="140"/>
      <c r="CI27" s="140"/>
      <c r="CJ27" s="140"/>
      <c r="CK27" s="140"/>
      <c r="CL27" s="140"/>
      <c r="CM27" s="140"/>
      <c r="CN27" s="140"/>
    </row>
    <row r="28" spans="1:92" ht="18" customHeight="1" x14ac:dyDescent="0.25">
      <c r="A28" s="205" t="b">
        <v>0</v>
      </c>
      <c r="B28" s="134"/>
      <c r="C28" s="134"/>
      <c r="D28" s="134"/>
      <c r="E28" s="134"/>
      <c r="F28" s="134"/>
      <c r="G28" s="134"/>
      <c r="H28" s="134"/>
      <c r="I28" s="134"/>
      <c r="J28" s="134"/>
      <c r="K28" s="134"/>
      <c r="L28" s="134"/>
      <c r="M28" s="134"/>
      <c r="N28" s="134"/>
      <c r="O28" s="134"/>
      <c r="P28" s="134"/>
      <c r="Q28" s="134"/>
      <c r="R28" s="134"/>
      <c r="S28" s="134"/>
      <c r="T28" s="134"/>
      <c r="U28" s="134"/>
      <c r="V28" s="135"/>
      <c r="W28" s="135"/>
      <c r="X28" s="135"/>
      <c r="Y28" s="135"/>
      <c r="Z28" s="136" t="str">
        <f t="shared" si="0"/>
        <v/>
      </c>
      <c r="AA28" s="136"/>
      <c r="AB28" s="136"/>
      <c r="AC28" s="136"/>
      <c r="AD28" s="136"/>
      <c r="AE28" s="136"/>
      <c r="AF28" s="136"/>
      <c r="AG28" s="136"/>
      <c r="AH28" s="136"/>
      <c r="AI28" s="137"/>
      <c r="AJ28" s="137"/>
      <c r="AK28" s="137"/>
      <c r="AL28" s="137"/>
      <c r="AM28" s="137"/>
      <c r="AN28" s="137"/>
      <c r="AO28" s="137"/>
      <c r="AP28" s="136" t="str">
        <f t="shared" si="2"/>
        <v/>
      </c>
      <c r="AQ28" s="136"/>
      <c r="AR28" s="136"/>
      <c r="AS28" s="136"/>
      <c r="AT28" s="136"/>
      <c r="AU28" s="136"/>
      <c r="AV28" s="136"/>
      <c r="AW28" s="137"/>
      <c r="AX28" s="137"/>
      <c r="AY28" s="137"/>
      <c r="AZ28" s="137"/>
      <c r="BA28" s="137"/>
      <c r="BB28" s="137"/>
      <c r="BC28" s="137"/>
      <c r="BD28" s="138"/>
      <c r="BE28" s="138"/>
      <c r="BF28" s="138"/>
      <c r="BG28" s="138"/>
      <c r="BH28" s="138"/>
      <c r="BI28" s="138"/>
      <c r="BJ28" s="138"/>
      <c r="BK28" s="138"/>
      <c r="BL28" s="138"/>
      <c r="BM28" s="139"/>
      <c r="BN28" s="139"/>
      <c r="BO28" s="139"/>
      <c r="BP28" s="139"/>
      <c r="BQ28" s="139"/>
      <c r="BR28" s="139"/>
      <c r="BS28" s="139"/>
      <c r="BT28" s="139"/>
      <c r="BU28" s="140"/>
      <c r="BV28" s="140"/>
      <c r="BW28" s="140"/>
      <c r="BX28" s="140"/>
      <c r="BY28" s="140"/>
      <c r="BZ28" s="140"/>
      <c r="CA28" s="140"/>
      <c r="CB28" s="140"/>
      <c r="CC28" s="140"/>
      <c r="CD28" s="140"/>
      <c r="CE28" s="140"/>
      <c r="CF28" s="140"/>
      <c r="CG28" s="140"/>
      <c r="CH28" s="140"/>
      <c r="CI28" s="140"/>
      <c r="CJ28" s="140"/>
      <c r="CK28" s="140"/>
      <c r="CL28" s="140"/>
      <c r="CM28" s="140"/>
      <c r="CN28" s="140"/>
    </row>
    <row r="29" spans="1:92" ht="18" customHeight="1" x14ac:dyDescent="0.25">
      <c r="A29" s="205" t="b">
        <v>0</v>
      </c>
      <c r="B29" s="134"/>
      <c r="C29" s="134"/>
      <c r="D29" s="134"/>
      <c r="E29" s="134"/>
      <c r="F29" s="134"/>
      <c r="G29" s="134"/>
      <c r="H29" s="134"/>
      <c r="I29" s="134"/>
      <c r="J29" s="134"/>
      <c r="K29" s="134"/>
      <c r="L29" s="134"/>
      <c r="M29" s="134"/>
      <c r="N29" s="134"/>
      <c r="O29" s="134"/>
      <c r="P29" s="134"/>
      <c r="Q29" s="134"/>
      <c r="R29" s="134"/>
      <c r="S29" s="134"/>
      <c r="T29" s="134"/>
      <c r="U29" s="134"/>
      <c r="V29" s="135"/>
      <c r="W29" s="135"/>
      <c r="X29" s="135"/>
      <c r="Y29" s="135"/>
      <c r="Z29" s="136" t="str">
        <f t="shared" si="0"/>
        <v/>
      </c>
      <c r="AA29" s="136"/>
      <c r="AB29" s="136"/>
      <c r="AC29" s="136"/>
      <c r="AD29" s="136"/>
      <c r="AE29" s="136"/>
      <c r="AF29" s="136"/>
      <c r="AG29" s="136"/>
      <c r="AH29" s="136"/>
      <c r="AI29" s="137"/>
      <c r="AJ29" s="137"/>
      <c r="AK29" s="137"/>
      <c r="AL29" s="137"/>
      <c r="AM29" s="137"/>
      <c r="AN29" s="137"/>
      <c r="AO29" s="137"/>
      <c r="AP29" s="136" t="str">
        <f t="shared" si="2"/>
        <v/>
      </c>
      <c r="AQ29" s="136"/>
      <c r="AR29" s="136"/>
      <c r="AS29" s="136"/>
      <c r="AT29" s="136"/>
      <c r="AU29" s="136"/>
      <c r="AV29" s="136"/>
      <c r="AW29" s="137"/>
      <c r="AX29" s="137"/>
      <c r="AY29" s="137"/>
      <c r="AZ29" s="137"/>
      <c r="BA29" s="137"/>
      <c r="BB29" s="137"/>
      <c r="BC29" s="137"/>
      <c r="BD29" s="138"/>
      <c r="BE29" s="138"/>
      <c r="BF29" s="138"/>
      <c r="BG29" s="138"/>
      <c r="BH29" s="138"/>
      <c r="BI29" s="138"/>
      <c r="BJ29" s="138"/>
      <c r="BK29" s="138"/>
      <c r="BL29" s="138"/>
      <c r="BM29" s="139"/>
      <c r="BN29" s="139"/>
      <c r="BO29" s="139"/>
      <c r="BP29" s="139"/>
      <c r="BQ29" s="139"/>
      <c r="BR29" s="139"/>
      <c r="BS29" s="139"/>
      <c r="BT29" s="139"/>
      <c r="BU29" s="140"/>
      <c r="BV29" s="140"/>
      <c r="BW29" s="140"/>
      <c r="BX29" s="140"/>
      <c r="BY29" s="140"/>
      <c r="BZ29" s="140"/>
      <c r="CA29" s="140"/>
      <c r="CB29" s="140"/>
      <c r="CC29" s="140"/>
      <c r="CD29" s="140"/>
      <c r="CE29" s="140"/>
      <c r="CF29" s="140"/>
      <c r="CG29" s="140"/>
      <c r="CH29" s="140"/>
      <c r="CI29" s="140"/>
      <c r="CJ29" s="140"/>
      <c r="CK29" s="140"/>
      <c r="CL29" s="140"/>
      <c r="CM29" s="140"/>
      <c r="CN29" s="140"/>
    </row>
    <row r="30" spans="1:92" ht="18" customHeight="1" x14ac:dyDescent="0.25">
      <c r="A30" s="205" t="b">
        <v>0</v>
      </c>
      <c r="B30" s="134"/>
      <c r="C30" s="134"/>
      <c r="D30" s="134"/>
      <c r="E30" s="134"/>
      <c r="F30" s="134"/>
      <c r="G30" s="134"/>
      <c r="H30" s="134"/>
      <c r="I30" s="134"/>
      <c r="J30" s="134"/>
      <c r="K30" s="134"/>
      <c r="L30" s="134"/>
      <c r="M30" s="134"/>
      <c r="N30" s="134"/>
      <c r="O30" s="134"/>
      <c r="P30" s="134"/>
      <c r="Q30" s="134"/>
      <c r="R30" s="134"/>
      <c r="S30" s="134"/>
      <c r="T30" s="134"/>
      <c r="U30" s="134"/>
      <c r="V30" s="135"/>
      <c r="W30" s="135"/>
      <c r="X30" s="135"/>
      <c r="Y30" s="135"/>
      <c r="Z30" s="136" t="str">
        <f t="shared" si="0"/>
        <v/>
      </c>
      <c r="AA30" s="136"/>
      <c r="AB30" s="136"/>
      <c r="AC30" s="136"/>
      <c r="AD30" s="136"/>
      <c r="AE30" s="136"/>
      <c r="AF30" s="136"/>
      <c r="AG30" s="136"/>
      <c r="AH30" s="136"/>
      <c r="AI30" s="137"/>
      <c r="AJ30" s="137"/>
      <c r="AK30" s="137"/>
      <c r="AL30" s="137"/>
      <c r="AM30" s="137"/>
      <c r="AN30" s="137"/>
      <c r="AO30" s="137"/>
      <c r="AP30" s="136" t="str">
        <f t="shared" si="2"/>
        <v/>
      </c>
      <c r="AQ30" s="136"/>
      <c r="AR30" s="136"/>
      <c r="AS30" s="136"/>
      <c r="AT30" s="136"/>
      <c r="AU30" s="136"/>
      <c r="AV30" s="136"/>
      <c r="AW30" s="137"/>
      <c r="AX30" s="137"/>
      <c r="AY30" s="137"/>
      <c r="AZ30" s="137"/>
      <c r="BA30" s="137"/>
      <c r="BB30" s="137"/>
      <c r="BC30" s="137"/>
      <c r="BD30" s="138"/>
      <c r="BE30" s="138"/>
      <c r="BF30" s="138"/>
      <c r="BG30" s="138"/>
      <c r="BH30" s="138"/>
      <c r="BI30" s="138"/>
      <c r="BJ30" s="138"/>
      <c r="BK30" s="138"/>
      <c r="BL30" s="138"/>
      <c r="BM30" s="139"/>
      <c r="BN30" s="139"/>
      <c r="BO30" s="139"/>
      <c r="BP30" s="139"/>
      <c r="BQ30" s="139"/>
      <c r="BR30" s="139"/>
      <c r="BS30" s="139"/>
      <c r="BT30" s="139"/>
      <c r="BU30" s="140"/>
      <c r="BV30" s="140"/>
      <c r="BW30" s="140"/>
      <c r="BX30" s="140"/>
      <c r="BY30" s="140"/>
      <c r="BZ30" s="140"/>
      <c r="CA30" s="140"/>
      <c r="CB30" s="140"/>
      <c r="CC30" s="140"/>
      <c r="CD30" s="140"/>
      <c r="CE30" s="140"/>
      <c r="CF30" s="140"/>
      <c r="CG30" s="140"/>
      <c r="CH30" s="140"/>
      <c r="CI30" s="140"/>
      <c r="CJ30" s="140"/>
      <c r="CK30" s="140"/>
      <c r="CL30" s="140"/>
      <c r="CM30" s="140"/>
      <c r="CN30" s="140"/>
    </row>
    <row r="31" spans="1:92" ht="18" customHeight="1" x14ac:dyDescent="0.25">
      <c r="A31" s="205" t="b">
        <v>0</v>
      </c>
      <c r="B31" s="134"/>
      <c r="C31" s="134"/>
      <c r="D31" s="134"/>
      <c r="E31" s="134"/>
      <c r="F31" s="134"/>
      <c r="G31" s="134"/>
      <c r="H31" s="134"/>
      <c r="I31" s="134"/>
      <c r="J31" s="134"/>
      <c r="K31" s="134"/>
      <c r="L31" s="134"/>
      <c r="M31" s="134"/>
      <c r="N31" s="134"/>
      <c r="O31" s="134"/>
      <c r="P31" s="134"/>
      <c r="Q31" s="134"/>
      <c r="R31" s="134"/>
      <c r="S31" s="134"/>
      <c r="T31" s="134"/>
      <c r="U31" s="134"/>
      <c r="V31" s="135"/>
      <c r="W31" s="135"/>
      <c r="X31" s="135"/>
      <c r="Y31" s="135"/>
      <c r="Z31" s="136" t="str">
        <f t="shared" si="0"/>
        <v/>
      </c>
      <c r="AA31" s="136"/>
      <c r="AB31" s="136"/>
      <c r="AC31" s="136"/>
      <c r="AD31" s="136"/>
      <c r="AE31" s="136"/>
      <c r="AF31" s="136"/>
      <c r="AG31" s="136"/>
      <c r="AH31" s="136"/>
      <c r="AI31" s="137"/>
      <c r="AJ31" s="137"/>
      <c r="AK31" s="137"/>
      <c r="AL31" s="137"/>
      <c r="AM31" s="137"/>
      <c r="AN31" s="137"/>
      <c r="AO31" s="137"/>
      <c r="AP31" s="136" t="str">
        <f t="shared" si="2"/>
        <v/>
      </c>
      <c r="AQ31" s="136"/>
      <c r="AR31" s="136"/>
      <c r="AS31" s="136"/>
      <c r="AT31" s="136"/>
      <c r="AU31" s="136"/>
      <c r="AV31" s="136"/>
      <c r="AW31" s="137"/>
      <c r="AX31" s="137"/>
      <c r="AY31" s="137"/>
      <c r="AZ31" s="137"/>
      <c r="BA31" s="137"/>
      <c r="BB31" s="137"/>
      <c r="BC31" s="137"/>
      <c r="BD31" s="138"/>
      <c r="BE31" s="138"/>
      <c r="BF31" s="138"/>
      <c r="BG31" s="138"/>
      <c r="BH31" s="138"/>
      <c r="BI31" s="138"/>
      <c r="BJ31" s="138"/>
      <c r="BK31" s="138"/>
      <c r="BL31" s="138"/>
      <c r="BM31" s="139"/>
      <c r="BN31" s="139"/>
      <c r="BO31" s="139"/>
      <c r="BP31" s="139"/>
      <c r="BQ31" s="139"/>
      <c r="BR31" s="139"/>
      <c r="BS31" s="139"/>
      <c r="BT31" s="139"/>
      <c r="BU31" s="140"/>
      <c r="BV31" s="140"/>
      <c r="BW31" s="140"/>
      <c r="BX31" s="140"/>
      <c r="BY31" s="140"/>
      <c r="BZ31" s="140"/>
      <c r="CA31" s="140"/>
      <c r="CB31" s="140"/>
      <c r="CC31" s="140"/>
      <c r="CD31" s="140"/>
      <c r="CE31" s="140"/>
      <c r="CF31" s="140"/>
      <c r="CG31" s="140"/>
      <c r="CH31" s="140"/>
      <c r="CI31" s="140"/>
      <c r="CJ31" s="140"/>
      <c r="CK31" s="140"/>
      <c r="CL31" s="140"/>
      <c r="CM31" s="140"/>
      <c r="CN31" s="140"/>
    </row>
    <row r="32" spans="1:92" ht="18" customHeight="1" x14ac:dyDescent="0.25">
      <c r="A32" s="205" t="b">
        <v>0</v>
      </c>
      <c r="B32" s="134"/>
      <c r="C32" s="134"/>
      <c r="D32" s="134"/>
      <c r="E32" s="134"/>
      <c r="F32" s="134"/>
      <c r="G32" s="134"/>
      <c r="H32" s="134"/>
      <c r="I32" s="134"/>
      <c r="J32" s="134"/>
      <c r="K32" s="134"/>
      <c r="L32" s="134"/>
      <c r="M32" s="134"/>
      <c r="N32" s="134"/>
      <c r="O32" s="134"/>
      <c r="P32" s="134"/>
      <c r="Q32" s="134"/>
      <c r="R32" s="134"/>
      <c r="S32" s="134"/>
      <c r="T32" s="134"/>
      <c r="U32" s="134"/>
      <c r="V32" s="135"/>
      <c r="W32" s="135"/>
      <c r="X32" s="135"/>
      <c r="Y32" s="135"/>
      <c r="Z32" s="136" t="str">
        <f t="shared" si="0"/>
        <v/>
      </c>
      <c r="AA32" s="136"/>
      <c r="AB32" s="136"/>
      <c r="AC32" s="136"/>
      <c r="AD32" s="136"/>
      <c r="AE32" s="136"/>
      <c r="AF32" s="136"/>
      <c r="AG32" s="136"/>
      <c r="AH32" s="136"/>
      <c r="AI32" s="137"/>
      <c r="AJ32" s="137"/>
      <c r="AK32" s="137"/>
      <c r="AL32" s="137"/>
      <c r="AM32" s="137"/>
      <c r="AN32" s="137"/>
      <c r="AO32" s="137"/>
      <c r="AP32" s="136" t="str">
        <f t="shared" si="2"/>
        <v/>
      </c>
      <c r="AQ32" s="136"/>
      <c r="AR32" s="136"/>
      <c r="AS32" s="136"/>
      <c r="AT32" s="136"/>
      <c r="AU32" s="136"/>
      <c r="AV32" s="136"/>
      <c r="AW32" s="137"/>
      <c r="AX32" s="137"/>
      <c r="AY32" s="137"/>
      <c r="AZ32" s="137"/>
      <c r="BA32" s="137"/>
      <c r="BB32" s="137"/>
      <c r="BC32" s="137"/>
      <c r="BD32" s="138"/>
      <c r="BE32" s="138"/>
      <c r="BF32" s="138"/>
      <c r="BG32" s="138"/>
      <c r="BH32" s="138"/>
      <c r="BI32" s="138"/>
      <c r="BJ32" s="138"/>
      <c r="BK32" s="138"/>
      <c r="BL32" s="138"/>
      <c r="BM32" s="139"/>
      <c r="BN32" s="139"/>
      <c r="BO32" s="139"/>
      <c r="BP32" s="139"/>
      <c r="BQ32" s="139"/>
      <c r="BR32" s="139"/>
      <c r="BS32" s="139"/>
      <c r="BT32" s="139"/>
      <c r="BU32" s="140"/>
      <c r="BV32" s="140"/>
      <c r="BW32" s="140"/>
      <c r="BX32" s="140"/>
      <c r="BY32" s="140"/>
      <c r="BZ32" s="140"/>
      <c r="CA32" s="140"/>
      <c r="CB32" s="140"/>
      <c r="CC32" s="140"/>
      <c r="CD32" s="140"/>
      <c r="CE32" s="140"/>
      <c r="CF32" s="140"/>
      <c r="CG32" s="140"/>
      <c r="CH32" s="140"/>
      <c r="CI32" s="140"/>
      <c r="CJ32" s="140"/>
      <c r="CK32" s="140"/>
      <c r="CL32" s="140"/>
      <c r="CM32" s="140"/>
      <c r="CN32" s="140"/>
    </row>
    <row r="34" spans="2:92" ht="15" customHeight="1" x14ac:dyDescent="0.25">
      <c r="B34" s="141" t="s">
        <v>97</v>
      </c>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c r="AA34" s="141"/>
      <c r="AB34" s="141"/>
      <c r="AC34" s="141"/>
      <c r="AD34" s="141"/>
      <c r="AE34" s="141"/>
      <c r="AF34" s="141"/>
      <c r="AG34" s="141"/>
      <c r="AH34" s="141"/>
      <c r="AI34" s="141"/>
      <c r="AJ34" s="141"/>
      <c r="AK34" s="141"/>
      <c r="AL34" s="141"/>
      <c r="AM34" s="141"/>
      <c r="AN34" s="141"/>
      <c r="AO34" s="141"/>
      <c r="AP34" s="141"/>
      <c r="AQ34" s="141"/>
      <c r="AR34" s="141"/>
      <c r="AS34" s="141"/>
      <c r="AT34" s="141"/>
      <c r="AU34" s="141"/>
      <c r="AV34" s="141"/>
      <c r="AW34" s="141"/>
      <c r="AX34" s="141"/>
      <c r="AY34" s="141"/>
      <c r="AZ34" s="141"/>
      <c r="BA34" s="141"/>
      <c r="BB34" s="141"/>
      <c r="BC34" s="141"/>
      <c r="BD34" s="141"/>
      <c r="BE34" s="141"/>
      <c r="BF34" s="141"/>
      <c r="BG34" s="141"/>
      <c r="BH34" s="141"/>
      <c r="BI34" s="141"/>
      <c r="BJ34" s="141"/>
      <c r="BK34" s="141"/>
      <c r="BL34" s="141"/>
      <c r="BM34" s="141"/>
      <c r="BN34" s="141"/>
      <c r="BO34" s="141"/>
      <c r="BP34" s="141"/>
      <c r="BQ34" s="141"/>
      <c r="BR34" s="141"/>
      <c r="BS34" s="141"/>
      <c r="BT34" s="141"/>
      <c r="BU34" s="141"/>
      <c r="BV34" s="141"/>
      <c r="BW34" s="141"/>
      <c r="BX34" s="141"/>
      <c r="BY34" s="141"/>
      <c r="BZ34" s="141"/>
      <c r="CA34" s="141"/>
      <c r="CB34" s="141"/>
      <c r="CC34" s="141"/>
      <c r="CD34" s="141"/>
      <c r="CE34" s="141"/>
      <c r="CF34" s="141"/>
      <c r="CG34" s="141"/>
      <c r="CH34" s="141"/>
      <c r="CI34" s="141"/>
      <c r="CJ34" s="141"/>
      <c r="CK34" s="141"/>
      <c r="CL34" s="141"/>
      <c r="CM34" s="141"/>
      <c r="CN34" s="141"/>
    </row>
    <row r="35" spans="2:92" ht="15" customHeight="1" x14ac:dyDescent="0.25">
      <c r="B35" s="142" t="s">
        <v>98</v>
      </c>
      <c r="C35" s="142"/>
      <c r="D35" s="142"/>
      <c r="E35" s="142"/>
      <c r="F35" s="142"/>
      <c r="G35" s="142"/>
      <c r="H35" s="142"/>
      <c r="I35" s="142"/>
      <c r="J35" s="142"/>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2"/>
      <c r="BJ35" s="142"/>
      <c r="BK35" s="142"/>
      <c r="BL35" s="142"/>
      <c r="BM35" s="142"/>
      <c r="BN35" s="142"/>
      <c r="BO35" s="142"/>
      <c r="BP35" s="142"/>
      <c r="BQ35" s="142"/>
      <c r="BR35" s="142"/>
      <c r="BS35" s="142"/>
      <c r="BT35" s="142"/>
      <c r="BU35" s="142"/>
      <c r="BV35" s="142"/>
      <c r="BW35" s="142"/>
      <c r="BX35" s="142"/>
      <c r="BY35" s="142"/>
      <c r="BZ35" s="142"/>
      <c r="CA35" s="142"/>
      <c r="CB35" s="142"/>
      <c r="CC35" s="142"/>
      <c r="CD35" s="142"/>
      <c r="CE35" s="142"/>
      <c r="CF35" s="142"/>
      <c r="CG35" s="142"/>
      <c r="CH35" s="142"/>
      <c r="CI35" s="142"/>
      <c r="CJ35" s="142"/>
      <c r="CK35" s="142"/>
      <c r="CL35" s="142"/>
      <c r="CM35" s="142"/>
      <c r="CN35" s="142"/>
    </row>
    <row r="36" spans="2:92" ht="15" customHeight="1" x14ac:dyDescent="0.25">
      <c r="B36" s="142" t="s">
        <v>152</v>
      </c>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c r="AA36" s="142"/>
      <c r="AB36" s="142"/>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42"/>
      <c r="BA36" s="142"/>
      <c r="BB36" s="142"/>
      <c r="BC36" s="142"/>
      <c r="BD36" s="142"/>
      <c r="BE36" s="142"/>
      <c r="BF36" s="142"/>
      <c r="BG36" s="142"/>
      <c r="BH36" s="142"/>
      <c r="BI36" s="142"/>
      <c r="BJ36" s="142"/>
      <c r="BK36" s="142"/>
      <c r="BL36" s="142"/>
      <c r="BM36" s="142"/>
      <c r="BN36" s="142"/>
      <c r="BO36" s="142"/>
      <c r="BP36" s="142"/>
      <c r="BQ36" s="142"/>
      <c r="BR36" s="142"/>
      <c r="BS36" s="142"/>
      <c r="BT36" s="142"/>
      <c r="BU36" s="142"/>
      <c r="BV36" s="142"/>
      <c r="BW36" s="142"/>
      <c r="BX36" s="142"/>
      <c r="BY36" s="142"/>
      <c r="BZ36" s="142"/>
      <c r="CA36" s="142"/>
      <c r="CB36" s="142"/>
      <c r="CC36" s="142"/>
      <c r="CD36" s="142"/>
      <c r="CE36" s="142"/>
      <c r="CF36" s="142"/>
      <c r="CG36" s="142"/>
      <c r="CH36" s="142"/>
      <c r="CI36" s="142"/>
      <c r="CJ36" s="142"/>
      <c r="CK36" s="142"/>
      <c r="CL36" s="142"/>
      <c r="CM36" s="142"/>
      <c r="CN36" s="142"/>
    </row>
    <row r="37" spans="2:92" ht="15" customHeight="1" x14ac:dyDescent="0.25">
      <c r="B37" s="142" t="s">
        <v>153</v>
      </c>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2"/>
      <c r="AI37" s="142"/>
      <c r="AJ37" s="142"/>
      <c r="AK37" s="142"/>
      <c r="AL37" s="142"/>
      <c r="AM37" s="142"/>
      <c r="AN37" s="142"/>
      <c r="AO37" s="142"/>
      <c r="AP37" s="142"/>
      <c r="AQ37" s="142"/>
      <c r="AR37" s="142"/>
      <c r="AS37" s="142"/>
      <c r="AT37" s="142"/>
      <c r="AU37" s="142"/>
      <c r="AV37" s="142"/>
      <c r="AW37" s="142"/>
      <c r="AX37" s="142"/>
      <c r="AY37" s="142"/>
      <c r="AZ37" s="142"/>
      <c r="BA37" s="142"/>
      <c r="BB37" s="142"/>
      <c r="BC37" s="142"/>
      <c r="BD37" s="142"/>
      <c r="BE37" s="142"/>
      <c r="BF37" s="142"/>
      <c r="BG37" s="142"/>
      <c r="BH37" s="142"/>
      <c r="BI37" s="142"/>
      <c r="BJ37" s="142"/>
      <c r="BK37" s="142"/>
      <c r="BL37" s="142"/>
      <c r="BM37" s="142"/>
      <c r="BN37" s="142"/>
      <c r="BO37" s="142"/>
      <c r="BP37" s="142"/>
      <c r="BQ37" s="142"/>
      <c r="BR37" s="142"/>
      <c r="BS37" s="142"/>
      <c r="BT37" s="142"/>
      <c r="BU37" s="142"/>
      <c r="BV37" s="142"/>
      <c r="BW37" s="142"/>
      <c r="BX37" s="142"/>
      <c r="BY37" s="142"/>
      <c r="BZ37" s="142"/>
      <c r="CA37" s="142"/>
      <c r="CB37" s="142"/>
      <c r="CC37" s="142"/>
      <c r="CD37" s="142"/>
      <c r="CE37" s="142"/>
      <c r="CF37" s="142"/>
      <c r="CG37" s="142"/>
      <c r="CH37" s="142"/>
      <c r="CI37" s="142"/>
      <c r="CJ37" s="142"/>
      <c r="CK37" s="142"/>
      <c r="CL37" s="142"/>
      <c r="CM37" s="142"/>
      <c r="CN37" s="142"/>
    </row>
    <row r="38" spans="2:92" ht="15" customHeight="1" x14ac:dyDescent="0.25">
      <c r="B38" s="142" t="s">
        <v>101</v>
      </c>
      <c r="C38" s="142"/>
      <c r="D38" s="142"/>
      <c r="E38" s="142"/>
      <c r="F38" s="142"/>
      <c r="G38" s="142"/>
      <c r="H38" s="142"/>
      <c r="I38" s="142"/>
      <c r="J38" s="142"/>
      <c r="K38" s="142"/>
      <c r="L38" s="142"/>
      <c r="M38" s="142"/>
      <c r="N38" s="142"/>
      <c r="O38" s="142"/>
      <c r="P38" s="142"/>
      <c r="Q38" s="142"/>
      <c r="R38" s="142"/>
      <c r="S38" s="142"/>
      <c r="T38" s="142"/>
      <c r="U38" s="142"/>
      <c r="V38" s="142"/>
      <c r="W38" s="142"/>
      <c r="X38" s="142"/>
      <c r="Y38" s="142"/>
      <c r="Z38" s="142"/>
      <c r="AA38" s="142"/>
      <c r="AB38" s="142"/>
      <c r="AC38" s="142"/>
      <c r="AD38" s="142"/>
      <c r="AE38" s="142"/>
      <c r="AF38" s="142"/>
      <c r="AG38" s="142"/>
      <c r="AH38" s="142"/>
      <c r="AI38" s="142"/>
      <c r="AJ38" s="142"/>
      <c r="AK38" s="142"/>
      <c r="AL38" s="142"/>
      <c r="AM38" s="142"/>
      <c r="AN38" s="142"/>
      <c r="AO38" s="142"/>
      <c r="AP38" s="142"/>
      <c r="AQ38" s="142"/>
      <c r="AR38" s="142"/>
      <c r="AS38" s="142"/>
      <c r="AT38" s="142"/>
      <c r="AU38" s="142"/>
      <c r="AV38" s="142"/>
      <c r="AW38" s="142"/>
      <c r="AX38" s="142"/>
      <c r="AY38" s="142"/>
      <c r="AZ38" s="142"/>
      <c r="BA38" s="142"/>
      <c r="BB38" s="142"/>
      <c r="BC38" s="142"/>
      <c r="BD38" s="142"/>
      <c r="BE38" s="142"/>
      <c r="BF38" s="142"/>
      <c r="BG38" s="142"/>
      <c r="BH38" s="142"/>
      <c r="BI38" s="142"/>
      <c r="BJ38" s="142"/>
      <c r="BK38" s="142"/>
      <c r="BL38" s="142"/>
      <c r="BM38" s="142"/>
      <c r="BN38" s="142"/>
      <c r="BO38" s="142"/>
      <c r="BP38" s="142"/>
      <c r="BQ38" s="142"/>
      <c r="BR38" s="142"/>
      <c r="BS38" s="142"/>
      <c r="BT38" s="142"/>
      <c r="BU38" s="142"/>
      <c r="BV38" s="142"/>
      <c r="BW38" s="142"/>
      <c r="BX38" s="142"/>
      <c r="BY38" s="142"/>
      <c r="BZ38" s="142"/>
      <c r="CA38" s="142"/>
      <c r="CB38" s="142"/>
      <c r="CC38" s="142"/>
      <c r="CD38" s="142"/>
      <c r="CE38" s="142"/>
      <c r="CF38" s="142"/>
      <c r="CG38" s="142"/>
      <c r="CH38" s="142"/>
      <c r="CI38" s="142"/>
      <c r="CJ38" s="142"/>
      <c r="CK38" s="142"/>
      <c r="CL38" s="142"/>
      <c r="CM38" s="142"/>
      <c r="CN38" s="142"/>
    </row>
    <row r="39" spans="2:92" ht="15" customHeight="1">
      <c r="B39" s="142" t="s">
        <v>162</v>
      </c>
    </row>
    <row r="40" ht="15" customHeight="1">
      <c r="B40" s="142" t="s">
        <v>177</v>
      </c>
    </row>
    <row r="41" ht="15" customHeight="1">
      <c r="B41" s="142" t="s">
        <v>167</v>
      </c>
    </row>
    <row r="42" spans="2:92" ht="8.1" customHeight="1" x14ac:dyDescent="0.25"/>
    <row r="43" spans="2:92" ht="20.100000000000001" customHeight="1" x14ac:dyDescent="0.25">
      <c r="B43" s="160" t="str">
        <f>"Januar "&amp;Planungsjahr</f>
        <v>Januar 2027</v>
      </c>
      <c r="C43" s="161"/>
      <c r="D43" s="161"/>
      <c r="E43" s="161"/>
      <c r="F43" s="161"/>
      <c r="G43" s="161"/>
      <c r="H43" s="161"/>
      <c r="I43" s="161"/>
      <c r="J43" s="161"/>
      <c r="K43" s="161"/>
      <c r="L43" s="161"/>
      <c r="M43" s="161"/>
      <c r="N43" s="161"/>
      <c r="O43" s="161"/>
      <c r="P43" s="161"/>
      <c r="Q43" s="161"/>
      <c r="R43" s="161"/>
      <c r="S43" s="161"/>
      <c r="T43" s="161"/>
      <c r="U43" s="161"/>
      <c r="V43" s="161"/>
      <c r="W43" s="162"/>
      <c r="Y43" s="172" t="str">
        <f>"Februar "&amp;Planungsjahr</f>
        <v>Februar 2027</v>
      </c>
      <c r="Z43" s="173"/>
      <c r="AA43" s="173"/>
      <c r="AB43" s="173"/>
      <c r="AC43" s="173"/>
      <c r="AD43" s="173"/>
      <c r="AE43" s="173"/>
      <c r="AF43" s="173"/>
      <c r="AG43" s="173"/>
      <c r="AH43" s="173"/>
      <c r="AI43" s="173"/>
      <c r="AJ43" s="173"/>
      <c r="AK43" s="173"/>
      <c r="AL43" s="173"/>
      <c r="AM43" s="173"/>
      <c r="AN43" s="173"/>
      <c r="AO43" s="173"/>
      <c r="AP43" s="173"/>
      <c r="AQ43" s="173"/>
      <c r="AR43" s="173"/>
      <c r="AS43" s="173"/>
      <c r="AT43" s="174"/>
      <c r="AV43" s="172" t="str">
        <f>"März "&amp;Planungsjahr</f>
        <v>März 2027</v>
      </c>
      <c r="AW43" s="173"/>
      <c r="AX43" s="173"/>
      <c r="AY43" s="173"/>
      <c r="AZ43" s="173"/>
      <c r="BA43" s="173"/>
      <c r="BB43" s="173"/>
      <c r="BC43" s="173"/>
      <c r="BD43" s="173"/>
      <c r="BE43" s="173"/>
      <c r="BF43" s="173"/>
      <c r="BG43" s="173"/>
      <c r="BH43" s="173"/>
      <c r="BI43" s="173"/>
      <c r="BJ43" s="173"/>
      <c r="BK43" s="173"/>
      <c r="BL43" s="173"/>
      <c r="BM43" s="173"/>
      <c r="BN43" s="173"/>
      <c r="BO43" s="173"/>
      <c r="BP43" s="173"/>
      <c r="BQ43" s="174"/>
      <c r="BS43" s="172" t="str">
        <f>"April "&amp;Planungsjahr</f>
        <v>April 2027</v>
      </c>
      <c r="BT43" s="173"/>
      <c r="BU43" s="173"/>
      <c r="BV43" s="173"/>
      <c r="BW43" s="173"/>
      <c r="BX43" s="173"/>
      <c r="BY43" s="173"/>
      <c r="BZ43" s="173"/>
      <c r="CA43" s="173"/>
      <c r="CB43" s="173"/>
      <c r="CC43" s="173"/>
      <c r="CD43" s="173"/>
      <c r="CE43" s="173"/>
      <c r="CF43" s="173"/>
      <c r="CG43" s="173"/>
      <c r="CH43" s="173"/>
      <c r="CI43" s="173"/>
      <c r="CJ43" s="173"/>
      <c r="CK43" s="173"/>
      <c r="CL43" s="173"/>
      <c r="CM43" s="173"/>
      <c r="CN43" s="174"/>
    </row>
    <row r="44" spans="2:92" ht="14.1" customHeight="1" x14ac:dyDescent="0.25">
      <c r="B44" s="163" t="s">
        <v>72</v>
      </c>
      <c r="C44" s="191" t="s">
        <v>73</v>
      </c>
      <c r="D44" s="191"/>
      <c r="E44" s="191"/>
      <c r="F44" s="191" t="s">
        <v>74</v>
      </c>
      <c r="G44" s="191"/>
      <c r="H44" s="191"/>
      <c r="I44" s="191" t="s">
        <v>75</v>
      </c>
      <c r="J44" s="191"/>
      <c r="K44" s="191"/>
      <c r="L44" s="191" t="s">
        <v>76</v>
      </c>
      <c r="M44" s="191"/>
      <c r="N44" s="191"/>
      <c r="O44" s="191" t="s">
        <v>77</v>
      </c>
      <c r="P44" s="191"/>
      <c r="Q44" s="191"/>
      <c r="R44" s="191" t="s">
        <v>78</v>
      </c>
      <c r="S44" s="191"/>
      <c r="T44" s="191"/>
      <c r="U44" s="191" t="s">
        <v>79</v>
      </c>
      <c r="V44" s="191"/>
      <c r="W44" s="192"/>
      <c r="Y44" s="175" t="s">
        <v>72</v>
      </c>
      <c r="Z44" s="191" t="s">
        <v>73</v>
      </c>
      <c r="AA44" s="191"/>
      <c r="AB44" s="191"/>
      <c r="AC44" s="191" t="s">
        <v>74</v>
      </c>
      <c r="AD44" s="191"/>
      <c r="AE44" s="191"/>
      <c r="AF44" s="191" t="s">
        <v>75</v>
      </c>
      <c r="AG44" s="191"/>
      <c r="AH44" s="191"/>
      <c r="AI44" s="191" t="s">
        <v>76</v>
      </c>
      <c r="AJ44" s="191"/>
      <c r="AK44" s="191"/>
      <c r="AL44" s="191" t="s">
        <v>77</v>
      </c>
      <c r="AM44" s="191"/>
      <c r="AN44" s="191"/>
      <c r="AO44" s="191" t="s">
        <v>78</v>
      </c>
      <c r="AP44" s="191"/>
      <c r="AQ44" s="191"/>
      <c r="AR44" s="191" t="s">
        <v>79</v>
      </c>
      <c r="AS44" s="191"/>
      <c r="AT44" s="193"/>
      <c r="AV44" s="175" t="s">
        <v>72</v>
      </c>
      <c r="AW44" s="191" t="s">
        <v>73</v>
      </c>
      <c r="AX44" s="191"/>
      <c r="AY44" s="191"/>
      <c r="AZ44" s="191" t="s">
        <v>74</v>
      </c>
      <c r="BA44" s="191"/>
      <c r="BB44" s="191"/>
      <c r="BC44" s="191" t="s">
        <v>75</v>
      </c>
      <c r="BD44" s="191"/>
      <c r="BE44" s="191"/>
      <c r="BF44" s="191" t="s">
        <v>76</v>
      </c>
      <c r="BG44" s="191"/>
      <c r="BH44" s="191"/>
      <c r="BI44" s="191" t="s">
        <v>77</v>
      </c>
      <c r="BJ44" s="191"/>
      <c r="BK44" s="191"/>
      <c r="BL44" s="191" t="s">
        <v>78</v>
      </c>
      <c r="BM44" s="191"/>
      <c r="BN44" s="191"/>
      <c r="BO44" s="191" t="s">
        <v>79</v>
      </c>
      <c r="BP44" s="191"/>
      <c r="BQ44" s="193"/>
      <c r="BS44" s="175" t="s">
        <v>72</v>
      </c>
      <c r="BT44" s="191" t="s">
        <v>73</v>
      </c>
      <c r="BU44" s="191"/>
      <c r="BV44" s="191"/>
      <c r="BW44" s="191" t="s">
        <v>74</v>
      </c>
      <c r="BX44" s="191"/>
      <c r="BY44" s="191"/>
      <c r="BZ44" s="191" t="s">
        <v>75</v>
      </c>
      <c r="CA44" s="191"/>
      <c r="CB44" s="191"/>
      <c r="CC44" s="191" t="s">
        <v>76</v>
      </c>
      <c r="CD44" s="191"/>
      <c r="CE44" s="191"/>
      <c r="CF44" s="191" t="s">
        <v>77</v>
      </c>
      <c r="CG44" s="191"/>
      <c r="CH44" s="191"/>
      <c r="CI44" s="191" t="s">
        <v>78</v>
      </c>
      <c r="CJ44" s="191"/>
      <c r="CK44" s="191"/>
      <c r="CL44" s="191" t="s">
        <v>79</v>
      </c>
      <c r="CM44" s="191"/>
      <c r="CN44" s="193"/>
    </row>
    <row r="45" spans="2:92" ht="15.95" customHeight="1" x14ac:dyDescent="0.25">
      <c r="B45" s="165">
        <f>IF(OR(ISNUMBER(C45),ISNUMBER(U45)),_xlfn.ISOWEEKNUM(DATE(Planungsjahr,1,1)-WEEKDAY(DATE(Planungsjahr,1,1),2)+1),"")</f>
        <v>53</v>
      </c>
      <c r="C45" s="188" t="str">
        <f>IF(MONTH(DATE(Planungsjahr,1,1)-WEEKDAY(DATE(Planungsjahr,1,1),2)+1)=1,DAY(DATE(Planungsjahr,1,1)-WEEKDAY(DATE(Planungsjahr,1,1),2)+1),"")</f>
        <v/>
      </c>
      <c r="D45" s="188"/>
      <c r="E45" s="188"/>
      <c r="F45" s="188" t="str">
        <f>IF(MONTH(DATE(Planungsjahr,1,1)-WEEKDAY(DATE(Planungsjahr,1,1),2)+2)=1,DAY(DATE(Planungsjahr,1,1)-WEEKDAY(DATE(Planungsjahr,1,1),2)+2),"")</f>
        <v/>
      </c>
      <c r="G45" s="188"/>
      <c r="H45" s="188"/>
      <c r="I45" s="188" t="str">
        <f>IF(MONTH(DATE(Planungsjahr,1,1)-WEEKDAY(DATE(Planungsjahr,1,1),2)+3)=1,DAY(DATE(Planungsjahr,1,1)-WEEKDAY(DATE(Planungsjahr,1,1),2)+3),"")</f>
        <v/>
      </c>
      <c r="J45" s="188"/>
      <c r="K45" s="188"/>
      <c r="L45" s="188" t="str">
        <f>IF(MONTH(DATE(Planungsjahr,1,1)-WEEKDAY(DATE(Planungsjahr,1,1),2)+4)=1,DAY(DATE(Planungsjahr,1,1)-WEEKDAY(DATE(Planungsjahr,1,1),2)+4),"")</f>
        <v/>
      </c>
      <c r="M45" s="188"/>
      <c r="N45" s="188"/>
      <c r="O45" s="188">
        <f>IF(MONTH(DATE(Planungsjahr,1,1)-WEEKDAY(DATE(Planungsjahr,1,1),2)+5)=1,DAY(DATE(Planungsjahr,1,1)-WEEKDAY(DATE(Planungsjahr,1,1),2)+5),"")</f>
        <v>1</v>
      </c>
      <c r="P45" s="188"/>
      <c r="Q45" s="188"/>
      <c r="R45" s="188">
        <f>IF(MONTH(DATE(Planungsjahr,1,1)-WEEKDAY(DATE(Planungsjahr,1,1),2)+6)=1,DAY(DATE(Planungsjahr,1,1)-WEEKDAY(DATE(Planungsjahr,1,1),2)+6),"")</f>
        <v>2</v>
      </c>
      <c r="S45" s="188"/>
      <c r="T45" s="188"/>
      <c r="U45" s="188">
        <f>IF(MONTH(DATE(Planungsjahr,1,1)-WEEKDAY(DATE(Planungsjahr,1,1),2)+7)=1,DAY(DATE(Planungsjahr,1,1)-WEEKDAY(DATE(Planungsjahr,1,1),2)+7),"")</f>
        <v>3</v>
      </c>
      <c r="V45" s="188"/>
      <c r="W45" s="189"/>
      <c r="Y45" s="177">
        <f>IF(OR(ISNUMBER(Z45),ISNUMBER(AR45)),_xlfn.ISOWEEKNUM(DATE(Planungsjahr,2,1)-WEEKDAY(DATE(Planungsjahr,2,1),2)+1),"")</f>
        <v>5</v>
      </c>
      <c r="Z45" s="188">
        <f>IF(MONTH(DATE(Planungsjahr,2,1)-WEEKDAY(DATE(Planungsjahr,2,1),2)+1)=2,DAY(DATE(Planungsjahr,2,1)-WEEKDAY(DATE(Planungsjahr,2,1),2)+1),"")</f>
        <v>1</v>
      </c>
      <c r="AA45" s="188"/>
      <c r="AB45" s="188"/>
      <c r="AC45" s="188">
        <f>IF(MONTH(DATE(Planungsjahr,2,1)-WEEKDAY(DATE(Planungsjahr,2,1),2)+2)=2,DAY(DATE(Planungsjahr,2,1)-WEEKDAY(DATE(Planungsjahr,2,1),2)+2),"")</f>
        <v>2</v>
      </c>
      <c r="AD45" s="188"/>
      <c r="AE45" s="188"/>
      <c r="AF45" s="188">
        <f>IF(MONTH(DATE(Planungsjahr,2,1)-WEEKDAY(DATE(Planungsjahr,2,1),2)+3)=2,DAY(DATE(Planungsjahr,2,1)-WEEKDAY(DATE(Planungsjahr,2,1),2)+3),"")</f>
        <v>3</v>
      </c>
      <c r="AG45" s="188"/>
      <c r="AH45" s="188"/>
      <c r="AI45" s="188">
        <f>IF(MONTH(DATE(Planungsjahr,2,1)-WEEKDAY(DATE(Planungsjahr,2,1),2)+4)=2,DAY(DATE(Planungsjahr,2,1)-WEEKDAY(DATE(Planungsjahr,2,1),2)+4),"")</f>
        <v>4</v>
      </c>
      <c r="AJ45" s="188"/>
      <c r="AK45" s="188"/>
      <c r="AL45" s="188">
        <f>IF(MONTH(DATE(Planungsjahr,2,1)-WEEKDAY(DATE(Planungsjahr,2,1),2)+5)=2,DAY(DATE(Planungsjahr,2,1)-WEEKDAY(DATE(Planungsjahr,2,1),2)+5),"")</f>
        <v>5</v>
      </c>
      <c r="AM45" s="188"/>
      <c r="AN45" s="188"/>
      <c r="AO45" s="188">
        <f>IF(MONTH(DATE(Planungsjahr,2,1)-WEEKDAY(DATE(Planungsjahr,2,1),2)+6)=2,DAY(DATE(Planungsjahr,2,1)-WEEKDAY(DATE(Planungsjahr,2,1),2)+6),"")</f>
        <v>6</v>
      </c>
      <c r="AP45" s="188"/>
      <c r="AQ45" s="188"/>
      <c r="AR45" s="188">
        <f>IF(MONTH(DATE(Planungsjahr,2,1)-WEEKDAY(DATE(Planungsjahr,2,1),2)+7)=2,DAY(DATE(Planungsjahr,2,1)-WEEKDAY(DATE(Planungsjahr,2,1),2)+7),"")</f>
        <v>7</v>
      </c>
      <c r="AS45" s="188"/>
      <c r="AT45" s="190"/>
      <c r="AV45" s="177">
        <f>IF(OR(ISNUMBER(AW45),ISNUMBER(BO45)),_xlfn.ISOWEEKNUM(DATE(Planungsjahr,3,1)-WEEKDAY(DATE(Planungsjahr,3,1),2)+1),"")</f>
        <v>9</v>
      </c>
      <c r="AW45" s="188">
        <f>IF(MONTH(DATE(Planungsjahr,3,1)-WEEKDAY(DATE(Planungsjahr,3,1),2)+1)=3,DAY(DATE(Planungsjahr,3,1)-WEEKDAY(DATE(Planungsjahr,3,1),2)+1),"")</f>
        <v>1</v>
      </c>
      <c r="AX45" s="188"/>
      <c r="AY45" s="188"/>
      <c r="AZ45" s="188">
        <f>IF(MONTH(DATE(Planungsjahr,3,1)-WEEKDAY(DATE(Planungsjahr,3,1),2)+2)=3,DAY(DATE(Planungsjahr,3,1)-WEEKDAY(DATE(Planungsjahr,3,1),2)+2),"")</f>
        <v>2</v>
      </c>
      <c r="BA45" s="188"/>
      <c r="BB45" s="188"/>
      <c r="BC45" s="188">
        <f>IF(MONTH(DATE(Planungsjahr,3,1)-WEEKDAY(DATE(Planungsjahr,3,1),2)+3)=3,DAY(DATE(Planungsjahr,3,1)-WEEKDAY(DATE(Planungsjahr,3,1),2)+3),"")</f>
        <v>3</v>
      </c>
      <c r="BD45" s="188"/>
      <c r="BE45" s="188"/>
      <c r="BF45" s="188">
        <f>IF(MONTH(DATE(Planungsjahr,3,1)-WEEKDAY(DATE(Planungsjahr,3,1),2)+4)=3,DAY(DATE(Planungsjahr,3,1)-WEEKDAY(DATE(Planungsjahr,3,1),2)+4),"")</f>
        <v>4</v>
      </c>
      <c r="BG45" s="188"/>
      <c r="BH45" s="188"/>
      <c r="BI45" s="188">
        <f>IF(MONTH(DATE(Planungsjahr,3,1)-WEEKDAY(DATE(Planungsjahr,3,1),2)+5)=3,DAY(DATE(Planungsjahr,3,1)-WEEKDAY(DATE(Planungsjahr,3,1),2)+5),"")</f>
        <v>5</v>
      </c>
      <c r="BJ45" s="188"/>
      <c r="BK45" s="188"/>
      <c r="BL45" s="188">
        <f>IF(MONTH(DATE(Planungsjahr,3,1)-WEEKDAY(DATE(Planungsjahr,3,1),2)+6)=3,DAY(DATE(Planungsjahr,3,1)-WEEKDAY(DATE(Planungsjahr,3,1),2)+6),"")</f>
        <v>6</v>
      </c>
      <c r="BM45" s="188"/>
      <c r="BN45" s="188"/>
      <c r="BO45" s="188">
        <f>IF(MONTH(DATE(Planungsjahr,3,1)-WEEKDAY(DATE(Planungsjahr,3,1),2)+7)=3,DAY(DATE(Planungsjahr,3,1)-WEEKDAY(DATE(Planungsjahr,3,1),2)+7),"")</f>
        <v>7</v>
      </c>
      <c r="BP45" s="188"/>
      <c r="BQ45" s="190"/>
      <c r="BS45" s="177">
        <f>IF(OR(ISNUMBER(BT45),ISNUMBER(CL45)),_xlfn.ISOWEEKNUM(DATE(Planungsjahr,4,1)-WEEKDAY(DATE(Planungsjahr,4,1),2)+1),"")</f>
        <v>13</v>
      </c>
      <c r="BT45" s="188" t="str">
        <f>IF(MONTH(DATE(Planungsjahr,4,1)-WEEKDAY(DATE(Planungsjahr,4,1),2)+1)=4,DAY(DATE(Planungsjahr,4,1)-WEEKDAY(DATE(Planungsjahr,4,1),2)+1),"")</f>
        <v/>
      </c>
      <c r="BU45" s="188"/>
      <c r="BV45" s="188"/>
      <c r="BW45" s="188" t="str">
        <f>IF(MONTH(DATE(Planungsjahr,4,1)-WEEKDAY(DATE(Planungsjahr,4,1),2)+2)=4,DAY(DATE(Planungsjahr,4,1)-WEEKDAY(DATE(Planungsjahr,4,1),2)+2),"")</f>
        <v/>
      </c>
      <c r="BX45" s="188"/>
      <c r="BY45" s="188"/>
      <c r="BZ45" s="188" t="str">
        <f>IF(MONTH(DATE(Planungsjahr,4,1)-WEEKDAY(DATE(Planungsjahr,4,1),2)+3)=4,DAY(DATE(Planungsjahr,4,1)-WEEKDAY(DATE(Planungsjahr,4,1),2)+3),"")</f>
        <v/>
      </c>
      <c r="CA45" s="188"/>
      <c r="CB45" s="188"/>
      <c r="CC45" s="188">
        <f>IF(MONTH(DATE(Planungsjahr,4,1)-WEEKDAY(DATE(Planungsjahr,4,1),2)+4)=4,DAY(DATE(Planungsjahr,4,1)-WEEKDAY(DATE(Planungsjahr,4,1),2)+4),"")</f>
        <v>1</v>
      </c>
      <c r="CD45" s="188"/>
      <c r="CE45" s="188"/>
      <c r="CF45" s="188">
        <f>IF(MONTH(DATE(Planungsjahr,4,1)-WEEKDAY(DATE(Planungsjahr,4,1),2)+5)=4,DAY(DATE(Planungsjahr,4,1)-WEEKDAY(DATE(Planungsjahr,4,1),2)+5),"")</f>
        <v>2</v>
      </c>
      <c r="CG45" s="188"/>
      <c r="CH45" s="188"/>
      <c r="CI45" s="188">
        <f>IF(MONTH(DATE(Planungsjahr,4,1)-WEEKDAY(DATE(Planungsjahr,4,1),2)+6)=4,DAY(DATE(Planungsjahr,4,1)-WEEKDAY(DATE(Planungsjahr,4,1),2)+6),"")</f>
        <v>3</v>
      </c>
      <c r="CJ45" s="188"/>
      <c r="CK45" s="188"/>
      <c r="CL45" s="188">
        <f>IF(MONTH(DATE(Planungsjahr,4,1)-WEEKDAY(DATE(Planungsjahr,4,1),2)+7)=4,DAY(DATE(Planungsjahr,4,1)-WEEKDAY(DATE(Planungsjahr,4,1),2)+7),"")</f>
        <v>4</v>
      </c>
      <c r="CM45" s="188"/>
      <c r="CN45" s="190"/>
    </row>
    <row r="46" spans="2:92" ht="10.5" customHeight="1" x14ac:dyDescent="0.25">
      <c r="B46" s="167"/>
      <c r="C46" s="223">
        <f>IF(ISNUMBER(C45),IFERROR(11-1/(1/SUMPRODUCT(MAX((JP_StartSel=DATE(Planungsjahr,1,C45))*Anzeige_S*((JP_Anzeige=TRUE)+NOT(Filter_Aktiv)&gt;0)*(11-JP_Farbe)))),IF(COUNTIF(Feiertage,DATE(Planungsjahr,1,C45))&gt;0,"h",IF(COUNTIFS(U_Von,"&lt;="&amp;DATE(Planungsjahr,1,C45),U_Bis,"&gt;="&amp;DATE(Planungsjahr,1,C45))&gt;0,"u",""))),"")</f>
      </c>
      <c r="D46" s="224">
        <f>IF(ISNUMBER(C45),IFERROR(21-1/(1/SUMPRODUCT(MAX((JP_StartInhalt=DATE(Planungsjahr,1,C45))*Anzeige_I*((JP_Anzeige=TRUE)+NOT(Filter_Aktiv)&gt;0)*(11-JP_Farbe)))),IF(COUNTIF(Feiertage,DATE(Planungsjahr,1,C45))&gt;0,"h",IF(COUNTIFS(U_Von,"&lt;="&amp;DATE(Planungsjahr,1,C45),U_Bis,"&gt;="&amp;DATE(Planungsjahr,1,C45))&gt;0,"u",""))),"")</f>
      </c>
      <c r="E46" s="225">
        <f>IF(ISNUMBER(C45),IFERROR(31-1/(1/SUMPRODUCT(MAX((JP_PAL=DATE(Planungsjahr,1,C45))*Anzeige_P*((JP_Anzeige=TRUE)+NOT(Filter_Aktiv)&gt;0)*(11-JP_Farbe)))),IF(COUNTIF(Feiertage,DATE(Planungsjahr,1,C45))&gt;0,"h",IF(COUNTIFS(U_Von,"&lt;="&amp;DATE(Planungsjahr,1,C45),U_Bis,"&gt;="&amp;DATE(Planungsjahr,1,C45))&gt;0,"u",""))),"")</f>
      </c>
      <c r="F46" s="223">
        <f>IF(ISNUMBER(F45),IFERROR(11-1/(1/SUMPRODUCT(MAX((JP_StartSel=DATE(Planungsjahr,1,F45))*Anzeige_S*((JP_Anzeige=TRUE)+NOT(Filter_Aktiv)&gt;0)*(11-JP_Farbe)))),IF(COUNTIF(Feiertage,DATE(Planungsjahr,1,F45))&gt;0,"h",IF(COUNTIFS(U_Von,"&lt;="&amp;DATE(Planungsjahr,1,F45),U_Bis,"&gt;="&amp;DATE(Planungsjahr,1,F45))&gt;0,"u",""))),"")</f>
      </c>
      <c r="G46" s="224">
        <f>IF(ISNUMBER(F45),IFERROR(21-1/(1/SUMPRODUCT(MAX((JP_StartInhalt=DATE(Planungsjahr,1,F45))*Anzeige_I*((JP_Anzeige=TRUE)+NOT(Filter_Aktiv)&gt;0)*(11-JP_Farbe)))),IF(COUNTIF(Feiertage,DATE(Planungsjahr,1,F45))&gt;0,"h",IF(COUNTIFS(U_Von,"&lt;="&amp;DATE(Planungsjahr,1,F45),U_Bis,"&gt;="&amp;DATE(Planungsjahr,1,F45))&gt;0,"u",""))),"")</f>
      </c>
      <c r="H46" s="225">
        <f>IF(ISNUMBER(F45),IFERROR(31-1/(1/SUMPRODUCT(MAX((JP_PAL=DATE(Planungsjahr,1,F45))*Anzeige_P*((JP_Anzeige=TRUE)+NOT(Filter_Aktiv)&gt;0)*(11-JP_Farbe)))),IF(COUNTIF(Feiertage,DATE(Planungsjahr,1,F45))&gt;0,"h",IF(COUNTIFS(U_Von,"&lt;="&amp;DATE(Planungsjahr,1,F45),U_Bis,"&gt;="&amp;DATE(Planungsjahr,1,F45))&gt;0,"u",""))),"")</f>
      </c>
      <c r="I46" s="223">
        <f>IF(ISNUMBER(I45),IFERROR(11-1/(1/SUMPRODUCT(MAX((JP_StartSel=DATE(Planungsjahr,1,I45))*Anzeige_S*((JP_Anzeige=TRUE)+NOT(Filter_Aktiv)&gt;0)*(11-JP_Farbe)))),IF(COUNTIF(Feiertage,DATE(Planungsjahr,1,I45))&gt;0,"h",IF(COUNTIFS(U_Von,"&lt;="&amp;DATE(Planungsjahr,1,I45),U_Bis,"&gt;="&amp;DATE(Planungsjahr,1,I45))&gt;0,"u",""))),"")</f>
      </c>
      <c r="J46" s="224">
        <f>IF(ISNUMBER(I45),IFERROR(21-1/(1/SUMPRODUCT(MAX((JP_StartInhalt=DATE(Planungsjahr,1,I45))*Anzeige_I*((JP_Anzeige=TRUE)+NOT(Filter_Aktiv)&gt;0)*(11-JP_Farbe)))),IF(COUNTIF(Feiertage,DATE(Planungsjahr,1,I45))&gt;0,"h",IF(COUNTIFS(U_Von,"&lt;="&amp;DATE(Planungsjahr,1,I45),U_Bis,"&gt;="&amp;DATE(Planungsjahr,1,I45))&gt;0,"u",""))),"")</f>
      </c>
      <c r="K46" s="225">
        <f>IF(ISNUMBER(I45),IFERROR(31-1/(1/SUMPRODUCT(MAX((JP_PAL=DATE(Planungsjahr,1,I45))*Anzeige_P*((JP_Anzeige=TRUE)+NOT(Filter_Aktiv)&gt;0)*(11-JP_Farbe)))),IF(COUNTIF(Feiertage,DATE(Planungsjahr,1,I45))&gt;0,"h",IF(COUNTIFS(U_Von,"&lt;="&amp;DATE(Planungsjahr,1,I45),U_Bis,"&gt;="&amp;DATE(Planungsjahr,1,I45))&gt;0,"u",""))),"")</f>
      </c>
      <c r="L46" s="223">
        <f>IF(ISNUMBER(L45),IFERROR(11-1/(1/SUMPRODUCT(MAX((JP_StartSel=DATE(Planungsjahr,1,L45))*Anzeige_S*((JP_Anzeige=TRUE)+NOT(Filter_Aktiv)&gt;0)*(11-JP_Farbe)))),IF(COUNTIF(Feiertage,DATE(Planungsjahr,1,L45))&gt;0,"h",IF(COUNTIFS(U_Von,"&lt;="&amp;DATE(Planungsjahr,1,L45),U_Bis,"&gt;="&amp;DATE(Planungsjahr,1,L45))&gt;0,"u",""))),"")</f>
      </c>
      <c r="M46" s="224">
        <f>IF(ISNUMBER(L45),IFERROR(21-1/(1/SUMPRODUCT(MAX((JP_StartInhalt=DATE(Planungsjahr,1,L45))*Anzeige_I*((JP_Anzeige=TRUE)+NOT(Filter_Aktiv)&gt;0)*(11-JP_Farbe)))),IF(COUNTIF(Feiertage,DATE(Planungsjahr,1,L45))&gt;0,"h",IF(COUNTIFS(U_Von,"&lt;="&amp;DATE(Planungsjahr,1,L45),U_Bis,"&gt;="&amp;DATE(Planungsjahr,1,L45))&gt;0,"u",""))),"")</f>
      </c>
      <c r="N46" s="225">
        <f>IF(ISNUMBER(L45),IFERROR(31-1/(1/SUMPRODUCT(MAX((JP_PAL=DATE(Planungsjahr,1,L45))*Anzeige_P*((JP_Anzeige=TRUE)+NOT(Filter_Aktiv)&gt;0)*(11-JP_Farbe)))),IF(COUNTIF(Feiertage,DATE(Planungsjahr,1,L45))&gt;0,"h",IF(COUNTIFS(U_Von,"&lt;="&amp;DATE(Planungsjahr,1,L45),U_Bis,"&gt;="&amp;DATE(Planungsjahr,1,L45))&gt;0,"u",""))),"")</f>
      </c>
      <c r="O46" s="223">
        <f>IF(ISNUMBER(O45),IFERROR(11-1/(1/SUMPRODUCT(MAX((JP_StartSel=DATE(Planungsjahr,1,O45))*Anzeige_S*((JP_Anzeige=TRUE)+NOT(Filter_Aktiv)&gt;0)*(11-JP_Farbe)))),IF(COUNTIF(Feiertage,DATE(Planungsjahr,1,O45))&gt;0,"h",IF(COUNTIFS(U_Von,"&lt;="&amp;DATE(Planungsjahr,1,O45),U_Bis,"&gt;="&amp;DATE(Planungsjahr,1,O45))&gt;0,"u",""))),"")</f>
      </c>
      <c r="P46" s="224">
        <f>IF(ISNUMBER(O45),IFERROR(21-1/(1/SUMPRODUCT(MAX((JP_StartInhalt=DATE(Planungsjahr,1,O45))*Anzeige_I*((JP_Anzeige=TRUE)+NOT(Filter_Aktiv)&gt;0)*(11-JP_Farbe)))),IF(COUNTIF(Feiertage,DATE(Planungsjahr,1,O45))&gt;0,"h",IF(COUNTIFS(U_Von,"&lt;="&amp;DATE(Planungsjahr,1,O45),U_Bis,"&gt;="&amp;DATE(Planungsjahr,1,O45))&gt;0,"u",""))),"")</f>
      </c>
      <c r="Q46" s="225">
        <f>IF(ISNUMBER(O45),IFERROR(31-1/(1/SUMPRODUCT(MAX((JP_PAL=DATE(Planungsjahr,1,O45))*Anzeige_P*((JP_Anzeige=TRUE)+NOT(Filter_Aktiv)&gt;0)*(11-JP_Farbe)))),IF(COUNTIF(Feiertage,DATE(Planungsjahr,1,O45))&gt;0,"h",IF(COUNTIFS(U_Von,"&lt;="&amp;DATE(Planungsjahr,1,O45),U_Bis,"&gt;="&amp;DATE(Planungsjahr,1,O45))&gt;0,"u",""))),"")</f>
      </c>
      <c r="R46" s="223">
        <f>IF(ISNUMBER(R45),IFERROR(11-1/(1/SUMPRODUCT(MAX((JP_StartSel=DATE(Planungsjahr,1,R45))*Anzeige_S*((JP_Anzeige=TRUE)+NOT(Filter_Aktiv)&gt;0)*(11-JP_Farbe)))),IF(COUNTIF(Feiertage,DATE(Planungsjahr,1,R45))&gt;0,"h","w")),"")</f>
      </c>
      <c r="S46" s="224">
        <f>IF(ISNUMBER(R45),IFERROR(21-1/(1/SUMPRODUCT(MAX((JP_StartInhalt=DATE(Planungsjahr,1,R45))*Anzeige_I*((JP_Anzeige=TRUE)+NOT(Filter_Aktiv)&gt;0)*(11-JP_Farbe)))),IF(COUNTIF(Feiertage,DATE(Planungsjahr,1,R45))&gt;0,"h","w")),"")</f>
      </c>
      <c r="T46" s="225">
        <f>IF(ISNUMBER(R45),IFERROR(31-1/(1/SUMPRODUCT(MAX((JP_PAL=DATE(Planungsjahr,1,R45))*Anzeige_P*((JP_Anzeige=TRUE)+NOT(Filter_Aktiv)&gt;0)*(11-JP_Farbe)))),IF(COUNTIF(Feiertage,DATE(Planungsjahr,1,R45))&gt;0,"h","w")),"")</f>
      </c>
      <c r="U46" s="223">
        <f>IF(ISNUMBER(U45),IFERROR(11-1/(1/SUMPRODUCT(MAX((JP_StartSel=DATE(Planungsjahr,1,U45))*Anzeige_S*((JP_Anzeige=TRUE)+NOT(Filter_Aktiv)&gt;0)*(11-JP_Farbe)))),IF(COUNTIF(Feiertage,DATE(Planungsjahr,1,U45))&gt;0,"h","w")),"")</f>
      </c>
      <c r="V46" s="224">
        <f>IF(ISNUMBER(U45),IFERROR(21-1/(1/SUMPRODUCT(MAX((JP_StartInhalt=DATE(Planungsjahr,1,U45))*Anzeige_I*((JP_Anzeige=TRUE)+NOT(Filter_Aktiv)&gt;0)*(11-JP_Farbe)))),IF(COUNTIF(Feiertage,DATE(Planungsjahr,1,U45))&gt;0,"h","w")),"")</f>
      </c>
      <c r="W46" s="225">
        <f>IF(ISNUMBER(U45),IFERROR(31-1/(1/SUMPRODUCT(MAX((JP_PAL=DATE(Planungsjahr,1,U45))*Anzeige_P*((JP_Anzeige=TRUE)+NOT(Filter_Aktiv)&gt;0)*(11-JP_Farbe)))),IF(COUNTIF(Feiertage,DATE(Planungsjahr,1,U45))&gt;0,"h","w")),"")</f>
      </c>
      <c r="Y46" s="179"/>
      <c r="Z46" s="223">
        <f>IF(ISNUMBER(Z45),IFERROR(11-1/(1/SUMPRODUCT(MAX((JP_StartSel=DATE(Planungsjahr,2,Z45))*Anzeige_S*((JP_Anzeige=TRUE)+NOT(Filter_Aktiv)&gt;0)*(11-JP_Farbe)))),IF(COUNTIF(Feiertage,DATE(Planungsjahr,2,Z45))&gt;0,"h",IF(COUNTIFS(U_Von,"&lt;="&amp;DATE(Planungsjahr,2,Z45),U_Bis,"&gt;="&amp;DATE(Planungsjahr,2,Z45))&gt;0,"u",""))),"")</f>
      </c>
      <c r="AA46" s="224">
        <f>IF(ISNUMBER(Z45),IFERROR(21-1/(1/SUMPRODUCT(MAX((JP_StartInhalt=DATE(Planungsjahr,2,Z45))*Anzeige_I*((JP_Anzeige=TRUE)+NOT(Filter_Aktiv)&gt;0)*(11-JP_Farbe)))),IF(COUNTIF(Feiertage,DATE(Planungsjahr,2,Z45))&gt;0,"h",IF(COUNTIFS(U_Von,"&lt;="&amp;DATE(Planungsjahr,2,Z45),U_Bis,"&gt;="&amp;DATE(Planungsjahr,2,Z45))&gt;0,"u",""))),"")</f>
      </c>
      <c r="AB46" s="225">
        <f>IF(ISNUMBER(Z45),IFERROR(31-1/(1/SUMPRODUCT(MAX((JP_PAL=DATE(Planungsjahr,2,Z45))*Anzeige_P*((JP_Anzeige=TRUE)+NOT(Filter_Aktiv)&gt;0)*(11-JP_Farbe)))),IF(COUNTIF(Feiertage,DATE(Planungsjahr,2,Z45))&gt;0,"h",IF(COUNTIFS(U_Von,"&lt;="&amp;DATE(Planungsjahr,2,Z45),U_Bis,"&gt;="&amp;DATE(Planungsjahr,2,Z45))&gt;0,"u",""))),"")</f>
      </c>
      <c r="AC46" s="223">
        <f>IF(ISNUMBER(AC45),IFERROR(11-1/(1/SUMPRODUCT(MAX((JP_StartSel=DATE(Planungsjahr,2,AC45))*Anzeige_S*((JP_Anzeige=TRUE)+NOT(Filter_Aktiv)&gt;0)*(11-JP_Farbe)))),IF(COUNTIF(Feiertage,DATE(Planungsjahr,2,AC45))&gt;0,"h",IF(COUNTIFS(U_Von,"&lt;="&amp;DATE(Planungsjahr,2,AC45),U_Bis,"&gt;="&amp;DATE(Planungsjahr,2,AC45))&gt;0,"u",""))),"")</f>
      </c>
      <c r="AD46" s="224">
        <f>IF(ISNUMBER(AC45),IFERROR(21-1/(1/SUMPRODUCT(MAX((JP_StartInhalt=DATE(Planungsjahr,2,AC45))*Anzeige_I*((JP_Anzeige=TRUE)+NOT(Filter_Aktiv)&gt;0)*(11-JP_Farbe)))),IF(COUNTIF(Feiertage,DATE(Planungsjahr,2,AC45))&gt;0,"h",IF(COUNTIFS(U_Von,"&lt;="&amp;DATE(Planungsjahr,2,AC45),U_Bis,"&gt;="&amp;DATE(Planungsjahr,2,AC45))&gt;0,"u",""))),"")</f>
      </c>
      <c r="AE46" s="225">
        <f>IF(ISNUMBER(AC45),IFERROR(31-1/(1/SUMPRODUCT(MAX((JP_PAL=DATE(Planungsjahr,2,AC45))*Anzeige_P*((JP_Anzeige=TRUE)+NOT(Filter_Aktiv)&gt;0)*(11-JP_Farbe)))),IF(COUNTIF(Feiertage,DATE(Planungsjahr,2,AC45))&gt;0,"h",IF(COUNTIFS(U_Von,"&lt;="&amp;DATE(Planungsjahr,2,AC45),U_Bis,"&gt;="&amp;DATE(Planungsjahr,2,AC45))&gt;0,"u",""))),"")</f>
      </c>
      <c r="AF46" s="223">
        <f>IF(ISNUMBER(AF45),IFERROR(11-1/(1/SUMPRODUCT(MAX((JP_StartSel=DATE(Planungsjahr,2,AF45))*Anzeige_S*((JP_Anzeige=TRUE)+NOT(Filter_Aktiv)&gt;0)*(11-JP_Farbe)))),IF(COUNTIF(Feiertage,DATE(Planungsjahr,2,AF45))&gt;0,"h",IF(COUNTIFS(U_Von,"&lt;="&amp;DATE(Planungsjahr,2,AF45),U_Bis,"&gt;="&amp;DATE(Planungsjahr,2,AF45))&gt;0,"u",""))),"")</f>
      </c>
      <c r="AG46" s="224">
        <f>IF(ISNUMBER(AF45),IFERROR(21-1/(1/SUMPRODUCT(MAX((JP_StartInhalt=DATE(Planungsjahr,2,AF45))*Anzeige_I*((JP_Anzeige=TRUE)+NOT(Filter_Aktiv)&gt;0)*(11-JP_Farbe)))),IF(COUNTIF(Feiertage,DATE(Planungsjahr,2,AF45))&gt;0,"h",IF(COUNTIFS(U_Von,"&lt;="&amp;DATE(Planungsjahr,2,AF45),U_Bis,"&gt;="&amp;DATE(Planungsjahr,2,AF45))&gt;0,"u",""))),"")</f>
      </c>
      <c r="AH46" s="225">
        <f>IF(ISNUMBER(AF45),IFERROR(31-1/(1/SUMPRODUCT(MAX((JP_PAL=DATE(Planungsjahr,2,AF45))*Anzeige_P*((JP_Anzeige=TRUE)+NOT(Filter_Aktiv)&gt;0)*(11-JP_Farbe)))),IF(COUNTIF(Feiertage,DATE(Planungsjahr,2,AF45))&gt;0,"h",IF(COUNTIFS(U_Von,"&lt;="&amp;DATE(Planungsjahr,2,AF45),U_Bis,"&gt;="&amp;DATE(Planungsjahr,2,AF45))&gt;0,"u",""))),"")</f>
      </c>
      <c r="AI46" s="223">
        <f>IF(ISNUMBER(AI45),IFERROR(11-1/(1/SUMPRODUCT(MAX((JP_StartSel=DATE(Planungsjahr,2,AI45))*Anzeige_S*((JP_Anzeige=TRUE)+NOT(Filter_Aktiv)&gt;0)*(11-JP_Farbe)))),IF(COUNTIF(Feiertage,DATE(Planungsjahr,2,AI45))&gt;0,"h",IF(COUNTIFS(U_Von,"&lt;="&amp;DATE(Planungsjahr,2,AI45),U_Bis,"&gt;="&amp;DATE(Planungsjahr,2,AI45))&gt;0,"u",""))),"")</f>
      </c>
      <c r="AJ46" s="224">
        <f>IF(ISNUMBER(AI45),IFERROR(21-1/(1/SUMPRODUCT(MAX((JP_StartInhalt=DATE(Planungsjahr,2,AI45))*Anzeige_I*((JP_Anzeige=TRUE)+NOT(Filter_Aktiv)&gt;0)*(11-JP_Farbe)))),IF(COUNTIF(Feiertage,DATE(Planungsjahr,2,AI45))&gt;0,"h",IF(COUNTIFS(U_Von,"&lt;="&amp;DATE(Planungsjahr,2,AI45),U_Bis,"&gt;="&amp;DATE(Planungsjahr,2,AI45))&gt;0,"u",""))),"")</f>
      </c>
      <c r="AK46" s="225">
        <f>IF(ISNUMBER(AI45),IFERROR(31-1/(1/SUMPRODUCT(MAX((JP_PAL=DATE(Planungsjahr,2,AI45))*Anzeige_P*((JP_Anzeige=TRUE)+NOT(Filter_Aktiv)&gt;0)*(11-JP_Farbe)))),IF(COUNTIF(Feiertage,DATE(Planungsjahr,2,AI45))&gt;0,"h",IF(COUNTIFS(U_Von,"&lt;="&amp;DATE(Planungsjahr,2,AI45),U_Bis,"&gt;="&amp;DATE(Planungsjahr,2,AI45))&gt;0,"u",""))),"")</f>
      </c>
      <c r="AL46" s="223">
        <f>IF(ISNUMBER(AL45),IFERROR(11-1/(1/SUMPRODUCT(MAX((JP_StartSel=DATE(Planungsjahr,2,AL45))*Anzeige_S*((JP_Anzeige=TRUE)+NOT(Filter_Aktiv)&gt;0)*(11-JP_Farbe)))),IF(COUNTIF(Feiertage,DATE(Planungsjahr,2,AL45))&gt;0,"h",IF(COUNTIFS(U_Von,"&lt;="&amp;DATE(Planungsjahr,2,AL45),U_Bis,"&gt;="&amp;DATE(Planungsjahr,2,AL45))&gt;0,"u",""))),"")</f>
      </c>
      <c r="AM46" s="224">
        <f>IF(ISNUMBER(AL45),IFERROR(21-1/(1/SUMPRODUCT(MAX((JP_StartInhalt=DATE(Planungsjahr,2,AL45))*Anzeige_I*((JP_Anzeige=TRUE)+NOT(Filter_Aktiv)&gt;0)*(11-JP_Farbe)))),IF(COUNTIF(Feiertage,DATE(Planungsjahr,2,AL45))&gt;0,"h",IF(COUNTIFS(U_Von,"&lt;="&amp;DATE(Planungsjahr,2,AL45),U_Bis,"&gt;="&amp;DATE(Planungsjahr,2,AL45))&gt;0,"u",""))),"")</f>
      </c>
      <c r="AN46" s="225">
        <f>IF(ISNUMBER(AL45),IFERROR(31-1/(1/SUMPRODUCT(MAX((JP_PAL=DATE(Planungsjahr,2,AL45))*Anzeige_P*((JP_Anzeige=TRUE)+NOT(Filter_Aktiv)&gt;0)*(11-JP_Farbe)))),IF(COUNTIF(Feiertage,DATE(Planungsjahr,2,AL45))&gt;0,"h",IF(COUNTIFS(U_Von,"&lt;="&amp;DATE(Planungsjahr,2,AL45),U_Bis,"&gt;="&amp;DATE(Planungsjahr,2,AL45))&gt;0,"u",""))),"")</f>
      </c>
      <c r="AO46" s="223">
        <f>IF(ISNUMBER(AO45),IFERROR(11-1/(1/SUMPRODUCT(MAX((JP_StartSel=DATE(Planungsjahr,2,AO45))*Anzeige_S*((JP_Anzeige=TRUE)+NOT(Filter_Aktiv)&gt;0)*(11-JP_Farbe)))),IF(COUNTIF(Feiertage,DATE(Planungsjahr,2,AO45))&gt;0,"h","w")),"")</f>
      </c>
      <c r="AP46" s="224">
        <f>IF(ISNUMBER(AO45),IFERROR(21-1/(1/SUMPRODUCT(MAX((JP_StartInhalt=DATE(Planungsjahr,2,AO45))*Anzeige_I*((JP_Anzeige=TRUE)+NOT(Filter_Aktiv)&gt;0)*(11-JP_Farbe)))),IF(COUNTIF(Feiertage,DATE(Planungsjahr,2,AO45))&gt;0,"h","w")),"")</f>
      </c>
      <c r="AQ46" s="225">
        <f>IF(ISNUMBER(AO45),IFERROR(31-1/(1/SUMPRODUCT(MAX((JP_PAL=DATE(Planungsjahr,2,AO45))*Anzeige_P*((JP_Anzeige=TRUE)+NOT(Filter_Aktiv)&gt;0)*(11-JP_Farbe)))),IF(COUNTIF(Feiertage,DATE(Planungsjahr,2,AO45))&gt;0,"h","w")),"")</f>
      </c>
      <c r="AR46" s="223">
        <f>IF(ISNUMBER(AR45),IFERROR(11-1/(1/SUMPRODUCT(MAX((JP_StartSel=DATE(Planungsjahr,2,AR45))*Anzeige_S*((JP_Anzeige=TRUE)+NOT(Filter_Aktiv)&gt;0)*(11-JP_Farbe)))),IF(COUNTIF(Feiertage,DATE(Planungsjahr,2,AR45))&gt;0,"h","w")),"")</f>
      </c>
      <c r="AS46" s="224">
        <f>IF(ISNUMBER(AR45),IFERROR(21-1/(1/SUMPRODUCT(MAX((JP_StartInhalt=DATE(Planungsjahr,2,AR45))*Anzeige_I*((JP_Anzeige=TRUE)+NOT(Filter_Aktiv)&gt;0)*(11-JP_Farbe)))),IF(COUNTIF(Feiertage,DATE(Planungsjahr,2,AR45))&gt;0,"h","w")),"")</f>
      </c>
      <c r="AT46" s="225">
        <f>IF(ISNUMBER(AR45),IFERROR(31-1/(1/SUMPRODUCT(MAX((JP_PAL=DATE(Planungsjahr,2,AR45))*Anzeige_P*((JP_Anzeige=TRUE)+NOT(Filter_Aktiv)&gt;0)*(11-JP_Farbe)))),IF(COUNTIF(Feiertage,DATE(Planungsjahr,2,AR45))&gt;0,"h","w")),"")</f>
      </c>
      <c r="AV46" s="179"/>
      <c r="AW46" s="223">
        <f>IF(ISNUMBER(AW45),IFERROR(11-1/(1/SUMPRODUCT(MAX((JP_StartSel=DATE(Planungsjahr,3,AW45))*Anzeige_S*((JP_Anzeige=TRUE)+NOT(Filter_Aktiv)&gt;0)*(11-JP_Farbe)))),IF(COUNTIF(Feiertage,DATE(Planungsjahr,3,AW45))&gt;0,"h",IF(COUNTIFS(U_Von,"&lt;="&amp;DATE(Planungsjahr,3,AW45),U_Bis,"&gt;="&amp;DATE(Planungsjahr,3,AW45))&gt;0,"u",""))),"")</f>
      </c>
      <c r="AX46" s="224">
        <f>IF(ISNUMBER(AW45),IFERROR(21-1/(1/SUMPRODUCT(MAX((JP_StartInhalt=DATE(Planungsjahr,3,AW45))*Anzeige_I*((JP_Anzeige=TRUE)+NOT(Filter_Aktiv)&gt;0)*(11-JP_Farbe)))),IF(COUNTIF(Feiertage,DATE(Planungsjahr,3,AW45))&gt;0,"h",IF(COUNTIFS(U_Von,"&lt;="&amp;DATE(Planungsjahr,3,AW45),U_Bis,"&gt;="&amp;DATE(Planungsjahr,3,AW45))&gt;0,"u",""))),"")</f>
      </c>
      <c r="AY46" s="225">
        <f>IF(ISNUMBER(AW45),IFERROR(31-1/(1/SUMPRODUCT(MAX((JP_PAL=DATE(Planungsjahr,3,AW45))*Anzeige_P*((JP_Anzeige=TRUE)+NOT(Filter_Aktiv)&gt;0)*(11-JP_Farbe)))),IF(COUNTIF(Feiertage,DATE(Planungsjahr,3,AW45))&gt;0,"h",IF(COUNTIFS(U_Von,"&lt;="&amp;DATE(Planungsjahr,3,AW45),U_Bis,"&gt;="&amp;DATE(Planungsjahr,3,AW45))&gt;0,"u",""))),"")</f>
      </c>
      <c r="AZ46" s="223">
        <f>IF(ISNUMBER(AZ45),IFERROR(11-1/(1/SUMPRODUCT(MAX((JP_StartSel=DATE(Planungsjahr,3,AZ45))*Anzeige_S*((JP_Anzeige=TRUE)+NOT(Filter_Aktiv)&gt;0)*(11-JP_Farbe)))),IF(COUNTIF(Feiertage,DATE(Planungsjahr,3,AZ45))&gt;0,"h",IF(COUNTIFS(U_Von,"&lt;="&amp;DATE(Planungsjahr,3,AZ45),U_Bis,"&gt;="&amp;DATE(Planungsjahr,3,AZ45))&gt;0,"u",""))),"")</f>
      </c>
      <c r="BA46" s="224">
        <f>IF(ISNUMBER(AZ45),IFERROR(21-1/(1/SUMPRODUCT(MAX((JP_StartInhalt=DATE(Planungsjahr,3,AZ45))*Anzeige_I*((JP_Anzeige=TRUE)+NOT(Filter_Aktiv)&gt;0)*(11-JP_Farbe)))),IF(COUNTIF(Feiertage,DATE(Planungsjahr,3,AZ45))&gt;0,"h",IF(COUNTIFS(U_Von,"&lt;="&amp;DATE(Planungsjahr,3,AZ45),U_Bis,"&gt;="&amp;DATE(Planungsjahr,3,AZ45))&gt;0,"u",""))),"")</f>
      </c>
      <c r="BB46" s="225">
        <f>IF(ISNUMBER(AZ45),IFERROR(31-1/(1/SUMPRODUCT(MAX((JP_PAL=DATE(Planungsjahr,3,AZ45))*Anzeige_P*((JP_Anzeige=TRUE)+NOT(Filter_Aktiv)&gt;0)*(11-JP_Farbe)))),IF(COUNTIF(Feiertage,DATE(Planungsjahr,3,AZ45))&gt;0,"h",IF(COUNTIFS(U_Von,"&lt;="&amp;DATE(Planungsjahr,3,AZ45),U_Bis,"&gt;="&amp;DATE(Planungsjahr,3,AZ45))&gt;0,"u",""))),"")</f>
      </c>
      <c r="BC46" s="223">
        <f>IF(ISNUMBER(BC45),IFERROR(11-1/(1/SUMPRODUCT(MAX((JP_StartSel=DATE(Planungsjahr,3,BC45))*Anzeige_S*((JP_Anzeige=TRUE)+NOT(Filter_Aktiv)&gt;0)*(11-JP_Farbe)))),IF(COUNTIF(Feiertage,DATE(Planungsjahr,3,BC45))&gt;0,"h",IF(COUNTIFS(U_Von,"&lt;="&amp;DATE(Planungsjahr,3,BC45),U_Bis,"&gt;="&amp;DATE(Planungsjahr,3,BC45))&gt;0,"u",""))),"")</f>
      </c>
      <c r="BD46" s="224">
        <f>IF(ISNUMBER(BC45),IFERROR(21-1/(1/SUMPRODUCT(MAX((JP_StartInhalt=DATE(Planungsjahr,3,BC45))*Anzeige_I*((JP_Anzeige=TRUE)+NOT(Filter_Aktiv)&gt;0)*(11-JP_Farbe)))),IF(COUNTIF(Feiertage,DATE(Planungsjahr,3,BC45))&gt;0,"h",IF(COUNTIFS(U_Von,"&lt;="&amp;DATE(Planungsjahr,3,BC45),U_Bis,"&gt;="&amp;DATE(Planungsjahr,3,BC45))&gt;0,"u",""))),"")</f>
      </c>
      <c r="BE46" s="225">
        <f>IF(ISNUMBER(BC45),IFERROR(31-1/(1/SUMPRODUCT(MAX((JP_PAL=DATE(Planungsjahr,3,BC45))*Anzeige_P*((JP_Anzeige=TRUE)+NOT(Filter_Aktiv)&gt;0)*(11-JP_Farbe)))),IF(COUNTIF(Feiertage,DATE(Planungsjahr,3,BC45))&gt;0,"h",IF(COUNTIFS(U_Von,"&lt;="&amp;DATE(Planungsjahr,3,BC45),U_Bis,"&gt;="&amp;DATE(Planungsjahr,3,BC45))&gt;0,"u",""))),"")</f>
      </c>
      <c r="BF46" s="223">
        <f>IF(ISNUMBER(BF45),IFERROR(11-1/(1/SUMPRODUCT(MAX((JP_StartSel=DATE(Planungsjahr,3,BF45))*Anzeige_S*((JP_Anzeige=TRUE)+NOT(Filter_Aktiv)&gt;0)*(11-JP_Farbe)))),IF(COUNTIF(Feiertage,DATE(Planungsjahr,3,BF45))&gt;0,"h",IF(COUNTIFS(U_Von,"&lt;="&amp;DATE(Planungsjahr,3,BF45),U_Bis,"&gt;="&amp;DATE(Planungsjahr,3,BF45))&gt;0,"u",""))),"")</f>
      </c>
      <c r="BG46" s="224">
        <f>IF(ISNUMBER(BF45),IFERROR(21-1/(1/SUMPRODUCT(MAX((JP_StartInhalt=DATE(Planungsjahr,3,BF45))*Anzeige_I*((JP_Anzeige=TRUE)+NOT(Filter_Aktiv)&gt;0)*(11-JP_Farbe)))),IF(COUNTIF(Feiertage,DATE(Planungsjahr,3,BF45))&gt;0,"h",IF(COUNTIFS(U_Von,"&lt;="&amp;DATE(Planungsjahr,3,BF45),U_Bis,"&gt;="&amp;DATE(Planungsjahr,3,BF45))&gt;0,"u",""))),"")</f>
      </c>
      <c r="BH46" s="225">
        <f>IF(ISNUMBER(BF45),IFERROR(31-1/(1/SUMPRODUCT(MAX((JP_PAL=DATE(Planungsjahr,3,BF45))*Anzeige_P*((JP_Anzeige=TRUE)+NOT(Filter_Aktiv)&gt;0)*(11-JP_Farbe)))),IF(COUNTIF(Feiertage,DATE(Planungsjahr,3,BF45))&gt;0,"h",IF(COUNTIFS(U_Von,"&lt;="&amp;DATE(Planungsjahr,3,BF45),U_Bis,"&gt;="&amp;DATE(Planungsjahr,3,BF45))&gt;0,"u",""))),"")</f>
      </c>
      <c r="BI46" s="223">
        <f>IF(ISNUMBER(BI45),IFERROR(11-1/(1/SUMPRODUCT(MAX((JP_StartSel=DATE(Planungsjahr,3,BI45))*Anzeige_S*((JP_Anzeige=TRUE)+NOT(Filter_Aktiv)&gt;0)*(11-JP_Farbe)))),IF(COUNTIF(Feiertage,DATE(Planungsjahr,3,BI45))&gt;0,"h",IF(COUNTIFS(U_Von,"&lt;="&amp;DATE(Planungsjahr,3,BI45),U_Bis,"&gt;="&amp;DATE(Planungsjahr,3,BI45))&gt;0,"u",""))),"")</f>
      </c>
      <c r="BJ46" s="224">
        <f>IF(ISNUMBER(BI45),IFERROR(21-1/(1/SUMPRODUCT(MAX((JP_StartInhalt=DATE(Planungsjahr,3,BI45))*Anzeige_I*((JP_Anzeige=TRUE)+NOT(Filter_Aktiv)&gt;0)*(11-JP_Farbe)))),IF(COUNTIF(Feiertage,DATE(Planungsjahr,3,BI45))&gt;0,"h",IF(COUNTIFS(U_Von,"&lt;="&amp;DATE(Planungsjahr,3,BI45),U_Bis,"&gt;="&amp;DATE(Planungsjahr,3,BI45))&gt;0,"u",""))),"")</f>
      </c>
      <c r="BK46" s="225">
        <f>IF(ISNUMBER(BI45),IFERROR(31-1/(1/SUMPRODUCT(MAX((JP_PAL=DATE(Planungsjahr,3,BI45))*Anzeige_P*((JP_Anzeige=TRUE)+NOT(Filter_Aktiv)&gt;0)*(11-JP_Farbe)))),IF(COUNTIF(Feiertage,DATE(Planungsjahr,3,BI45))&gt;0,"h",IF(COUNTIFS(U_Von,"&lt;="&amp;DATE(Planungsjahr,3,BI45),U_Bis,"&gt;="&amp;DATE(Planungsjahr,3,BI45))&gt;0,"u",""))),"")</f>
      </c>
      <c r="BL46" s="223">
        <f>IF(ISNUMBER(BL45),IFERROR(11-1/(1/SUMPRODUCT(MAX((JP_StartSel=DATE(Planungsjahr,3,BL45))*Anzeige_S*((JP_Anzeige=TRUE)+NOT(Filter_Aktiv)&gt;0)*(11-JP_Farbe)))),IF(COUNTIF(Feiertage,DATE(Planungsjahr,3,BL45))&gt;0,"h","w")),"")</f>
      </c>
      <c r="BM46" s="224">
        <f>IF(ISNUMBER(BL45),IFERROR(21-1/(1/SUMPRODUCT(MAX((JP_StartInhalt=DATE(Planungsjahr,3,BL45))*Anzeige_I*((JP_Anzeige=TRUE)+NOT(Filter_Aktiv)&gt;0)*(11-JP_Farbe)))),IF(COUNTIF(Feiertage,DATE(Planungsjahr,3,BL45))&gt;0,"h","w")),"")</f>
      </c>
      <c r="BN46" s="225">
        <f>IF(ISNUMBER(BL45),IFERROR(31-1/(1/SUMPRODUCT(MAX((JP_PAL=DATE(Planungsjahr,3,BL45))*Anzeige_P*((JP_Anzeige=TRUE)+NOT(Filter_Aktiv)&gt;0)*(11-JP_Farbe)))),IF(COUNTIF(Feiertage,DATE(Planungsjahr,3,BL45))&gt;0,"h","w")),"")</f>
      </c>
      <c r="BO46" s="223">
        <f>IF(ISNUMBER(BO45),IFERROR(11-1/(1/SUMPRODUCT(MAX((JP_StartSel=DATE(Planungsjahr,3,BO45))*Anzeige_S*((JP_Anzeige=TRUE)+NOT(Filter_Aktiv)&gt;0)*(11-JP_Farbe)))),IF(COUNTIF(Feiertage,DATE(Planungsjahr,3,BO45))&gt;0,"h","w")),"")</f>
      </c>
      <c r="BP46" s="224">
        <f>IF(ISNUMBER(BO45),IFERROR(21-1/(1/SUMPRODUCT(MAX((JP_StartInhalt=DATE(Planungsjahr,3,BO45))*Anzeige_I*((JP_Anzeige=TRUE)+NOT(Filter_Aktiv)&gt;0)*(11-JP_Farbe)))),IF(COUNTIF(Feiertage,DATE(Planungsjahr,3,BO45))&gt;0,"h","w")),"")</f>
      </c>
      <c r="BQ46" s="225">
        <f>IF(ISNUMBER(BO45),IFERROR(31-1/(1/SUMPRODUCT(MAX((JP_PAL=DATE(Planungsjahr,3,BO45))*Anzeige_P*((JP_Anzeige=TRUE)+NOT(Filter_Aktiv)&gt;0)*(11-JP_Farbe)))),IF(COUNTIF(Feiertage,DATE(Planungsjahr,3,BO45))&gt;0,"h","w")),"")</f>
      </c>
      <c r="BS46" s="179"/>
      <c r="BT46" s="223">
        <f>IF(ISNUMBER(BT45),IFERROR(11-1/(1/SUMPRODUCT(MAX((JP_StartSel=DATE(Planungsjahr,4,BT45))*Anzeige_S*((JP_Anzeige=TRUE)+NOT(Filter_Aktiv)&gt;0)*(11-JP_Farbe)))),IF(COUNTIF(Feiertage,DATE(Planungsjahr,4,BT45))&gt;0,"h",IF(COUNTIFS(U_Von,"&lt;="&amp;DATE(Planungsjahr,4,BT45),U_Bis,"&gt;="&amp;DATE(Planungsjahr,4,BT45))&gt;0,"u",""))),"")</f>
      </c>
      <c r="BU46" s="224">
        <f>IF(ISNUMBER(BT45),IFERROR(21-1/(1/SUMPRODUCT(MAX((JP_StartInhalt=DATE(Planungsjahr,4,BT45))*Anzeige_I*((JP_Anzeige=TRUE)+NOT(Filter_Aktiv)&gt;0)*(11-JP_Farbe)))),IF(COUNTIF(Feiertage,DATE(Planungsjahr,4,BT45))&gt;0,"h",IF(COUNTIFS(U_Von,"&lt;="&amp;DATE(Planungsjahr,4,BT45),U_Bis,"&gt;="&amp;DATE(Planungsjahr,4,BT45))&gt;0,"u",""))),"")</f>
      </c>
      <c r="BV46" s="225">
        <f>IF(ISNUMBER(BT45),IFERROR(31-1/(1/SUMPRODUCT(MAX((JP_PAL=DATE(Planungsjahr,4,BT45))*Anzeige_P*((JP_Anzeige=TRUE)+NOT(Filter_Aktiv)&gt;0)*(11-JP_Farbe)))),IF(COUNTIF(Feiertage,DATE(Planungsjahr,4,BT45))&gt;0,"h",IF(COUNTIFS(U_Von,"&lt;="&amp;DATE(Planungsjahr,4,BT45),U_Bis,"&gt;="&amp;DATE(Planungsjahr,4,BT45))&gt;0,"u",""))),"")</f>
      </c>
      <c r="BW46" s="223">
        <f>IF(ISNUMBER(BW45),IFERROR(11-1/(1/SUMPRODUCT(MAX((JP_StartSel=DATE(Planungsjahr,4,BW45))*Anzeige_S*((JP_Anzeige=TRUE)+NOT(Filter_Aktiv)&gt;0)*(11-JP_Farbe)))),IF(COUNTIF(Feiertage,DATE(Planungsjahr,4,BW45))&gt;0,"h",IF(COUNTIFS(U_Von,"&lt;="&amp;DATE(Planungsjahr,4,BW45),U_Bis,"&gt;="&amp;DATE(Planungsjahr,4,BW45))&gt;0,"u",""))),"")</f>
      </c>
      <c r="BX46" s="224">
        <f>IF(ISNUMBER(BW45),IFERROR(21-1/(1/SUMPRODUCT(MAX((JP_StartInhalt=DATE(Planungsjahr,4,BW45))*Anzeige_I*((JP_Anzeige=TRUE)+NOT(Filter_Aktiv)&gt;0)*(11-JP_Farbe)))),IF(COUNTIF(Feiertage,DATE(Planungsjahr,4,BW45))&gt;0,"h",IF(COUNTIFS(U_Von,"&lt;="&amp;DATE(Planungsjahr,4,BW45),U_Bis,"&gt;="&amp;DATE(Planungsjahr,4,BW45))&gt;0,"u",""))),"")</f>
      </c>
      <c r="BY46" s="225">
        <f>IF(ISNUMBER(BW45),IFERROR(31-1/(1/SUMPRODUCT(MAX((JP_PAL=DATE(Planungsjahr,4,BW45))*Anzeige_P*((JP_Anzeige=TRUE)+NOT(Filter_Aktiv)&gt;0)*(11-JP_Farbe)))),IF(COUNTIF(Feiertage,DATE(Planungsjahr,4,BW45))&gt;0,"h",IF(COUNTIFS(U_Von,"&lt;="&amp;DATE(Planungsjahr,4,BW45),U_Bis,"&gt;="&amp;DATE(Planungsjahr,4,BW45))&gt;0,"u",""))),"")</f>
      </c>
      <c r="BZ46" s="223">
        <f>IF(ISNUMBER(BZ45),IFERROR(11-1/(1/SUMPRODUCT(MAX((JP_StartSel=DATE(Planungsjahr,4,BZ45))*Anzeige_S*((JP_Anzeige=TRUE)+NOT(Filter_Aktiv)&gt;0)*(11-JP_Farbe)))),IF(COUNTIF(Feiertage,DATE(Planungsjahr,4,BZ45))&gt;0,"h",IF(COUNTIFS(U_Von,"&lt;="&amp;DATE(Planungsjahr,4,BZ45),U_Bis,"&gt;="&amp;DATE(Planungsjahr,4,BZ45))&gt;0,"u",""))),"")</f>
      </c>
      <c r="CA46" s="224">
        <f>IF(ISNUMBER(BZ45),IFERROR(21-1/(1/SUMPRODUCT(MAX((JP_StartInhalt=DATE(Planungsjahr,4,BZ45))*Anzeige_I*((JP_Anzeige=TRUE)+NOT(Filter_Aktiv)&gt;0)*(11-JP_Farbe)))),IF(COUNTIF(Feiertage,DATE(Planungsjahr,4,BZ45))&gt;0,"h",IF(COUNTIFS(U_Von,"&lt;="&amp;DATE(Planungsjahr,4,BZ45),U_Bis,"&gt;="&amp;DATE(Planungsjahr,4,BZ45))&gt;0,"u",""))),"")</f>
      </c>
      <c r="CB46" s="225">
        <f>IF(ISNUMBER(BZ45),IFERROR(31-1/(1/SUMPRODUCT(MAX((JP_PAL=DATE(Planungsjahr,4,BZ45))*Anzeige_P*((JP_Anzeige=TRUE)+NOT(Filter_Aktiv)&gt;0)*(11-JP_Farbe)))),IF(COUNTIF(Feiertage,DATE(Planungsjahr,4,BZ45))&gt;0,"h",IF(COUNTIFS(U_Von,"&lt;="&amp;DATE(Planungsjahr,4,BZ45),U_Bis,"&gt;="&amp;DATE(Planungsjahr,4,BZ45))&gt;0,"u",""))),"")</f>
      </c>
      <c r="CC46" s="223">
        <f>IF(ISNUMBER(CC45),IFERROR(11-1/(1/SUMPRODUCT(MAX((JP_StartSel=DATE(Planungsjahr,4,CC45))*Anzeige_S*((JP_Anzeige=TRUE)+NOT(Filter_Aktiv)&gt;0)*(11-JP_Farbe)))),IF(COUNTIF(Feiertage,DATE(Planungsjahr,4,CC45))&gt;0,"h",IF(COUNTIFS(U_Von,"&lt;="&amp;DATE(Planungsjahr,4,CC45),U_Bis,"&gt;="&amp;DATE(Planungsjahr,4,CC45))&gt;0,"u",""))),"")</f>
      </c>
      <c r="CD46" s="224">
        <f>IF(ISNUMBER(CC45),IFERROR(21-1/(1/SUMPRODUCT(MAX((JP_StartInhalt=DATE(Planungsjahr,4,CC45))*Anzeige_I*((JP_Anzeige=TRUE)+NOT(Filter_Aktiv)&gt;0)*(11-JP_Farbe)))),IF(COUNTIF(Feiertage,DATE(Planungsjahr,4,CC45))&gt;0,"h",IF(COUNTIFS(U_Von,"&lt;="&amp;DATE(Planungsjahr,4,CC45),U_Bis,"&gt;="&amp;DATE(Planungsjahr,4,CC45))&gt;0,"u",""))),"")</f>
      </c>
      <c r="CE46" s="225">
        <f>IF(ISNUMBER(CC45),IFERROR(31-1/(1/SUMPRODUCT(MAX((JP_PAL=DATE(Planungsjahr,4,CC45))*Anzeige_P*((JP_Anzeige=TRUE)+NOT(Filter_Aktiv)&gt;0)*(11-JP_Farbe)))),IF(COUNTIF(Feiertage,DATE(Planungsjahr,4,CC45))&gt;0,"h",IF(COUNTIFS(U_Von,"&lt;="&amp;DATE(Planungsjahr,4,CC45),U_Bis,"&gt;="&amp;DATE(Planungsjahr,4,CC45))&gt;0,"u",""))),"")</f>
      </c>
      <c r="CF46" s="223">
        <f>IF(ISNUMBER(CF45),IFERROR(11-1/(1/SUMPRODUCT(MAX((JP_StartSel=DATE(Planungsjahr,4,CF45))*Anzeige_S*((JP_Anzeige=TRUE)+NOT(Filter_Aktiv)&gt;0)*(11-JP_Farbe)))),IF(COUNTIF(Feiertage,DATE(Planungsjahr,4,CF45))&gt;0,"h",IF(COUNTIFS(U_Von,"&lt;="&amp;DATE(Planungsjahr,4,CF45),U_Bis,"&gt;="&amp;DATE(Planungsjahr,4,CF45))&gt;0,"u",""))),"")</f>
      </c>
      <c r="CG46" s="224">
        <f>IF(ISNUMBER(CF45),IFERROR(21-1/(1/SUMPRODUCT(MAX((JP_StartInhalt=DATE(Planungsjahr,4,CF45))*Anzeige_I*((JP_Anzeige=TRUE)+NOT(Filter_Aktiv)&gt;0)*(11-JP_Farbe)))),IF(COUNTIF(Feiertage,DATE(Planungsjahr,4,CF45))&gt;0,"h",IF(COUNTIFS(U_Von,"&lt;="&amp;DATE(Planungsjahr,4,CF45),U_Bis,"&gt;="&amp;DATE(Planungsjahr,4,CF45))&gt;0,"u",""))),"")</f>
      </c>
      <c r="CH46" s="225">
        <f>IF(ISNUMBER(CF45),IFERROR(31-1/(1/SUMPRODUCT(MAX((JP_PAL=DATE(Planungsjahr,4,CF45))*Anzeige_P*((JP_Anzeige=TRUE)+NOT(Filter_Aktiv)&gt;0)*(11-JP_Farbe)))),IF(COUNTIF(Feiertage,DATE(Planungsjahr,4,CF45))&gt;0,"h",IF(COUNTIFS(U_Von,"&lt;="&amp;DATE(Planungsjahr,4,CF45),U_Bis,"&gt;="&amp;DATE(Planungsjahr,4,CF45))&gt;0,"u",""))),"")</f>
      </c>
      <c r="CI46" s="223">
        <f>IF(ISNUMBER(CI45),IFERROR(11-1/(1/SUMPRODUCT(MAX((JP_StartSel=DATE(Planungsjahr,4,CI45))*Anzeige_S*((JP_Anzeige=TRUE)+NOT(Filter_Aktiv)&gt;0)*(11-JP_Farbe)))),IF(COUNTIF(Feiertage,DATE(Planungsjahr,4,CI45))&gt;0,"h","w")),"")</f>
      </c>
      <c r="CJ46" s="224">
        <f>IF(ISNUMBER(CI45),IFERROR(21-1/(1/SUMPRODUCT(MAX((JP_StartInhalt=DATE(Planungsjahr,4,CI45))*Anzeige_I*((JP_Anzeige=TRUE)+NOT(Filter_Aktiv)&gt;0)*(11-JP_Farbe)))),IF(COUNTIF(Feiertage,DATE(Planungsjahr,4,CI45))&gt;0,"h","w")),"")</f>
      </c>
      <c r="CK46" s="225">
        <f>IF(ISNUMBER(CI45),IFERROR(31-1/(1/SUMPRODUCT(MAX((JP_PAL=DATE(Planungsjahr,4,CI45))*Anzeige_P*((JP_Anzeige=TRUE)+NOT(Filter_Aktiv)&gt;0)*(11-JP_Farbe)))),IF(COUNTIF(Feiertage,DATE(Planungsjahr,4,CI45))&gt;0,"h","w")),"")</f>
      </c>
      <c r="CL46" s="223">
        <f>IF(ISNUMBER(CL45),IFERROR(11-1/(1/SUMPRODUCT(MAX((JP_StartSel=DATE(Planungsjahr,4,CL45))*Anzeige_S*((JP_Anzeige=TRUE)+NOT(Filter_Aktiv)&gt;0)*(11-JP_Farbe)))),IF(COUNTIF(Feiertage,DATE(Planungsjahr,4,CL45))&gt;0,"h","w")),"")</f>
      </c>
      <c r="CM46" s="224">
        <f>IF(ISNUMBER(CL45),IFERROR(21-1/(1/SUMPRODUCT(MAX((JP_StartInhalt=DATE(Planungsjahr,4,CL45))*Anzeige_I*((JP_Anzeige=TRUE)+NOT(Filter_Aktiv)&gt;0)*(11-JP_Farbe)))),IF(COUNTIF(Feiertage,DATE(Planungsjahr,4,CL45))&gt;0,"h","w")),"")</f>
      </c>
      <c r="CN46" s="225">
        <f>IF(ISNUMBER(CL45),IFERROR(31-1/(1/SUMPRODUCT(MAX((JP_PAL=DATE(Planungsjahr,4,CL45))*Anzeige_P*((JP_Anzeige=TRUE)+NOT(Filter_Aktiv)&gt;0)*(11-JP_Farbe)))),IF(COUNTIF(Feiertage,DATE(Planungsjahr,4,CL45))&gt;0,"h","w")),"")</f>
      </c>
    </row>
    <row r="47" spans="2:92" ht="15.95" customHeight="1" x14ac:dyDescent="0.25">
      <c r="B47" s="165">
        <f>IF(OR(ISNUMBER(C47),ISNUMBER(U47)),_xlfn.ISOWEEKNUM(DATE(Planungsjahr,1,1)-WEEKDAY(DATE(Planungsjahr,1,1),2)+8),"")</f>
        <v>1</v>
      </c>
      <c r="C47" s="188">
        <f>IF(MONTH(DATE(Planungsjahr,1,1)-WEEKDAY(DATE(Planungsjahr,1,1),2)+8)=1,DAY(DATE(Planungsjahr,1,1)-WEEKDAY(DATE(Planungsjahr,1,1),2)+8),"")</f>
        <v>4</v>
      </c>
      <c r="D47" s="188"/>
      <c r="E47" s="188"/>
      <c r="F47" s="188">
        <f>IF(MONTH(DATE(Planungsjahr,1,1)-WEEKDAY(DATE(Planungsjahr,1,1),2)+9)=1,DAY(DATE(Planungsjahr,1,1)-WEEKDAY(DATE(Planungsjahr,1,1),2)+9),"")</f>
        <v>5</v>
      </c>
      <c r="G47" s="188"/>
      <c r="H47" s="188"/>
      <c r="I47" s="188">
        <f>IF(MONTH(DATE(Planungsjahr,1,1)-WEEKDAY(DATE(Planungsjahr,1,1),2)+10)=1,DAY(DATE(Planungsjahr,1,1)-WEEKDAY(DATE(Planungsjahr,1,1),2)+10),"")</f>
        <v>6</v>
      </c>
      <c r="J47" s="188"/>
      <c r="K47" s="188"/>
      <c r="L47" s="188">
        <f>IF(MONTH(DATE(Planungsjahr,1,1)-WEEKDAY(DATE(Planungsjahr,1,1),2)+11)=1,DAY(DATE(Planungsjahr,1,1)-WEEKDAY(DATE(Planungsjahr,1,1),2)+11),"")</f>
        <v>7</v>
      </c>
      <c r="M47" s="188"/>
      <c r="N47" s="188"/>
      <c r="O47" s="188">
        <f>IF(MONTH(DATE(Planungsjahr,1,1)-WEEKDAY(DATE(Planungsjahr,1,1),2)+12)=1,DAY(DATE(Planungsjahr,1,1)-WEEKDAY(DATE(Planungsjahr,1,1),2)+12),"")</f>
        <v>8</v>
      </c>
      <c r="P47" s="188"/>
      <c r="Q47" s="188"/>
      <c r="R47" s="188">
        <f>IF(MONTH(DATE(Planungsjahr,1,1)-WEEKDAY(DATE(Planungsjahr,1,1),2)+13)=1,DAY(DATE(Planungsjahr,1,1)-WEEKDAY(DATE(Planungsjahr,1,1),2)+13),"")</f>
        <v>9</v>
      </c>
      <c r="S47" s="188"/>
      <c r="T47" s="188"/>
      <c r="U47" s="188">
        <f>IF(MONTH(DATE(Planungsjahr,1,1)-WEEKDAY(DATE(Planungsjahr,1,1),2)+14)=1,DAY(DATE(Planungsjahr,1,1)-WEEKDAY(DATE(Planungsjahr,1,1),2)+14),"")</f>
        <v>10</v>
      </c>
      <c r="V47" s="188"/>
      <c r="W47" s="189"/>
      <c r="Y47" s="177">
        <f>IF(OR(ISNUMBER(Z47),ISNUMBER(AR47)),_xlfn.ISOWEEKNUM(DATE(Planungsjahr,2,1)-WEEKDAY(DATE(Planungsjahr,2,1),2)+8),"")</f>
        <v>6</v>
      </c>
      <c r="Z47" s="188">
        <f>IF(MONTH(DATE(Planungsjahr,2,1)-WEEKDAY(DATE(Planungsjahr,2,1),2)+8)=2,DAY(DATE(Planungsjahr,2,1)-WEEKDAY(DATE(Planungsjahr,2,1),2)+8),"")</f>
        <v>8</v>
      </c>
      <c r="AA47" s="188"/>
      <c r="AB47" s="188"/>
      <c r="AC47" s="188">
        <f>IF(MONTH(DATE(Planungsjahr,2,1)-WEEKDAY(DATE(Planungsjahr,2,1),2)+9)=2,DAY(DATE(Planungsjahr,2,1)-WEEKDAY(DATE(Planungsjahr,2,1),2)+9),"")</f>
        <v>9</v>
      </c>
      <c r="AD47" s="188"/>
      <c r="AE47" s="188"/>
      <c r="AF47" s="188">
        <f>IF(MONTH(DATE(Planungsjahr,2,1)-WEEKDAY(DATE(Planungsjahr,2,1),2)+10)=2,DAY(DATE(Planungsjahr,2,1)-WEEKDAY(DATE(Planungsjahr,2,1),2)+10),"")</f>
        <v>10</v>
      </c>
      <c r="AG47" s="188"/>
      <c r="AH47" s="188"/>
      <c r="AI47" s="188">
        <f>IF(MONTH(DATE(Planungsjahr,2,1)-WEEKDAY(DATE(Planungsjahr,2,1),2)+11)=2,DAY(DATE(Planungsjahr,2,1)-WEEKDAY(DATE(Planungsjahr,2,1),2)+11),"")</f>
        <v>11</v>
      </c>
      <c r="AJ47" s="188"/>
      <c r="AK47" s="188"/>
      <c r="AL47" s="188">
        <f>IF(MONTH(DATE(Planungsjahr,2,1)-WEEKDAY(DATE(Planungsjahr,2,1),2)+12)=2,DAY(DATE(Planungsjahr,2,1)-WEEKDAY(DATE(Planungsjahr,2,1),2)+12),"")</f>
        <v>12</v>
      </c>
      <c r="AM47" s="188"/>
      <c r="AN47" s="188"/>
      <c r="AO47" s="188">
        <f>IF(MONTH(DATE(Planungsjahr,2,1)-WEEKDAY(DATE(Planungsjahr,2,1),2)+13)=2,DAY(DATE(Planungsjahr,2,1)-WEEKDAY(DATE(Planungsjahr,2,1),2)+13),"")</f>
        <v>13</v>
      </c>
      <c r="AP47" s="188"/>
      <c r="AQ47" s="188"/>
      <c r="AR47" s="188">
        <f>IF(MONTH(DATE(Planungsjahr,2,1)-WEEKDAY(DATE(Planungsjahr,2,1),2)+14)=2,DAY(DATE(Planungsjahr,2,1)-WEEKDAY(DATE(Planungsjahr,2,1),2)+14),"")</f>
        <v>14</v>
      </c>
      <c r="AS47" s="188"/>
      <c r="AT47" s="190"/>
      <c r="AV47" s="177">
        <f>IF(OR(ISNUMBER(AW47),ISNUMBER(BO47)),_xlfn.ISOWEEKNUM(DATE(Planungsjahr,3,1)-WEEKDAY(DATE(Planungsjahr,3,1),2)+8),"")</f>
        <v>10</v>
      </c>
      <c r="AW47" s="188">
        <f>IF(MONTH(DATE(Planungsjahr,3,1)-WEEKDAY(DATE(Planungsjahr,3,1),2)+8)=3,DAY(DATE(Planungsjahr,3,1)-WEEKDAY(DATE(Planungsjahr,3,1),2)+8),"")</f>
        <v>8</v>
      </c>
      <c r="AX47" s="188"/>
      <c r="AY47" s="188"/>
      <c r="AZ47" s="188">
        <f>IF(MONTH(DATE(Planungsjahr,3,1)-WEEKDAY(DATE(Planungsjahr,3,1),2)+9)=3,DAY(DATE(Planungsjahr,3,1)-WEEKDAY(DATE(Planungsjahr,3,1),2)+9),"")</f>
        <v>9</v>
      </c>
      <c r="BA47" s="188"/>
      <c r="BB47" s="188"/>
      <c r="BC47" s="188">
        <f>IF(MONTH(DATE(Planungsjahr,3,1)-WEEKDAY(DATE(Planungsjahr,3,1),2)+10)=3,DAY(DATE(Planungsjahr,3,1)-WEEKDAY(DATE(Planungsjahr,3,1),2)+10),"")</f>
        <v>10</v>
      </c>
      <c r="BD47" s="188"/>
      <c r="BE47" s="188"/>
      <c r="BF47" s="188">
        <f>IF(MONTH(DATE(Planungsjahr,3,1)-WEEKDAY(DATE(Planungsjahr,3,1),2)+11)=3,DAY(DATE(Planungsjahr,3,1)-WEEKDAY(DATE(Planungsjahr,3,1),2)+11),"")</f>
        <v>11</v>
      </c>
      <c r="BG47" s="188"/>
      <c r="BH47" s="188"/>
      <c r="BI47" s="188">
        <f>IF(MONTH(DATE(Planungsjahr,3,1)-WEEKDAY(DATE(Planungsjahr,3,1),2)+12)=3,DAY(DATE(Planungsjahr,3,1)-WEEKDAY(DATE(Planungsjahr,3,1),2)+12),"")</f>
        <v>12</v>
      </c>
      <c r="BJ47" s="188"/>
      <c r="BK47" s="188"/>
      <c r="BL47" s="188">
        <f>IF(MONTH(DATE(Planungsjahr,3,1)-WEEKDAY(DATE(Planungsjahr,3,1),2)+13)=3,DAY(DATE(Planungsjahr,3,1)-WEEKDAY(DATE(Planungsjahr,3,1),2)+13),"")</f>
        <v>13</v>
      </c>
      <c r="BM47" s="188"/>
      <c r="BN47" s="188"/>
      <c r="BO47" s="188">
        <f>IF(MONTH(DATE(Planungsjahr,3,1)-WEEKDAY(DATE(Planungsjahr,3,1),2)+14)=3,DAY(DATE(Planungsjahr,3,1)-WEEKDAY(DATE(Planungsjahr,3,1),2)+14),"")</f>
        <v>14</v>
      </c>
      <c r="BP47" s="188"/>
      <c r="BQ47" s="190"/>
      <c r="BS47" s="177">
        <f>IF(OR(ISNUMBER(BT47),ISNUMBER(CL47)),_xlfn.ISOWEEKNUM(DATE(Planungsjahr,4,1)-WEEKDAY(DATE(Planungsjahr,4,1),2)+8),"")</f>
        <v>14</v>
      </c>
      <c r="BT47" s="188">
        <f>IF(MONTH(DATE(Planungsjahr,4,1)-WEEKDAY(DATE(Planungsjahr,4,1),2)+8)=4,DAY(DATE(Planungsjahr,4,1)-WEEKDAY(DATE(Planungsjahr,4,1),2)+8),"")</f>
        <v>5</v>
      </c>
      <c r="BU47" s="188"/>
      <c r="BV47" s="188"/>
      <c r="BW47" s="188">
        <f>IF(MONTH(DATE(Planungsjahr,4,1)-WEEKDAY(DATE(Planungsjahr,4,1),2)+9)=4,DAY(DATE(Planungsjahr,4,1)-WEEKDAY(DATE(Planungsjahr,4,1),2)+9),"")</f>
        <v>6</v>
      </c>
      <c r="BX47" s="188"/>
      <c r="BY47" s="188"/>
      <c r="BZ47" s="188">
        <f>IF(MONTH(DATE(Planungsjahr,4,1)-WEEKDAY(DATE(Planungsjahr,4,1),2)+10)=4,DAY(DATE(Planungsjahr,4,1)-WEEKDAY(DATE(Planungsjahr,4,1),2)+10),"")</f>
        <v>7</v>
      </c>
      <c r="CA47" s="188"/>
      <c r="CB47" s="188"/>
      <c r="CC47" s="188">
        <f>IF(MONTH(DATE(Planungsjahr,4,1)-WEEKDAY(DATE(Planungsjahr,4,1),2)+11)=4,DAY(DATE(Planungsjahr,4,1)-WEEKDAY(DATE(Planungsjahr,4,1),2)+11),"")</f>
        <v>8</v>
      </c>
      <c r="CD47" s="188"/>
      <c r="CE47" s="188"/>
      <c r="CF47" s="188">
        <f>IF(MONTH(DATE(Planungsjahr,4,1)-WEEKDAY(DATE(Planungsjahr,4,1),2)+12)=4,DAY(DATE(Planungsjahr,4,1)-WEEKDAY(DATE(Planungsjahr,4,1),2)+12),"")</f>
        <v>9</v>
      </c>
      <c r="CG47" s="188"/>
      <c r="CH47" s="188"/>
      <c r="CI47" s="188">
        <f>IF(MONTH(DATE(Planungsjahr,4,1)-WEEKDAY(DATE(Planungsjahr,4,1),2)+13)=4,DAY(DATE(Planungsjahr,4,1)-WEEKDAY(DATE(Planungsjahr,4,1),2)+13),"")</f>
        <v>10</v>
      </c>
      <c r="CJ47" s="188"/>
      <c r="CK47" s="188"/>
      <c r="CL47" s="188">
        <f>IF(MONTH(DATE(Planungsjahr,4,1)-WEEKDAY(DATE(Planungsjahr,4,1),2)+14)=4,DAY(DATE(Planungsjahr,4,1)-WEEKDAY(DATE(Planungsjahr,4,1),2)+14),"")</f>
        <v>11</v>
      </c>
      <c r="CM47" s="188"/>
      <c r="CN47" s="190"/>
    </row>
    <row r="48" spans="2:92" ht="10.5" customHeight="1" x14ac:dyDescent="0.25">
      <c r="B48" s="167"/>
      <c r="C48" s="223">
        <f>IF(ISNUMBER(C47),IFERROR(11-1/(1/SUMPRODUCT(MAX((JP_StartSel=DATE(Planungsjahr,1,C47))*Anzeige_S*((JP_Anzeige=TRUE)+NOT(Filter_Aktiv)&gt;0)*(11-JP_Farbe)))),IF(COUNTIF(Feiertage,DATE(Planungsjahr,1,C47))&gt;0,"h",IF(COUNTIFS(U_Von,"&lt;="&amp;DATE(Planungsjahr,1,C47),U_Bis,"&gt;="&amp;DATE(Planungsjahr,1,C47))&gt;0,"u",""))),"")</f>
      </c>
      <c r="D48" s="224">
        <f>IF(ISNUMBER(C47),IFERROR(21-1/(1/SUMPRODUCT(MAX((JP_StartInhalt=DATE(Planungsjahr,1,C47))*Anzeige_I*((JP_Anzeige=TRUE)+NOT(Filter_Aktiv)&gt;0)*(11-JP_Farbe)))),IF(COUNTIF(Feiertage,DATE(Planungsjahr,1,C47))&gt;0,"h",IF(COUNTIFS(U_Von,"&lt;="&amp;DATE(Planungsjahr,1,C47),U_Bis,"&gt;="&amp;DATE(Planungsjahr,1,C47))&gt;0,"u",""))),"")</f>
      </c>
      <c r="E48" s="225">
        <f>IF(ISNUMBER(C47),IFERROR(31-1/(1/SUMPRODUCT(MAX((JP_PAL=DATE(Planungsjahr,1,C47))*Anzeige_P*((JP_Anzeige=TRUE)+NOT(Filter_Aktiv)&gt;0)*(11-JP_Farbe)))),IF(COUNTIF(Feiertage,DATE(Planungsjahr,1,C47))&gt;0,"h",IF(COUNTIFS(U_Von,"&lt;="&amp;DATE(Planungsjahr,1,C47),U_Bis,"&gt;="&amp;DATE(Planungsjahr,1,C47))&gt;0,"u",""))),"")</f>
      </c>
      <c r="F48" s="223">
        <f>IF(ISNUMBER(F47),IFERROR(11-1/(1/SUMPRODUCT(MAX((JP_StartSel=DATE(Planungsjahr,1,F47))*Anzeige_S*((JP_Anzeige=TRUE)+NOT(Filter_Aktiv)&gt;0)*(11-JP_Farbe)))),IF(COUNTIF(Feiertage,DATE(Planungsjahr,1,F47))&gt;0,"h",IF(COUNTIFS(U_Von,"&lt;="&amp;DATE(Planungsjahr,1,F47),U_Bis,"&gt;="&amp;DATE(Planungsjahr,1,F47))&gt;0,"u",""))),"")</f>
      </c>
      <c r="G48" s="224">
        <f>IF(ISNUMBER(F47),IFERROR(21-1/(1/SUMPRODUCT(MAX((JP_StartInhalt=DATE(Planungsjahr,1,F47))*Anzeige_I*((JP_Anzeige=TRUE)+NOT(Filter_Aktiv)&gt;0)*(11-JP_Farbe)))),IF(COUNTIF(Feiertage,DATE(Planungsjahr,1,F47))&gt;0,"h",IF(COUNTIFS(U_Von,"&lt;="&amp;DATE(Planungsjahr,1,F47),U_Bis,"&gt;="&amp;DATE(Planungsjahr,1,F47))&gt;0,"u",""))),"")</f>
      </c>
      <c r="H48" s="225">
        <f>IF(ISNUMBER(F47),IFERROR(31-1/(1/SUMPRODUCT(MAX((JP_PAL=DATE(Planungsjahr,1,F47))*Anzeige_P*((JP_Anzeige=TRUE)+NOT(Filter_Aktiv)&gt;0)*(11-JP_Farbe)))),IF(COUNTIF(Feiertage,DATE(Planungsjahr,1,F47))&gt;0,"h",IF(COUNTIFS(U_Von,"&lt;="&amp;DATE(Planungsjahr,1,F47),U_Bis,"&gt;="&amp;DATE(Planungsjahr,1,F47))&gt;0,"u",""))),"")</f>
      </c>
      <c r="I48" s="223">
        <f>IF(ISNUMBER(I47),IFERROR(11-1/(1/SUMPRODUCT(MAX((JP_StartSel=DATE(Planungsjahr,1,I47))*Anzeige_S*((JP_Anzeige=TRUE)+NOT(Filter_Aktiv)&gt;0)*(11-JP_Farbe)))),IF(COUNTIF(Feiertage,DATE(Planungsjahr,1,I47))&gt;0,"h",IF(COUNTIFS(U_Von,"&lt;="&amp;DATE(Planungsjahr,1,I47),U_Bis,"&gt;="&amp;DATE(Planungsjahr,1,I47))&gt;0,"u",""))),"")</f>
      </c>
      <c r="J48" s="224">
        <f>IF(ISNUMBER(I47),IFERROR(21-1/(1/SUMPRODUCT(MAX((JP_StartInhalt=DATE(Planungsjahr,1,I47))*Anzeige_I*((JP_Anzeige=TRUE)+NOT(Filter_Aktiv)&gt;0)*(11-JP_Farbe)))),IF(COUNTIF(Feiertage,DATE(Planungsjahr,1,I47))&gt;0,"h",IF(COUNTIFS(U_Von,"&lt;="&amp;DATE(Planungsjahr,1,I47),U_Bis,"&gt;="&amp;DATE(Planungsjahr,1,I47))&gt;0,"u",""))),"")</f>
      </c>
      <c r="K48" s="225">
        <f>IF(ISNUMBER(I47),IFERROR(31-1/(1/SUMPRODUCT(MAX((JP_PAL=DATE(Planungsjahr,1,I47))*Anzeige_P*((JP_Anzeige=TRUE)+NOT(Filter_Aktiv)&gt;0)*(11-JP_Farbe)))),IF(COUNTIF(Feiertage,DATE(Planungsjahr,1,I47))&gt;0,"h",IF(COUNTIFS(U_Von,"&lt;="&amp;DATE(Planungsjahr,1,I47),U_Bis,"&gt;="&amp;DATE(Planungsjahr,1,I47))&gt;0,"u",""))),"")</f>
      </c>
      <c r="L48" s="223">
        <f>IF(ISNUMBER(L47),IFERROR(11-1/(1/SUMPRODUCT(MAX((JP_StartSel=DATE(Planungsjahr,1,L47))*Anzeige_S*((JP_Anzeige=TRUE)+NOT(Filter_Aktiv)&gt;0)*(11-JP_Farbe)))),IF(COUNTIF(Feiertage,DATE(Planungsjahr,1,L47))&gt;0,"h",IF(COUNTIFS(U_Von,"&lt;="&amp;DATE(Planungsjahr,1,L47),U_Bis,"&gt;="&amp;DATE(Planungsjahr,1,L47))&gt;0,"u",""))),"")</f>
      </c>
      <c r="M48" s="224">
        <f>IF(ISNUMBER(L47),IFERROR(21-1/(1/SUMPRODUCT(MAX((JP_StartInhalt=DATE(Planungsjahr,1,L47))*Anzeige_I*((JP_Anzeige=TRUE)+NOT(Filter_Aktiv)&gt;0)*(11-JP_Farbe)))),IF(COUNTIF(Feiertage,DATE(Planungsjahr,1,L47))&gt;0,"h",IF(COUNTIFS(U_Von,"&lt;="&amp;DATE(Planungsjahr,1,L47),U_Bis,"&gt;="&amp;DATE(Planungsjahr,1,L47))&gt;0,"u",""))),"")</f>
      </c>
      <c r="N48" s="225">
        <f>IF(ISNUMBER(L47),IFERROR(31-1/(1/SUMPRODUCT(MAX((JP_PAL=DATE(Planungsjahr,1,L47))*Anzeige_P*((JP_Anzeige=TRUE)+NOT(Filter_Aktiv)&gt;0)*(11-JP_Farbe)))),IF(COUNTIF(Feiertage,DATE(Planungsjahr,1,L47))&gt;0,"h",IF(COUNTIFS(U_Von,"&lt;="&amp;DATE(Planungsjahr,1,L47),U_Bis,"&gt;="&amp;DATE(Planungsjahr,1,L47))&gt;0,"u",""))),"")</f>
      </c>
      <c r="O48" s="223">
        <f>IF(ISNUMBER(O47),IFERROR(11-1/(1/SUMPRODUCT(MAX((JP_StartSel=DATE(Planungsjahr,1,O47))*Anzeige_S*((JP_Anzeige=TRUE)+NOT(Filter_Aktiv)&gt;0)*(11-JP_Farbe)))),IF(COUNTIF(Feiertage,DATE(Planungsjahr,1,O47))&gt;0,"h",IF(COUNTIFS(U_Von,"&lt;="&amp;DATE(Planungsjahr,1,O47),U_Bis,"&gt;="&amp;DATE(Planungsjahr,1,O47))&gt;0,"u",""))),"")</f>
      </c>
      <c r="P48" s="224">
        <f>IF(ISNUMBER(O47),IFERROR(21-1/(1/SUMPRODUCT(MAX((JP_StartInhalt=DATE(Planungsjahr,1,O47))*Anzeige_I*((JP_Anzeige=TRUE)+NOT(Filter_Aktiv)&gt;0)*(11-JP_Farbe)))),IF(COUNTIF(Feiertage,DATE(Planungsjahr,1,O47))&gt;0,"h",IF(COUNTIFS(U_Von,"&lt;="&amp;DATE(Planungsjahr,1,O47),U_Bis,"&gt;="&amp;DATE(Planungsjahr,1,O47))&gt;0,"u",""))),"")</f>
      </c>
      <c r="Q48" s="225">
        <f>IF(ISNUMBER(O47),IFERROR(31-1/(1/SUMPRODUCT(MAX((JP_PAL=DATE(Planungsjahr,1,O47))*Anzeige_P*((JP_Anzeige=TRUE)+NOT(Filter_Aktiv)&gt;0)*(11-JP_Farbe)))),IF(COUNTIF(Feiertage,DATE(Planungsjahr,1,O47))&gt;0,"h",IF(COUNTIFS(U_Von,"&lt;="&amp;DATE(Planungsjahr,1,O47),U_Bis,"&gt;="&amp;DATE(Planungsjahr,1,O47))&gt;0,"u",""))),"")</f>
      </c>
      <c r="R48" s="223">
        <f>IF(ISNUMBER(R47),IFERROR(11-1/(1/SUMPRODUCT(MAX((JP_StartSel=DATE(Planungsjahr,1,R47))*Anzeige_S*((JP_Anzeige=TRUE)+NOT(Filter_Aktiv)&gt;0)*(11-JP_Farbe)))),IF(COUNTIF(Feiertage,DATE(Planungsjahr,1,R47))&gt;0,"h","w")),"")</f>
      </c>
      <c r="S48" s="224">
        <f>IF(ISNUMBER(R47),IFERROR(21-1/(1/SUMPRODUCT(MAX((JP_StartInhalt=DATE(Planungsjahr,1,R47))*Anzeige_I*((JP_Anzeige=TRUE)+NOT(Filter_Aktiv)&gt;0)*(11-JP_Farbe)))),IF(COUNTIF(Feiertage,DATE(Planungsjahr,1,R47))&gt;0,"h","w")),"")</f>
      </c>
      <c r="T48" s="225">
        <f>IF(ISNUMBER(R47),IFERROR(31-1/(1/SUMPRODUCT(MAX((JP_PAL=DATE(Planungsjahr,1,R47))*Anzeige_P*((JP_Anzeige=TRUE)+NOT(Filter_Aktiv)&gt;0)*(11-JP_Farbe)))),IF(COUNTIF(Feiertage,DATE(Planungsjahr,1,R47))&gt;0,"h","w")),"")</f>
      </c>
      <c r="U48" s="223">
        <f>IF(ISNUMBER(U47),IFERROR(11-1/(1/SUMPRODUCT(MAX((JP_StartSel=DATE(Planungsjahr,1,U47))*Anzeige_S*((JP_Anzeige=TRUE)+NOT(Filter_Aktiv)&gt;0)*(11-JP_Farbe)))),IF(COUNTIF(Feiertage,DATE(Planungsjahr,1,U47))&gt;0,"h","w")),"")</f>
      </c>
      <c r="V48" s="224">
        <f>IF(ISNUMBER(U47),IFERROR(21-1/(1/SUMPRODUCT(MAX((JP_StartInhalt=DATE(Planungsjahr,1,U47))*Anzeige_I*((JP_Anzeige=TRUE)+NOT(Filter_Aktiv)&gt;0)*(11-JP_Farbe)))),IF(COUNTIF(Feiertage,DATE(Planungsjahr,1,U47))&gt;0,"h","w")),"")</f>
      </c>
      <c r="W48" s="225">
        <f>IF(ISNUMBER(U47),IFERROR(31-1/(1/SUMPRODUCT(MAX((JP_PAL=DATE(Planungsjahr,1,U47))*Anzeige_P*((JP_Anzeige=TRUE)+NOT(Filter_Aktiv)&gt;0)*(11-JP_Farbe)))),IF(COUNTIF(Feiertage,DATE(Planungsjahr,1,U47))&gt;0,"h","w")),"")</f>
      </c>
      <c r="Y48" s="179"/>
      <c r="Z48" s="223">
        <f>IF(ISNUMBER(Z47),IFERROR(11-1/(1/SUMPRODUCT(MAX((JP_StartSel=DATE(Planungsjahr,2,Z47))*Anzeige_S*((JP_Anzeige=TRUE)+NOT(Filter_Aktiv)&gt;0)*(11-JP_Farbe)))),IF(COUNTIF(Feiertage,DATE(Planungsjahr,2,Z47))&gt;0,"h",IF(COUNTIFS(U_Von,"&lt;="&amp;DATE(Planungsjahr,2,Z47),U_Bis,"&gt;="&amp;DATE(Planungsjahr,2,Z47))&gt;0,"u",""))),"")</f>
      </c>
      <c r="AA48" s="224">
        <f>IF(ISNUMBER(Z47),IFERROR(21-1/(1/SUMPRODUCT(MAX((JP_StartInhalt=DATE(Planungsjahr,2,Z47))*Anzeige_I*((JP_Anzeige=TRUE)+NOT(Filter_Aktiv)&gt;0)*(11-JP_Farbe)))),IF(COUNTIF(Feiertage,DATE(Planungsjahr,2,Z47))&gt;0,"h",IF(COUNTIFS(U_Von,"&lt;="&amp;DATE(Planungsjahr,2,Z47),U_Bis,"&gt;="&amp;DATE(Planungsjahr,2,Z47))&gt;0,"u",""))),"")</f>
      </c>
      <c r="AB48" s="225">
        <f>IF(ISNUMBER(Z47),IFERROR(31-1/(1/SUMPRODUCT(MAX((JP_PAL=DATE(Planungsjahr,2,Z47))*Anzeige_P*((JP_Anzeige=TRUE)+NOT(Filter_Aktiv)&gt;0)*(11-JP_Farbe)))),IF(COUNTIF(Feiertage,DATE(Planungsjahr,2,Z47))&gt;0,"h",IF(COUNTIFS(U_Von,"&lt;="&amp;DATE(Planungsjahr,2,Z47),U_Bis,"&gt;="&amp;DATE(Planungsjahr,2,Z47))&gt;0,"u",""))),"")</f>
      </c>
      <c r="AC48" s="223">
        <f>IF(ISNUMBER(AC47),IFERROR(11-1/(1/SUMPRODUCT(MAX((JP_StartSel=DATE(Planungsjahr,2,AC47))*Anzeige_S*((JP_Anzeige=TRUE)+NOT(Filter_Aktiv)&gt;0)*(11-JP_Farbe)))),IF(COUNTIF(Feiertage,DATE(Planungsjahr,2,AC47))&gt;0,"h",IF(COUNTIFS(U_Von,"&lt;="&amp;DATE(Planungsjahr,2,AC47),U_Bis,"&gt;="&amp;DATE(Planungsjahr,2,AC47))&gt;0,"u",""))),"")</f>
      </c>
      <c r="AD48" s="224">
        <f>IF(ISNUMBER(AC47),IFERROR(21-1/(1/SUMPRODUCT(MAX((JP_StartInhalt=DATE(Planungsjahr,2,AC47))*Anzeige_I*((JP_Anzeige=TRUE)+NOT(Filter_Aktiv)&gt;0)*(11-JP_Farbe)))),IF(COUNTIF(Feiertage,DATE(Planungsjahr,2,AC47))&gt;0,"h",IF(COUNTIFS(U_Von,"&lt;="&amp;DATE(Planungsjahr,2,AC47),U_Bis,"&gt;="&amp;DATE(Planungsjahr,2,AC47))&gt;0,"u",""))),"")</f>
      </c>
      <c r="AE48" s="225">
        <f>IF(ISNUMBER(AC47),IFERROR(31-1/(1/SUMPRODUCT(MAX((JP_PAL=DATE(Planungsjahr,2,AC47))*Anzeige_P*((JP_Anzeige=TRUE)+NOT(Filter_Aktiv)&gt;0)*(11-JP_Farbe)))),IF(COUNTIF(Feiertage,DATE(Planungsjahr,2,AC47))&gt;0,"h",IF(COUNTIFS(U_Von,"&lt;="&amp;DATE(Planungsjahr,2,AC47),U_Bis,"&gt;="&amp;DATE(Planungsjahr,2,AC47))&gt;0,"u",""))),"")</f>
      </c>
      <c r="AF48" s="223">
        <f>IF(ISNUMBER(AF47),IFERROR(11-1/(1/SUMPRODUCT(MAX((JP_StartSel=DATE(Planungsjahr,2,AF47))*Anzeige_S*((JP_Anzeige=TRUE)+NOT(Filter_Aktiv)&gt;0)*(11-JP_Farbe)))),IF(COUNTIF(Feiertage,DATE(Planungsjahr,2,AF47))&gt;0,"h",IF(COUNTIFS(U_Von,"&lt;="&amp;DATE(Planungsjahr,2,AF47),U_Bis,"&gt;="&amp;DATE(Planungsjahr,2,AF47))&gt;0,"u",""))),"")</f>
      </c>
      <c r="AG48" s="224">
        <f>IF(ISNUMBER(AF47),IFERROR(21-1/(1/SUMPRODUCT(MAX((JP_StartInhalt=DATE(Planungsjahr,2,AF47))*Anzeige_I*((JP_Anzeige=TRUE)+NOT(Filter_Aktiv)&gt;0)*(11-JP_Farbe)))),IF(COUNTIF(Feiertage,DATE(Planungsjahr,2,AF47))&gt;0,"h",IF(COUNTIFS(U_Von,"&lt;="&amp;DATE(Planungsjahr,2,AF47),U_Bis,"&gt;="&amp;DATE(Planungsjahr,2,AF47))&gt;0,"u",""))),"")</f>
      </c>
      <c r="AH48" s="225">
        <f>IF(ISNUMBER(AF47),IFERROR(31-1/(1/SUMPRODUCT(MAX((JP_PAL=DATE(Planungsjahr,2,AF47))*Anzeige_P*((JP_Anzeige=TRUE)+NOT(Filter_Aktiv)&gt;0)*(11-JP_Farbe)))),IF(COUNTIF(Feiertage,DATE(Planungsjahr,2,AF47))&gt;0,"h",IF(COUNTIFS(U_Von,"&lt;="&amp;DATE(Planungsjahr,2,AF47),U_Bis,"&gt;="&amp;DATE(Planungsjahr,2,AF47))&gt;0,"u",""))),"")</f>
      </c>
      <c r="AI48" s="223">
        <f>IF(ISNUMBER(AI47),IFERROR(11-1/(1/SUMPRODUCT(MAX((JP_StartSel=DATE(Planungsjahr,2,AI47))*Anzeige_S*((JP_Anzeige=TRUE)+NOT(Filter_Aktiv)&gt;0)*(11-JP_Farbe)))),IF(COUNTIF(Feiertage,DATE(Planungsjahr,2,AI47))&gt;0,"h",IF(COUNTIFS(U_Von,"&lt;="&amp;DATE(Planungsjahr,2,AI47),U_Bis,"&gt;="&amp;DATE(Planungsjahr,2,AI47))&gt;0,"u",""))),"")</f>
      </c>
      <c r="AJ48" s="224">
        <f>IF(ISNUMBER(AI47),IFERROR(21-1/(1/SUMPRODUCT(MAX((JP_StartInhalt=DATE(Planungsjahr,2,AI47))*Anzeige_I*((JP_Anzeige=TRUE)+NOT(Filter_Aktiv)&gt;0)*(11-JP_Farbe)))),IF(COUNTIF(Feiertage,DATE(Planungsjahr,2,AI47))&gt;0,"h",IF(COUNTIFS(U_Von,"&lt;="&amp;DATE(Planungsjahr,2,AI47),U_Bis,"&gt;="&amp;DATE(Planungsjahr,2,AI47))&gt;0,"u",""))),"")</f>
      </c>
      <c r="AK48" s="225">
        <f>IF(ISNUMBER(AI47),IFERROR(31-1/(1/SUMPRODUCT(MAX((JP_PAL=DATE(Planungsjahr,2,AI47))*Anzeige_P*((JP_Anzeige=TRUE)+NOT(Filter_Aktiv)&gt;0)*(11-JP_Farbe)))),IF(COUNTIF(Feiertage,DATE(Planungsjahr,2,AI47))&gt;0,"h",IF(COUNTIFS(U_Von,"&lt;="&amp;DATE(Planungsjahr,2,AI47),U_Bis,"&gt;="&amp;DATE(Planungsjahr,2,AI47))&gt;0,"u",""))),"")</f>
      </c>
      <c r="AL48" s="223">
        <f>IF(ISNUMBER(AL47),IFERROR(11-1/(1/SUMPRODUCT(MAX((JP_StartSel=DATE(Planungsjahr,2,AL47))*Anzeige_S*((JP_Anzeige=TRUE)+NOT(Filter_Aktiv)&gt;0)*(11-JP_Farbe)))),IF(COUNTIF(Feiertage,DATE(Planungsjahr,2,AL47))&gt;0,"h",IF(COUNTIFS(U_Von,"&lt;="&amp;DATE(Planungsjahr,2,AL47),U_Bis,"&gt;="&amp;DATE(Planungsjahr,2,AL47))&gt;0,"u",""))),"")</f>
      </c>
      <c r="AM48" s="224">
        <f>IF(ISNUMBER(AL47),IFERROR(21-1/(1/SUMPRODUCT(MAX((JP_StartInhalt=DATE(Planungsjahr,2,AL47))*Anzeige_I*((JP_Anzeige=TRUE)+NOT(Filter_Aktiv)&gt;0)*(11-JP_Farbe)))),IF(COUNTIF(Feiertage,DATE(Planungsjahr,2,AL47))&gt;0,"h",IF(COUNTIFS(U_Von,"&lt;="&amp;DATE(Planungsjahr,2,AL47),U_Bis,"&gt;="&amp;DATE(Planungsjahr,2,AL47))&gt;0,"u",""))),"")</f>
      </c>
      <c r="AN48" s="225">
        <f>IF(ISNUMBER(AL47),IFERROR(31-1/(1/SUMPRODUCT(MAX((JP_PAL=DATE(Planungsjahr,2,AL47))*Anzeige_P*((JP_Anzeige=TRUE)+NOT(Filter_Aktiv)&gt;0)*(11-JP_Farbe)))),IF(COUNTIF(Feiertage,DATE(Planungsjahr,2,AL47))&gt;0,"h",IF(COUNTIFS(U_Von,"&lt;="&amp;DATE(Planungsjahr,2,AL47),U_Bis,"&gt;="&amp;DATE(Planungsjahr,2,AL47))&gt;0,"u",""))),"")</f>
      </c>
      <c r="AO48" s="223">
        <f>IF(ISNUMBER(AO47),IFERROR(11-1/(1/SUMPRODUCT(MAX((JP_StartSel=DATE(Planungsjahr,2,AO47))*Anzeige_S*((JP_Anzeige=TRUE)+NOT(Filter_Aktiv)&gt;0)*(11-JP_Farbe)))),IF(COUNTIF(Feiertage,DATE(Planungsjahr,2,AO47))&gt;0,"h","w")),"")</f>
      </c>
      <c r="AP48" s="224">
        <f>IF(ISNUMBER(AO47),IFERROR(21-1/(1/SUMPRODUCT(MAX((JP_StartInhalt=DATE(Planungsjahr,2,AO47))*Anzeige_I*((JP_Anzeige=TRUE)+NOT(Filter_Aktiv)&gt;0)*(11-JP_Farbe)))),IF(COUNTIF(Feiertage,DATE(Planungsjahr,2,AO47))&gt;0,"h","w")),"")</f>
      </c>
      <c r="AQ48" s="225">
        <f>IF(ISNUMBER(AO47),IFERROR(31-1/(1/SUMPRODUCT(MAX((JP_PAL=DATE(Planungsjahr,2,AO47))*Anzeige_P*((JP_Anzeige=TRUE)+NOT(Filter_Aktiv)&gt;0)*(11-JP_Farbe)))),IF(COUNTIF(Feiertage,DATE(Planungsjahr,2,AO47))&gt;0,"h","w")),"")</f>
      </c>
      <c r="AR48" s="223">
        <f>IF(ISNUMBER(AR47),IFERROR(11-1/(1/SUMPRODUCT(MAX((JP_StartSel=DATE(Planungsjahr,2,AR47))*Anzeige_S*((JP_Anzeige=TRUE)+NOT(Filter_Aktiv)&gt;0)*(11-JP_Farbe)))),IF(COUNTIF(Feiertage,DATE(Planungsjahr,2,AR47))&gt;0,"h","w")),"")</f>
      </c>
      <c r="AS48" s="224">
        <f>IF(ISNUMBER(AR47),IFERROR(21-1/(1/SUMPRODUCT(MAX((JP_StartInhalt=DATE(Planungsjahr,2,AR47))*Anzeige_I*((JP_Anzeige=TRUE)+NOT(Filter_Aktiv)&gt;0)*(11-JP_Farbe)))),IF(COUNTIF(Feiertage,DATE(Planungsjahr,2,AR47))&gt;0,"h","w")),"")</f>
      </c>
      <c r="AT48" s="225">
        <f>IF(ISNUMBER(AR47),IFERROR(31-1/(1/SUMPRODUCT(MAX((JP_PAL=DATE(Planungsjahr,2,AR47))*Anzeige_P*((JP_Anzeige=TRUE)+NOT(Filter_Aktiv)&gt;0)*(11-JP_Farbe)))),IF(COUNTIF(Feiertage,DATE(Planungsjahr,2,AR47))&gt;0,"h","w")),"")</f>
      </c>
      <c r="AV48" s="179"/>
      <c r="AW48" s="223">
        <f>IF(ISNUMBER(AW47),IFERROR(11-1/(1/SUMPRODUCT(MAX((JP_StartSel=DATE(Planungsjahr,3,AW47))*Anzeige_S*((JP_Anzeige=TRUE)+NOT(Filter_Aktiv)&gt;0)*(11-JP_Farbe)))),IF(COUNTIF(Feiertage,DATE(Planungsjahr,3,AW47))&gt;0,"h",IF(COUNTIFS(U_Von,"&lt;="&amp;DATE(Planungsjahr,3,AW47),U_Bis,"&gt;="&amp;DATE(Planungsjahr,3,AW47))&gt;0,"u",""))),"")</f>
      </c>
      <c r="AX48" s="224">
        <f>IF(ISNUMBER(AW47),IFERROR(21-1/(1/SUMPRODUCT(MAX((JP_StartInhalt=DATE(Planungsjahr,3,AW47))*Anzeige_I*((JP_Anzeige=TRUE)+NOT(Filter_Aktiv)&gt;0)*(11-JP_Farbe)))),IF(COUNTIF(Feiertage,DATE(Planungsjahr,3,AW47))&gt;0,"h",IF(COUNTIFS(U_Von,"&lt;="&amp;DATE(Planungsjahr,3,AW47),U_Bis,"&gt;="&amp;DATE(Planungsjahr,3,AW47))&gt;0,"u",""))),"")</f>
      </c>
      <c r="AY48" s="225">
        <f>IF(ISNUMBER(AW47),IFERROR(31-1/(1/SUMPRODUCT(MAX((JP_PAL=DATE(Planungsjahr,3,AW47))*Anzeige_P*((JP_Anzeige=TRUE)+NOT(Filter_Aktiv)&gt;0)*(11-JP_Farbe)))),IF(COUNTIF(Feiertage,DATE(Planungsjahr,3,AW47))&gt;0,"h",IF(COUNTIFS(U_Von,"&lt;="&amp;DATE(Planungsjahr,3,AW47),U_Bis,"&gt;="&amp;DATE(Planungsjahr,3,AW47))&gt;0,"u",""))),"")</f>
      </c>
      <c r="AZ48" s="223">
        <f>IF(ISNUMBER(AZ47),IFERROR(11-1/(1/SUMPRODUCT(MAX((JP_StartSel=DATE(Planungsjahr,3,AZ47))*Anzeige_S*((JP_Anzeige=TRUE)+NOT(Filter_Aktiv)&gt;0)*(11-JP_Farbe)))),IF(COUNTIF(Feiertage,DATE(Planungsjahr,3,AZ47))&gt;0,"h",IF(COUNTIFS(U_Von,"&lt;="&amp;DATE(Planungsjahr,3,AZ47),U_Bis,"&gt;="&amp;DATE(Planungsjahr,3,AZ47))&gt;0,"u",""))),"")</f>
      </c>
      <c r="BA48" s="224">
        <f>IF(ISNUMBER(AZ47),IFERROR(21-1/(1/SUMPRODUCT(MAX((JP_StartInhalt=DATE(Planungsjahr,3,AZ47))*Anzeige_I*((JP_Anzeige=TRUE)+NOT(Filter_Aktiv)&gt;0)*(11-JP_Farbe)))),IF(COUNTIF(Feiertage,DATE(Planungsjahr,3,AZ47))&gt;0,"h",IF(COUNTIFS(U_Von,"&lt;="&amp;DATE(Planungsjahr,3,AZ47),U_Bis,"&gt;="&amp;DATE(Planungsjahr,3,AZ47))&gt;0,"u",""))),"")</f>
      </c>
      <c r="BB48" s="225">
        <f>IF(ISNUMBER(AZ47),IFERROR(31-1/(1/SUMPRODUCT(MAX((JP_PAL=DATE(Planungsjahr,3,AZ47))*Anzeige_P*((JP_Anzeige=TRUE)+NOT(Filter_Aktiv)&gt;0)*(11-JP_Farbe)))),IF(COUNTIF(Feiertage,DATE(Planungsjahr,3,AZ47))&gt;0,"h",IF(COUNTIFS(U_Von,"&lt;="&amp;DATE(Planungsjahr,3,AZ47),U_Bis,"&gt;="&amp;DATE(Planungsjahr,3,AZ47))&gt;0,"u",""))),"")</f>
      </c>
      <c r="BC48" s="223">
        <f>IF(ISNUMBER(BC47),IFERROR(11-1/(1/SUMPRODUCT(MAX((JP_StartSel=DATE(Planungsjahr,3,BC47))*Anzeige_S*((JP_Anzeige=TRUE)+NOT(Filter_Aktiv)&gt;0)*(11-JP_Farbe)))),IF(COUNTIF(Feiertage,DATE(Planungsjahr,3,BC47))&gt;0,"h",IF(COUNTIFS(U_Von,"&lt;="&amp;DATE(Planungsjahr,3,BC47),U_Bis,"&gt;="&amp;DATE(Planungsjahr,3,BC47))&gt;0,"u",""))),"")</f>
      </c>
      <c r="BD48" s="224">
        <f>IF(ISNUMBER(BC47),IFERROR(21-1/(1/SUMPRODUCT(MAX((JP_StartInhalt=DATE(Planungsjahr,3,BC47))*Anzeige_I*((JP_Anzeige=TRUE)+NOT(Filter_Aktiv)&gt;0)*(11-JP_Farbe)))),IF(COUNTIF(Feiertage,DATE(Planungsjahr,3,BC47))&gt;0,"h",IF(COUNTIFS(U_Von,"&lt;="&amp;DATE(Planungsjahr,3,BC47),U_Bis,"&gt;="&amp;DATE(Planungsjahr,3,BC47))&gt;0,"u",""))),"")</f>
      </c>
      <c r="BE48" s="225">
        <f>IF(ISNUMBER(BC47),IFERROR(31-1/(1/SUMPRODUCT(MAX((JP_PAL=DATE(Planungsjahr,3,BC47))*Anzeige_P*((JP_Anzeige=TRUE)+NOT(Filter_Aktiv)&gt;0)*(11-JP_Farbe)))),IF(COUNTIF(Feiertage,DATE(Planungsjahr,3,BC47))&gt;0,"h",IF(COUNTIFS(U_Von,"&lt;="&amp;DATE(Planungsjahr,3,BC47),U_Bis,"&gt;="&amp;DATE(Planungsjahr,3,BC47))&gt;0,"u",""))),"")</f>
      </c>
      <c r="BF48" s="223">
        <f>IF(ISNUMBER(BF47),IFERROR(11-1/(1/SUMPRODUCT(MAX((JP_StartSel=DATE(Planungsjahr,3,BF47))*Anzeige_S*((JP_Anzeige=TRUE)+NOT(Filter_Aktiv)&gt;0)*(11-JP_Farbe)))),IF(COUNTIF(Feiertage,DATE(Planungsjahr,3,BF47))&gt;0,"h",IF(COUNTIFS(U_Von,"&lt;="&amp;DATE(Planungsjahr,3,BF47),U_Bis,"&gt;="&amp;DATE(Planungsjahr,3,BF47))&gt;0,"u",""))),"")</f>
      </c>
      <c r="BG48" s="224">
        <f>IF(ISNUMBER(BF47),IFERROR(21-1/(1/SUMPRODUCT(MAX((JP_StartInhalt=DATE(Planungsjahr,3,BF47))*Anzeige_I*((JP_Anzeige=TRUE)+NOT(Filter_Aktiv)&gt;0)*(11-JP_Farbe)))),IF(COUNTIF(Feiertage,DATE(Planungsjahr,3,BF47))&gt;0,"h",IF(COUNTIFS(U_Von,"&lt;="&amp;DATE(Planungsjahr,3,BF47),U_Bis,"&gt;="&amp;DATE(Planungsjahr,3,BF47))&gt;0,"u",""))),"")</f>
      </c>
      <c r="BH48" s="225">
        <f>IF(ISNUMBER(BF47),IFERROR(31-1/(1/SUMPRODUCT(MAX((JP_PAL=DATE(Planungsjahr,3,BF47))*Anzeige_P*((JP_Anzeige=TRUE)+NOT(Filter_Aktiv)&gt;0)*(11-JP_Farbe)))),IF(COUNTIF(Feiertage,DATE(Planungsjahr,3,BF47))&gt;0,"h",IF(COUNTIFS(U_Von,"&lt;="&amp;DATE(Planungsjahr,3,BF47),U_Bis,"&gt;="&amp;DATE(Planungsjahr,3,BF47))&gt;0,"u",""))),"")</f>
      </c>
      <c r="BI48" s="223">
        <f>IF(ISNUMBER(BI47),IFERROR(11-1/(1/SUMPRODUCT(MAX((JP_StartSel=DATE(Planungsjahr,3,BI47))*Anzeige_S*((JP_Anzeige=TRUE)+NOT(Filter_Aktiv)&gt;0)*(11-JP_Farbe)))),IF(COUNTIF(Feiertage,DATE(Planungsjahr,3,BI47))&gt;0,"h",IF(COUNTIFS(U_Von,"&lt;="&amp;DATE(Planungsjahr,3,BI47),U_Bis,"&gt;="&amp;DATE(Planungsjahr,3,BI47))&gt;0,"u",""))),"")</f>
      </c>
      <c r="BJ48" s="224">
        <f>IF(ISNUMBER(BI47),IFERROR(21-1/(1/SUMPRODUCT(MAX((JP_StartInhalt=DATE(Planungsjahr,3,BI47))*Anzeige_I*((JP_Anzeige=TRUE)+NOT(Filter_Aktiv)&gt;0)*(11-JP_Farbe)))),IF(COUNTIF(Feiertage,DATE(Planungsjahr,3,BI47))&gt;0,"h",IF(COUNTIFS(U_Von,"&lt;="&amp;DATE(Planungsjahr,3,BI47),U_Bis,"&gt;="&amp;DATE(Planungsjahr,3,BI47))&gt;0,"u",""))),"")</f>
      </c>
      <c r="BK48" s="225">
        <f>IF(ISNUMBER(BI47),IFERROR(31-1/(1/SUMPRODUCT(MAX((JP_PAL=DATE(Planungsjahr,3,BI47))*Anzeige_P*((JP_Anzeige=TRUE)+NOT(Filter_Aktiv)&gt;0)*(11-JP_Farbe)))),IF(COUNTIF(Feiertage,DATE(Planungsjahr,3,BI47))&gt;0,"h",IF(COUNTIFS(U_Von,"&lt;="&amp;DATE(Planungsjahr,3,BI47),U_Bis,"&gt;="&amp;DATE(Planungsjahr,3,BI47))&gt;0,"u",""))),"")</f>
      </c>
      <c r="BL48" s="223">
        <f>IF(ISNUMBER(BL47),IFERROR(11-1/(1/SUMPRODUCT(MAX((JP_StartSel=DATE(Planungsjahr,3,BL47))*Anzeige_S*((JP_Anzeige=TRUE)+NOT(Filter_Aktiv)&gt;0)*(11-JP_Farbe)))),IF(COUNTIF(Feiertage,DATE(Planungsjahr,3,BL47))&gt;0,"h","w")),"")</f>
      </c>
      <c r="BM48" s="224">
        <f>IF(ISNUMBER(BL47),IFERROR(21-1/(1/SUMPRODUCT(MAX((JP_StartInhalt=DATE(Planungsjahr,3,BL47))*Anzeige_I*((JP_Anzeige=TRUE)+NOT(Filter_Aktiv)&gt;0)*(11-JP_Farbe)))),IF(COUNTIF(Feiertage,DATE(Planungsjahr,3,BL47))&gt;0,"h","w")),"")</f>
      </c>
      <c r="BN48" s="225">
        <f>IF(ISNUMBER(BL47),IFERROR(31-1/(1/SUMPRODUCT(MAX((JP_PAL=DATE(Planungsjahr,3,BL47))*Anzeige_P*((JP_Anzeige=TRUE)+NOT(Filter_Aktiv)&gt;0)*(11-JP_Farbe)))),IF(COUNTIF(Feiertage,DATE(Planungsjahr,3,BL47))&gt;0,"h","w")),"")</f>
      </c>
      <c r="BO48" s="223">
        <f>IF(ISNUMBER(BO47),IFERROR(11-1/(1/SUMPRODUCT(MAX((JP_StartSel=DATE(Planungsjahr,3,BO47))*Anzeige_S*((JP_Anzeige=TRUE)+NOT(Filter_Aktiv)&gt;0)*(11-JP_Farbe)))),IF(COUNTIF(Feiertage,DATE(Planungsjahr,3,BO47))&gt;0,"h","w")),"")</f>
      </c>
      <c r="BP48" s="224">
        <f>IF(ISNUMBER(BO47),IFERROR(21-1/(1/SUMPRODUCT(MAX((JP_StartInhalt=DATE(Planungsjahr,3,BO47))*Anzeige_I*((JP_Anzeige=TRUE)+NOT(Filter_Aktiv)&gt;0)*(11-JP_Farbe)))),IF(COUNTIF(Feiertage,DATE(Planungsjahr,3,BO47))&gt;0,"h","w")),"")</f>
      </c>
      <c r="BQ48" s="225">
        <f>IF(ISNUMBER(BO47),IFERROR(31-1/(1/SUMPRODUCT(MAX((JP_PAL=DATE(Planungsjahr,3,BO47))*Anzeige_P*((JP_Anzeige=TRUE)+NOT(Filter_Aktiv)&gt;0)*(11-JP_Farbe)))),IF(COUNTIF(Feiertage,DATE(Planungsjahr,3,BO47))&gt;0,"h","w")),"")</f>
      </c>
      <c r="BS48" s="179"/>
      <c r="BT48" s="223">
        <f>IF(ISNUMBER(BT47),IFERROR(11-1/(1/SUMPRODUCT(MAX((JP_StartSel=DATE(Planungsjahr,4,BT47))*Anzeige_S*((JP_Anzeige=TRUE)+NOT(Filter_Aktiv)&gt;0)*(11-JP_Farbe)))),IF(COUNTIF(Feiertage,DATE(Planungsjahr,4,BT47))&gt;0,"h",IF(COUNTIFS(U_Von,"&lt;="&amp;DATE(Planungsjahr,4,BT47),U_Bis,"&gt;="&amp;DATE(Planungsjahr,4,BT47))&gt;0,"u",""))),"")</f>
      </c>
      <c r="BU48" s="224">
        <f>IF(ISNUMBER(BT47),IFERROR(21-1/(1/SUMPRODUCT(MAX((JP_StartInhalt=DATE(Planungsjahr,4,BT47))*Anzeige_I*((JP_Anzeige=TRUE)+NOT(Filter_Aktiv)&gt;0)*(11-JP_Farbe)))),IF(COUNTIF(Feiertage,DATE(Planungsjahr,4,BT47))&gt;0,"h",IF(COUNTIFS(U_Von,"&lt;="&amp;DATE(Planungsjahr,4,BT47),U_Bis,"&gt;="&amp;DATE(Planungsjahr,4,BT47))&gt;0,"u",""))),"")</f>
      </c>
      <c r="BV48" s="225">
        <f>IF(ISNUMBER(BT47),IFERROR(31-1/(1/SUMPRODUCT(MAX((JP_PAL=DATE(Planungsjahr,4,BT47))*Anzeige_P*((JP_Anzeige=TRUE)+NOT(Filter_Aktiv)&gt;0)*(11-JP_Farbe)))),IF(COUNTIF(Feiertage,DATE(Planungsjahr,4,BT47))&gt;0,"h",IF(COUNTIFS(U_Von,"&lt;="&amp;DATE(Planungsjahr,4,BT47),U_Bis,"&gt;="&amp;DATE(Planungsjahr,4,BT47))&gt;0,"u",""))),"")</f>
      </c>
      <c r="BW48" s="223">
        <f>IF(ISNUMBER(BW47),IFERROR(11-1/(1/SUMPRODUCT(MAX((JP_StartSel=DATE(Planungsjahr,4,BW47))*Anzeige_S*((JP_Anzeige=TRUE)+NOT(Filter_Aktiv)&gt;0)*(11-JP_Farbe)))),IF(COUNTIF(Feiertage,DATE(Planungsjahr,4,BW47))&gt;0,"h",IF(COUNTIFS(U_Von,"&lt;="&amp;DATE(Planungsjahr,4,BW47),U_Bis,"&gt;="&amp;DATE(Planungsjahr,4,BW47))&gt;0,"u",""))),"")</f>
      </c>
      <c r="BX48" s="224">
        <f>IF(ISNUMBER(BW47),IFERROR(21-1/(1/SUMPRODUCT(MAX((JP_StartInhalt=DATE(Planungsjahr,4,BW47))*Anzeige_I*((JP_Anzeige=TRUE)+NOT(Filter_Aktiv)&gt;0)*(11-JP_Farbe)))),IF(COUNTIF(Feiertage,DATE(Planungsjahr,4,BW47))&gt;0,"h",IF(COUNTIFS(U_Von,"&lt;="&amp;DATE(Planungsjahr,4,BW47),U_Bis,"&gt;="&amp;DATE(Planungsjahr,4,BW47))&gt;0,"u",""))),"")</f>
      </c>
      <c r="BY48" s="225">
        <f>IF(ISNUMBER(BW47),IFERROR(31-1/(1/SUMPRODUCT(MAX((JP_PAL=DATE(Planungsjahr,4,BW47))*Anzeige_P*((JP_Anzeige=TRUE)+NOT(Filter_Aktiv)&gt;0)*(11-JP_Farbe)))),IF(COUNTIF(Feiertage,DATE(Planungsjahr,4,BW47))&gt;0,"h",IF(COUNTIFS(U_Von,"&lt;="&amp;DATE(Planungsjahr,4,BW47),U_Bis,"&gt;="&amp;DATE(Planungsjahr,4,BW47))&gt;0,"u",""))),"")</f>
      </c>
      <c r="BZ48" s="223">
        <f>IF(ISNUMBER(BZ47),IFERROR(11-1/(1/SUMPRODUCT(MAX((JP_StartSel=DATE(Planungsjahr,4,BZ47))*Anzeige_S*((JP_Anzeige=TRUE)+NOT(Filter_Aktiv)&gt;0)*(11-JP_Farbe)))),IF(COUNTIF(Feiertage,DATE(Planungsjahr,4,BZ47))&gt;0,"h",IF(COUNTIFS(U_Von,"&lt;="&amp;DATE(Planungsjahr,4,BZ47),U_Bis,"&gt;="&amp;DATE(Planungsjahr,4,BZ47))&gt;0,"u",""))),"")</f>
      </c>
      <c r="CA48" s="224">
        <f>IF(ISNUMBER(BZ47),IFERROR(21-1/(1/SUMPRODUCT(MAX((JP_StartInhalt=DATE(Planungsjahr,4,BZ47))*Anzeige_I*((JP_Anzeige=TRUE)+NOT(Filter_Aktiv)&gt;0)*(11-JP_Farbe)))),IF(COUNTIF(Feiertage,DATE(Planungsjahr,4,BZ47))&gt;0,"h",IF(COUNTIFS(U_Von,"&lt;="&amp;DATE(Planungsjahr,4,BZ47),U_Bis,"&gt;="&amp;DATE(Planungsjahr,4,BZ47))&gt;0,"u",""))),"")</f>
      </c>
      <c r="CB48" s="225">
        <f>IF(ISNUMBER(BZ47),IFERROR(31-1/(1/SUMPRODUCT(MAX((JP_PAL=DATE(Planungsjahr,4,BZ47))*Anzeige_P*((JP_Anzeige=TRUE)+NOT(Filter_Aktiv)&gt;0)*(11-JP_Farbe)))),IF(COUNTIF(Feiertage,DATE(Planungsjahr,4,BZ47))&gt;0,"h",IF(COUNTIFS(U_Von,"&lt;="&amp;DATE(Planungsjahr,4,BZ47),U_Bis,"&gt;="&amp;DATE(Planungsjahr,4,BZ47))&gt;0,"u",""))),"")</f>
      </c>
      <c r="CC48" s="223">
        <f>IF(ISNUMBER(CC47),IFERROR(11-1/(1/SUMPRODUCT(MAX((JP_StartSel=DATE(Planungsjahr,4,CC47))*Anzeige_S*((JP_Anzeige=TRUE)+NOT(Filter_Aktiv)&gt;0)*(11-JP_Farbe)))),IF(COUNTIF(Feiertage,DATE(Planungsjahr,4,CC47))&gt;0,"h",IF(COUNTIFS(U_Von,"&lt;="&amp;DATE(Planungsjahr,4,CC47),U_Bis,"&gt;="&amp;DATE(Planungsjahr,4,CC47))&gt;0,"u",""))),"")</f>
      </c>
      <c r="CD48" s="224">
        <f>IF(ISNUMBER(CC47),IFERROR(21-1/(1/SUMPRODUCT(MAX((JP_StartInhalt=DATE(Planungsjahr,4,CC47))*Anzeige_I*((JP_Anzeige=TRUE)+NOT(Filter_Aktiv)&gt;0)*(11-JP_Farbe)))),IF(COUNTIF(Feiertage,DATE(Planungsjahr,4,CC47))&gt;0,"h",IF(COUNTIFS(U_Von,"&lt;="&amp;DATE(Planungsjahr,4,CC47),U_Bis,"&gt;="&amp;DATE(Planungsjahr,4,CC47))&gt;0,"u",""))),"")</f>
      </c>
      <c r="CE48" s="225">
        <f>IF(ISNUMBER(CC47),IFERROR(31-1/(1/SUMPRODUCT(MAX((JP_PAL=DATE(Planungsjahr,4,CC47))*Anzeige_P*((JP_Anzeige=TRUE)+NOT(Filter_Aktiv)&gt;0)*(11-JP_Farbe)))),IF(COUNTIF(Feiertage,DATE(Planungsjahr,4,CC47))&gt;0,"h",IF(COUNTIFS(U_Von,"&lt;="&amp;DATE(Planungsjahr,4,CC47),U_Bis,"&gt;="&amp;DATE(Planungsjahr,4,CC47))&gt;0,"u",""))),"")</f>
      </c>
      <c r="CF48" s="223">
        <f>IF(ISNUMBER(CF47),IFERROR(11-1/(1/SUMPRODUCT(MAX((JP_StartSel=DATE(Planungsjahr,4,CF47))*Anzeige_S*((JP_Anzeige=TRUE)+NOT(Filter_Aktiv)&gt;0)*(11-JP_Farbe)))),IF(COUNTIF(Feiertage,DATE(Planungsjahr,4,CF47))&gt;0,"h",IF(COUNTIFS(U_Von,"&lt;="&amp;DATE(Planungsjahr,4,CF47),U_Bis,"&gt;="&amp;DATE(Planungsjahr,4,CF47))&gt;0,"u",""))),"")</f>
      </c>
      <c r="CG48" s="224">
        <f>IF(ISNUMBER(CF47),IFERROR(21-1/(1/SUMPRODUCT(MAX((JP_StartInhalt=DATE(Planungsjahr,4,CF47))*Anzeige_I*((JP_Anzeige=TRUE)+NOT(Filter_Aktiv)&gt;0)*(11-JP_Farbe)))),IF(COUNTIF(Feiertage,DATE(Planungsjahr,4,CF47))&gt;0,"h",IF(COUNTIFS(U_Von,"&lt;="&amp;DATE(Planungsjahr,4,CF47),U_Bis,"&gt;="&amp;DATE(Planungsjahr,4,CF47))&gt;0,"u",""))),"")</f>
      </c>
      <c r="CH48" s="225">
        <f>IF(ISNUMBER(CF47),IFERROR(31-1/(1/SUMPRODUCT(MAX((JP_PAL=DATE(Planungsjahr,4,CF47))*Anzeige_P*((JP_Anzeige=TRUE)+NOT(Filter_Aktiv)&gt;0)*(11-JP_Farbe)))),IF(COUNTIF(Feiertage,DATE(Planungsjahr,4,CF47))&gt;0,"h",IF(COUNTIFS(U_Von,"&lt;="&amp;DATE(Planungsjahr,4,CF47),U_Bis,"&gt;="&amp;DATE(Planungsjahr,4,CF47))&gt;0,"u",""))),"")</f>
      </c>
      <c r="CI48" s="223">
        <f>IF(ISNUMBER(CI47),IFERROR(11-1/(1/SUMPRODUCT(MAX((JP_StartSel=DATE(Planungsjahr,4,CI47))*Anzeige_S*((JP_Anzeige=TRUE)+NOT(Filter_Aktiv)&gt;0)*(11-JP_Farbe)))),IF(COUNTIF(Feiertage,DATE(Planungsjahr,4,CI47))&gt;0,"h","w")),"")</f>
      </c>
      <c r="CJ48" s="224">
        <f>IF(ISNUMBER(CI47),IFERROR(21-1/(1/SUMPRODUCT(MAX((JP_StartInhalt=DATE(Planungsjahr,4,CI47))*Anzeige_I*((JP_Anzeige=TRUE)+NOT(Filter_Aktiv)&gt;0)*(11-JP_Farbe)))),IF(COUNTIF(Feiertage,DATE(Planungsjahr,4,CI47))&gt;0,"h","w")),"")</f>
      </c>
      <c r="CK48" s="225">
        <f>IF(ISNUMBER(CI47),IFERROR(31-1/(1/SUMPRODUCT(MAX((JP_PAL=DATE(Planungsjahr,4,CI47))*Anzeige_P*((JP_Anzeige=TRUE)+NOT(Filter_Aktiv)&gt;0)*(11-JP_Farbe)))),IF(COUNTIF(Feiertage,DATE(Planungsjahr,4,CI47))&gt;0,"h","w")),"")</f>
      </c>
      <c r="CL48" s="223">
        <f>IF(ISNUMBER(CL47),IFERROR(11-1/(1/SUMPRODUCT(MAX((JP_StartSel=DATE(Planungsjahr,4,CL47))*Anzeige_S*((JP_Anzeige=TRUE)+NOT(Filter_Aktiv)&gt;0)*(11-JP_Farbe)))),IF(COUNTIF(Feiertage,DATE(Planungsjahr,4,CL47))&gt;0,"h","w")),"")</f>
      </c>
      <c r="CM48" s="224">
        <f>IF(ISNUMBER(CL47),IFERROR(21-1/(1/SUMPRODUCT(MAX((JP_StartInhalt=DATE(Planungsjahr,4,CL47))*Anzeige_I*((JP_Anzeige=TRUE)+NOT(Filter_Aktiv)&gt;0)*(11-JP_Farbe)))),IF(COUNTIF(Feiertage,DATE(Planungsjahr,4,CL47))&gt;0,"h","w")),"")</f>
      </c>
      <c r="CN48" s="225">
        <f>IF(ISNUMBER(CL47),IFERROR(31-1/(1/SUMPRODUCT(MAX((JP_PAL=DATE(Planungsjahr,4,CL47))*Anzeige_P*((JP_Anzeige=TRUE)+NOT(Filter_Aktiv)&gt;0)*(11-JP_Farbe)))),IF(COUNTIF(Feiertage,DATE(Planungsjahr,4,CL47))&gt;0,"h","w")),"")</f>
      </c>
    </row>
    <row r="49" spans="2:92" ht="15.95" customHeight="1" x14ac:dyDescent="0.25">
      <c r="B49" s="165">
        <f>IF(OR(ISNUMBER(C49),ISNUMBER(U49)),_xlfn.ISOWEEKNUM(DATE(Planungsjahr,1,1)-WEEKDAY(DATE(Planungsjahr,1,1),2)+15),"")</f>
        <v>2</v>
      </c>
      <c r="C49" s="188">
        <f>IF(MONTH(DATE(Planungsjahr,1,1)-WEEKDAY(DATE(Planungsjahr,1,1),2)+15)=1,DAY(DATE(Planungsjahr,1,1)-WEEKDAY(DATE(Planungsjahr,1,1),2)+15),"")</f>
        <v>11</v>
      </c>
      <c r="D49" s="188"/>
      <c r="E49" s="188"/>
      <c r="F49" s="188">
        <f>IF(MONTH(DATE(Planungsjahr,1,1)-WEEKDAY(DATE(Planungsjahr,1,1),2)+16)=1,DAY(DATE(Planungsjahr,1,1)-WEEKDAY(DATE(Planungsjahr,1,1),2)+16),"")</f>
        <v>12</v>
      </c>
      <c r="G49" s="188"/>
      <c r="H49" s="188"/>
      <c r="I49" s="188">
        <f>IF(MONTH(DATE(Planungsjahr,1,1)-WEEKDAY(DATE(Planungsjahr,1,1),2)+17)=1,DAY(DATE(Planungsjahr,1,1)-WEEKDAY(DATE(Planungsjahr,1,1),2)+17),"")</f>
        <v>13</v>
      </c>
      <c r="J49" s="188"/>
      <c r="K49" s="188"/>
      <c r="L49" s="188">
        <f>IF(MONTH(DATE(Planungsjahr,1,1)-WEEKDAY(DATE(Planungsjahr,1,1),2)+18)=1,DAY(DATE(Planungsjahr,1,1)-WEEKDAY(DATE(Planungsjahr,1,1),2)+18),"")</f>
        <v>14</v>
      </c>
      <c r="M49" s="188"/>
      <c r="N49" s="188"/>
      <c r="O49" s="188">
        <f>IF(MONTH(DATE(Planungsjahr,1,1)-WEEKDAY(DATE(Planungsjahr,1,1),2)+19)=1,DAY(DATE(Planungsjahr,1,1)-WEEKDAY(DATE(Planungsjahr,1,1),2)+19),"")</f>
        <v>15</v>
      </c>
      <c r="P49" s="188"/>
      <c r="Q49" s="188"/>
      <c r="R49" s="188">
        <f>IF(MONTH(DATE(Planungsjahr,1,1)-WEEKDAY(DATE(Planungsjahr,1,1),2)+20)=1,DAY(DATE(Planungsjahr,1,1)-WEEKDAY(DATE(Planungsjahr,1,1),2)+20),"")</f>
        <v>16</v>
      </c>
      <c r="S49" s="188"/>
      <c r="T49" s="188"/>
      <c r="U49" s="188">
        <f>IF(MONTH(DATE(Planungsjahr,1,1)-WEEKDAY(DATE(Planungsjahr,1,1),2)+21)=1,DAY(DATE(Planungsjahr,1,1)-WEEKDAY(DATE(Planungsjahr,1,1),2)+21),"")</f>
        <v>17</v>
      </c>
      <c r="V49" s="188"/>
      <c r="W49" s="189"/>
      <c r="Y49" s="177">
        <f>IF(OR(ISNUMBER(Z49),ISNUMBER(AR49)),_xlfn.ISOWEEKNUM(DATE(Planungsjahr,2,1)-WEEKDAY(DATE(Planungsjahr,2,1),2)+15),"")</f>
        <v>7</v>
      </c>
      <c r="Z49" s="188">
        <f>IF(MONTH(DATE(Planungsjahr,2,1)-WEEKDAY(DATE(Planungsjahr,2,1),2)+15)=2,DAY(DATE(Planungsjahr,2,1)-WEEKDAY(DATE(Planungsjahr,2,1),2)+15),"")</f>
        <v>15</v>
      </c>
      <c r="AA49" s="188"/>
      <c r="AB49" s="188"/>
      <c r="AC49" s="188">
        <f>IF(MONTH(DATE(Planungsjahr,2,1)-WEEKDAY(DATE(Planungsjahr,2,1),2)+16)=2,DAY(DATE(Planungsjahr,2,1)-WEEKDAY(DATE(Planungsjahr,2,1),2)+16),"")</f>
        <v>16</v>
      </c>
      <c r="AD49" s="188"/>
      <c r="AE49" s="188"/>
      <c r="AF49" s="188">
        <f>IF(MONTH(DATE(Planungsjahr,2,1)-WEEKDAY(DATE(Planungsjahr,2,1),2)+17)=2,DAY(DATE(Planungsjahr,2,1)-WEEKDAY(DATE(Planungsjahr,2,1),2)+17),"")</f>
        <v>17</v>
      </c>
      <c r="AG49" s="188"/>
      <c r="AH49" s="188"/>
      <c r="AI49" s="188">
        <f>IF(MONTH(DATE(Planungsjahr,2,1)-WEEKDAY(DATE(Planungsjahr,2,1),2)+18)=2,DAY(DATE(Planungsjahr,2,1)-WEEKDAY(DATE(Planungsjahr,2,1),2)+18),"")</f>
        <v>18</v>
      </c>
      <c r="AJ49" s="188"/>
      <c r="AK49" s="188"/>
      <c r="AL49" s="188">
        <f>IF(MONTH(DATE(Planungsjahr,2,1)-WEEKDAY(DATE(Planungsjahr,2,1),2)+19)=2,DAY(DATE(Planungsjahr,2,1)-WEEKDAY(DATE(Planungsjahr,2,1),2)+19),"")</f>
        <v>19</v>
      </c>
      <c r="AM49" s="188"/>
      <c r="AN49" s="188"/>
      <c r="AO49" s="188">
        <f>IF(MONTH(DATE(Planungsjahr,2,1)-WEEKDAY(DATE(Planungsjahr,2,1),2)+20)=2,DAY(DATE(Planungsjahr,2,1)-WEEKDAY(DATE(Planungsjahr,2,1),2)+20),"")</f>
        <v>20</v>
      </c>
      <c r="AP49" s="188"/>
      <c r="AQ49" s="188"/>
      <c r="AR49" s="188">
        <f>IF(MONTH(DATE(Planungsjahr,2,1)-WEEKDAY(DATE(Planungsjahr,2,1),2)+21)=2,DAY(DATE(Planungsjahr,2,1)-WEEKDAY(DATE(Planungsjahr,2,1),2)+21),"")</f>
        <v>21</v>
      </c>
      <c r="AS49" s="188"/>
      <c r="AT49" s="190"/>
      <c r="AV49" s="177">
        <f>IF(OR(ISNUMBER(AW49),ISNUMBER(BO49)),_xlfn.ISOWEEKNUM(DATE(Planungsjahr,3,1)-WEEKDAY(DATE(Planungsjahr,3,1),2)+15),"")</f>
        <v>11</v>
      </c>
      <c r="AW49" s="188">
        <f>IF(MONTH(DATE(Planungsjahr,3,1)-WEEKDAY(DATE(Planungsjahr,3,1),2)+15)=3,DAY(DATE(Planungsjahr,3,1)-WEEKDAY(DATE(Planungsjahr,3,1),2)+15),"")</f>
        <v>15</v>
      </c>
      <c r="AX49" s="188"/>
      <c r="AY49" s="188"/>
      <c r="AZ49" s="188">
        <f>IF(MONTH(DATE(Planungsjahr,3,1)-WEEKDAY(DATE(Planungsjahr,3,1),2)+16)=3,DAY(DATE(Planungsjahr,3,1)-WEEKDAY(DATE(Planungsjahr,3,1),2)+16),"")</f>
        <v>16</v>
      </c>
      <c r="BA49" s="188"/>
      <c r="BB49" s="188"/>
      <c r="BC49" s="188">
        <f>IF(MONTH(DATE(Planungsjahr,3,1)-WEEKDAY(DATE(Planungsjahr,3,1),2)+17)=3,DAY(DATE(Planungsjahr,3,1)-WEEKDAY(DATE(Planungsjahr,3,1),2)+17),"")</f>
        <v>17</v>
      </c>
      <c r="BD49" s="188"/>
      <c r="BE49" s="188"/>
      <c r="BF49" s="188">
        <f>IF(MONTH(DATE(Planungsjahr,3,1)-WEEKDAY(DATE(Planungsjahr,3,1),2)+18)=3,DAY(DATE(Planungsjahr,3,1)-WEEKDAY(DATE(Planungsjahr,3,1),2)+18),"")</f>
        <v>18</v>
      </c>
      <c r="BG49" s="188"/>
      <c r="BH49" s="188"/>
      <c r="BI49" s="188">
        <f>IF(MONTH(DATE(Planungsjahr,3,1)-WEEKDAY(DATE(Planungsjahr,3,1),2)+19)=3,DAY(DATE(Planungsjahr,3,1)-WEEKDAY(DATE(Planungsjahr,3,1),2)+19),"")</f>
        <v>19</v>
      </c>
      <c r="BJ49" s="188"/>
      <c r="BK49" s="188"/>
      <c r="BL49" s="188">
        <f>IF(MONTH(DATE(Planungsjahr,3,1)-WEEKDAY(DATE(Planungsjahr,3,1),2)+20)=3,DAY(DATE(Planungsjahr,3,1)-WEEKDAY(DATE(Planungsjahr,3,1),2)+20),"")</f>
        <v>20</v>
      </c>
      <c r="BM49" s="188"/>
      <c r="BN49" s="188"/>
      <c r="BO49" s="188">
        <f>IF(MONTH(DATE(Planungsjahr,3,1)-WEEKDAY(DATE(Planungsjahr,3,1),2)+21)=3,DAY(DATE(Planungsjahr,3,1)-WEEKDAY(DATE(Planungsjahr,3,1),2)+21),"")</f>
        <v>21</v>
      </c>
      <c r="BP49" s="188"/>
      <c r="BQ49" s="190"/>
      <c r="BS49" s="177">
        <f>IF(OR(ISNUMBER(BT49),ISNUMBER(CL49)),_xlfn.ISOWEEKNUM(DATE(Planungsjahr,4,1)-WEEKDAY(DATE(Planungsjahr,4,1),2)+15),"")</f>
        <v>15</v>
      </c>
      <c r="BT49" s="188">
        <f>IF(MONTH(DATE(Planungsjahr,4,1)-WEEKDAY(DATE(Planungsjahr,4,1),2)+15)=4,DAY(DATE(Planungsjahr,4,1)-WEEKDAY(DATE(Planungsjahr,4,1),2)+15),"")</f>
        <v>12</v>
      </c>
      <c r="BU49" s="188"/>
      <c r="BV49" s="188"/>
      <c r="BW49" s="188">
        <f>IF(MONTH(DATE(Planungsjahr,4,1)-WEEKDAY(DATE(Planungsjahr,4,1),2)+16)=4,DAY(DATE(Planungsjahr,4,1)-WEEKDAY(DATE(Planungsjahr,4,1),2)+16),"")</f>
        <v>13</v>
      </c>
      <c r="BX49" s="188"/>
      <c r="BY49" s="188"/>
      <c r="BZ49" s="188">
        <f>IF(MONTH(DATE(Planungsjahr,4,1)-WEEKDAY(DATE(Planungsjahr,4,1),2)+17)=4,DAY(DATE(Planungsjahr,4,1)-WEEKDAY(DATE(Planungsjahr,4,1),2)+17),"")</f>
        <v>14</v>
      </c>
      <c r="CA49" s="188"/>
      <c r="CB49" s="188"/>
      <c r="CC49" s="188">
        <f>IF(MONTH(DATE(Planungsjahr,4,1)-WEEKDAY(DATE(Planungsjahr,4,1),2)+18)=4,DAY(DATE(Planungsjahr,4,1)-WEEKDAY(DATE(Planungsjahr,4,1),2)+18),"")</f>
        <v>15</v>
      </c>
      <c r="CD49" s="188"/>
      <c r="CE49" s="188"/>
      <c r="CF49" s="188">
        <f>IF(MONTH(DATE(Planungsjahr,4,1)-WEEKDAY(DATE(Planungsjahr,4,1),2)+19)=4,DAY(DATE(Planungsjahr,4,1)-WEEKDAY(DATE(Planungsjahr,4,1),2)+19),"")</f>
        <v>16</v>
      </c>
      <c r="CG49" s="188"/>
      <c r="CH49" s="188"/>
      <c r="CI49" s="188">
        <f>IF(MONTH(DATE(Planungsjahr,4,1)-WEEKDAY(DATE(Planungsjahr,4,1),2)+20)=4,DAY(DATE(Planungsjahr,4,1)-WEEKDAY(DATE(Planungsjahr,4,1),2)+20),"")</f>
        <v>17</v>
      </c>
      <c r="CJ49" s="188"/>
      <c r="CK49" s="188"/>
      <c r="CL49" s="188">
        <f>IF(MONTH(DATE(Planungsjahr,4,1)-WEEKDAY(DATE(Planungsjahr,4,1),2)+21)=4,DAY(DATE(Planungsjahr,4,1)-WEEKDAY(DATE(Planungsjahr,4,1),2)+21),"")</f>
        <v>18</v>
      </c>
      <c r="CM49" s="188"/>
      <c r="CN49" s="190"/>
    </row>
    <row r="50" spans="2:92" ht="10.5" customHeight="1" x14ac:dyDescent="0.25">
      <c r="B50" s="167"/>
      <c r="C50" s="223">
        <f>IF(ISNUMBER(C49),IFERROR(11-1/(1/SUMPRODUCT(MAX((JP_StartSel=DATE(Planungsjahr,1,C49))*Anzeige_S*((JP_Anzeige=TRUE)+NOT(Filter_Aktiv)&gt;0)*(11-JP_Farbe)))),IF(COUNTIF(Feiertage,DATE(Planungsjahr,1,C49))&gt;0,"h",IF(COUNTIFS(U_Von,"&lt;="&amp;DATE(Planungsjahr,1,C49),U_Bis,"&gt;="&amp;DATE(Planungsjahr,1,C49))&gt;0,"u",""))),"")</f>
      </c>
      <c r="D50" s="224">
        <f>IF(ISNUMBER(C49),IFERROR(21-1/(1/SUMPRODUCT(MAX((JP_StartInhalt=DATE(Planungsjahr,1,C49))*Anzeige_I*((JP_Anzeige=TRUE)+NOT(Filter_Aktiv)&gt;0)*(11-JP_Farbe)))),IF(COUNTIF(Feiertage,DATE(Planungsjahr,1,C49))&gt;0,"h",IF(COUNTIFS(U_Von,"&lt;="&amp;DATE(Planungsjahr,1,C49),U_Bis,"&gt;="&amp;DATE(Planungsjahr,1,C49))&gt;0,"u",""))),"")</f>
      </c>
      <c r="E50" s="225">
        <f>IF(ISNUMBER(C49),IFERROR(31-1/(1/SUMPRODUCT(MAX((JP_PAL=DATE(Planungsjahr,1,C49))*Anzeige_P*((JP_Anzeige=TRUE)+NOT(Filter_Aktiv)&gt;0)*(11-JP_Farbe)))),IF(COUNTIF(Feiertage,DATE(Planungsjahr,1,C49))&gt;0,"h",IF(COUNTIFS(U_Von,"&lt;="&amp;DATE(Planungsjahr,1,C49),U_Bis,"&gt;="&amp;DATE(Planungsjahr,1,C49))&gt;0,"u",""))),"")</f>
      </c>
      <c r="F50" s="223">
        <f>IF(ISNUMBER(F49),IFERROR(11-1/(1/SUMPRODUCT(MAX((JP_StartSel=DATE(Planungsjahr,1,F49))*Anzeige_S*((JP_Anzeige=TRUE)+NOT(Filter_Aktiv)&gt;0)*(11-JP_Farbe)))),IF(COUNTIF(Feiertage,DATE(Planungsjahr,1,F49))&gt;0,"h",IF(COUNTIFS(U_Von,"&lt;="&amp;DATE(Planungsjahr,1,F49),U_Bis,"&gt;="&amp;DATE(Planungsjahr,1,F49))&gt;0,"u",""))),"")</f>
      </c>
      <c r="G50" s="224">
        <f>IF(ISNUMBER(F49),IFERROR(21-1/(1/SUMPRODUCT(MAX((JP_StartInhalt=DATE(Planungsjahr,1,F49))*Anzeige_I*((JP_Anzeige=TRUE)+NOT(Filter_Aktiv)&gt;0)*(11-JP_Farbe)))),IF(COUNTIF(Feiertage,DATE(Planungsjahr,1,F49))&gt;0,"h",IF(COUNTIFS(U_Von,"&lt;="&amp;DATE(Planungsjahr,1,F49),U_Bis,"&gt;="&amp;DATE(Planungsjahr,1,F49))&gt;0,"u",""))),"")</f>
      </c>
      <c r="H50" s="225">
        <f>IF(ISNUMBER(F49),IFERROR(31-1/(1/SUMPRODUCT(MAX((JP_PAL=DATE(Planungsjahr,1,F49))*Anzeige_P*((JP_Anzeige=TRUE)+NOT(Filter_Aktiv)&gt;0)*(11-JP_Farbe)))),IF(COUNTIF(Feiertage,DATE(Planungsjahr,1,F49))&gt;0,"h",IF(COUNTIFS(U_Von,"&lt;="&amp;DATE(Planungsjahr,1,F49),U_Bis,"&gt;="&amp;DATE(Planungsjahr,1,F49))&gt;0,"u",""))),"")</f>
      </c>
      <c r="I50" s="223">
        <f>IF(ISNUMBER(I49),IFERROR(11-1/(1/SUMPRODUCT(MAX((JP_StartSel=DATE(Planungsjahr,1,I49))*Anzeige_S*((JP_Anzeige=TRUE)+NOT(Filter_Aktiv)&gt;0)*(11-JP_Farbe)))),IF(COUNTIF(Feiertage,DATE(Planungsjahr,1,I49))&gt;0,"h",IF(COUNTIFS(U_Von,"&lt;="&amp;DATE(Planungsjahr,1,I49),U_Bis,"&gt;="&amp;DATE(Planungsjahr,1,I49))&gt;0,"u",""))),"")</f>
      </c>
      <c r="J50" s="224">
        <f>IF(ISNUMBER(I49),IFERROR(21-1/(1/SUMPRODUCT(MAX((JP_StartInhalt=DATE(Planungsjahr,1,I49))*Anzeige_I*((JP_Anzeige=TRUE)+NOT(Filter_Aktiv)&gt;0)*(11-JP_Farbe)))),IF(COUNTIF(Feiertage,DATE(Planungsjahr,1,I49))&gt;0,"h",IF(COUNTIFS(U_Von,"&lt;="&amp;DATE(Planungsjahr,1,I49),U_Bis,"&gt;="&amp;DATE(Planungsjahr,1,I49))&gt;0,"u",""))),"")</f>
      </c>
      <c r="K50" s="225">
        <f>IF(ISNUMBER(I49),IFERROR(31-1/(1/SUMPRODUCT(MAX((JP_PAL=DATE(Planungsjahr,1,I49))*Anzeige_P*((JP_Anzeige=TRUE)+NOT(Filter_Aktiv)&gt;0)*(11-JP_Farbe)))),IF(COUNTIF(Feiertage,DATE(Planungsjahr,1,I49))&gt;0,"h",IF(COUNTIFS(U_Von,"&lt;="&amp;DATE(Planungsjahr,1,I49),U_Bis,"&gt;="&amp;DATE(Planungsjahr,1,I49))&gt;0,"u",""))),"")</f>
      </c>
      <c r="L50" s="223">
        <f>IF(ISNUMBER(L49),IFERROR(11-1/(1/SUMPRODUCT(MAX((JP_StartSel=DATE(Planungsjahr,1,L49))*Anzeige_S*((JP_Anzeige=TRUE)+NOT(Filter_Aktiv)&gt;0)*(11-JP_Farbe)))),IF(COUNTIF(Feiertage,DATE(Planungsjahr,1,L49))&gt;0,"h",IF(COUNTIFS(U_Von,"&lt;="&amp;DATE(Planungsjahr,1,L49),U_Bis,"&gt;="&amp;DATE(Planungsjahr,1,L49))&gt;0,"u",""))),"")</f>
      </c>
      <c r="M50" s="224">
        <f>IF(ISNUMBER(L49),IFERROR(21-1/(1/SUMPRODUCT(MAX((JP_StartInhalt=DATE(Planungsjahr,1,L49))*Anzeige_I*((JP_Anzeige=TRUE)+NOT(Filter_Aktiv)&gt;0)*(11-JP_Farbe)))),IF(COUNTIF(Feiertage,DATE(Planungsjahr,1,L49))&gt;0,"h",IF(COUNTIFS(U_Von,"&lt;="&amp;DATE(Planungsjahr,1,L49),U_Bis,"&gt;="&amp;DATE(Planungsjahr,1,L49))&gt;0,"u",""))),"")</f>
      </c>
      <c r="N50" s="225">
        <f>IF(ISNUMBER(L49),IFERROR(31-1/(1/SUMPRODUCT(MAX((JP_PAL=DATE(Planungsjahr,1,L49))*Anzeige_P*((JP_Anzeige=TRUE)+NOT(Filter_Aktiv)&gt;0)*(11-JP_Farbe)))),IF(COUNTIF(Feiertage,DATE(Planungsjahr,1,L49))&gt;0,"h",IF(COUNTIFS(U_Von,"&lt;="&amp;DATE(Planungsjahr,1,L49),U_Bis,"&gt;="&amp;DATE(Planungsjahr,1,L49))&gt;0,"u",""))),"")</f>
      </c>
      <c r="O50" s="223">
        <f>IF(ISNUMBER(O49),IFERROR(11-1/(1/SUMPRODUCT(MAX((JP_StartSel=DATE(Planungsjahr,1,O49))*Anzeige_S*((JP_Anzeige=TRUE)+NOT(Filter_Aktiv)&gt;0)*(11-JP_Farbe)))),IF(COUNTIF(Feiertage,DATE(Planungsjahr,1,O49))&gt;0,"h",IF(COUNTIFS(U_Von,"&lt;="&amp;DATE(Planungsjahr,1,O49),U_Bis,"&gt;="&amp;DATE(Planungsjahr,1,O49))&gt;0,"u",""))),"")</f>
      </c>
      <c r="P50" s="224">
        <f>IF(ISNUMBER(O49),IFERROR(21-1/(1/SUMPRODUCT(MAX((JP_StartInhalt=DATE(Planungsjahr,1,O49))*Anzeige_I*((JP_Anzeige=TRUE)+NOT(Filter_Aktiv)&gt;0)*(11-JP_Farbe)))),IF(COUNTIF(Feiertage,DATE(Planungsjahr,1,O49))&gt;0,"h",IF(COUNTIFS(U_Von,"&lt;="&amp;DATE(Planungsjahr,1,O49),U_Bis,"&gt;="&amp;DATE(Planungsjahr,1,O49))&gt;0,"u",""))),"")</f>
      </c>
      <c r="Q50" s="225">
        <f>IF(ISNUMBER(O49),IFERROR(31-1/(1/SUMPRODUCT(MAX((JP_PAL=DATE(Planungsjahr,1,O49))*Anzeige_P*((JP_Anzeige=TRUE)+NOT(Filter_Aktiv)&gt;0)*(11-JP_Farbe)))),IF(COUNTIF(Feiertage,DATE(Planungsjahr,1,O49))&gt;0,"h",IF(COUNTIFS(U_Von,"&lt;="&amp;DATE(Planungsjahr,1,O49),U_Bis,"&gt;="&amp;DATE(Planungsjahr,1,O49))&gt;0,"u",""))),"")</f>
      </c>
      <c r="R50" s="223">
        <f>IF(ISNUMBER(R49),IFERROR(11-1/(1/SUMPRODUCT(MAX((JP_StartSel=DATE(Planungsjahr,1,R49))*Anzeige_S*((JP_Anzeige=TRUE)+NOT(Filter_Aktiv)&gt;0)*(11-JP_Farbe)))),IF(COUNTIF(Feiertage,DATE(Planungsjahr,1,R49))&gt;0,"h","w")),"")</f>
      </c>
      <c r="S50" s="224">
        <f>IF(ISNUMBER(R49),IFERROR(21-1/(1/SUMPRODUCT(MAX((JP_StartInhalt=DATE(Planungsjahr,1,R49))*Anzeige_I*((JP_Anzeige=TRUE)+NOT(Filter_Aktiv)&gt;0)*(11-JP_Farbe)))),IF(COUNTIF(Feiertage,DATE(Planungsjahr,1,R49))&gt;0,"h","w")),"")</f>
      </c>
      <c r="T50" s="225">
        <f>IF(ISNUMBER(R49),IFERROR(31-1/(1/SUMPRODUCT(MAX((JP_PAL=DATE(Planungsjahr,1,R49))*Anzeige_P*((JP_Anzeige=TRUE)+NOT(Filter_Aktiv)&gt;0)*(11-JP_Farbe)))),IF(COUNTIF(Feiertage,DATE(Planungsjahr,1,R49))&gt;0,"h","w")),"")</f>
      </c>
      <c r="U50" s="223">
        <f>IF(ISNUMBER(U49),IFERROR(11-1/(1/SUMPRODUCT(MAX((JP_StartSel=DATE(Planungsjahr,1,U49))*Anzeige_S*((JP_Anzeige=TRUE)+NOT(Filter_Aktiv)&gt;0)*(11-JP_Farbe)))),IF(COUNTIF(Feiertage,DATE(Planungsjahr,1,U49))&gt;0,"h","w")),"")</f>
      </c>
      <c r="V50" s="224">
        <f>IF(ISNUMBER(U49),IFERROR(21-1/(1/SUMPRODUCT(MAX((JP_StartInhalt=DATE(Planungsjahr,1,U49))*Anzeige_I*((JP_Anzeige=TRUE)+NOT(Filter_Aktiv)&gt;0)*(11-JP_Farbe)))),IF(COUNTIF(Feiertage,DATE(Planungsjahr,1,U49))&gt;0,"h","w")),"")</f>
      </c>
      <c r="W50" s="225">
        <f>IF(ISNUMBER(U49),IFERROR(31-1/(1/SUMPRODUCT(MAX((JP_PAL=DATE(Planungsjahr,1,U49))*Anzeige_P*((JP_Anzeige=TRUE)+NOT(Filter_Aktiv)&gt;0)*(11-JP_Farbe)))),IF(COUNTIF(Feiertage,DATE(Planungsjahr,1,U49))&gt;0,"h","w")),"")</f>
      </c>
      <c r="Y50" s="179"/>
      <c r="Z50" s="223">
        <f>IF(ISNUMBER(Z49),IFERROR(11-1/(1/SUMPRODUCT(MAX((JP_StartSel=DATE(Planungsjahr,2,Z49))*Anzeige_S*((JP_Anzeige=TRUE)+NOT(Filter_Aktiv)&gt;0)*(11-JP_Farbe)))),IF(COUNTIF(Feiertage,DATE(Planungsjahr,2,Z49))&gt;0,"h",IF(COUNTIFS(U_Von,"&lt;="&amp;DATE(Planungsjahr,2,Z49),U_Bis,"&gt;="&amp;DATE(Planungsjahr,2,Z49))&gt;0,"u",""))),"")</f>
      </c>
      <c r="AA50" s="224">
        <f>IF(ISNUMBER(Z49),IFERROR(21-1/(1/SUMPRODUCT(MAX((JP_StartInhalt=DATE(Planungsjahr,2,Z49))*Anzeige_I*((JP_Anzeige=TRUE)+NOT(Filter_Aktiv)&gt;0)*(11-JP_Farbe)))),IF(COUNTIF(Feiertage,DATE(Planungsjahr,2,Z49))&gt;0,"h",IF(COUNTIFS(U_Von,"&lt;="&amp;DATE(Planungsjahr,2,Z49),U_Bis,"&gt;="&amp;DATE(Planungsjahr,2,Z49))&gt;0,"u",""))),"")</f>
      </c>
      <c r="AB50" s="225">
        <f>IF(ISNUMBER(Z49),IFERROR(31-1/(1/SUMPRODUCT(MAX((JP_PAL=DATE(Planungsjahr,2,Z49))*Anzeige_P*((JP_Anzeige=TRUE)+NOT(Filter_Aktiv)&gt;0)*(11-JP_Farbe)))),IF(COUNTIF(Feiertage,DATE(Planungsjahr,2,Z49))&gt;0,"h",IF(COUNTIFS(U_Von,"&lt;="&amp;DATE(Planungsjahr,2,Z49),U_Bis,"&gt;="&amp;DATE(Planungsjahr,2,Z49))&gt;0,"u",""))),"")</f>
      </c>
      <c r="AC50" s="223">
        <f>IF(ISNUMBER(AC49),IFERROR(11-1/(1/SUMPRODUCT(MAX((JP_StartSel=DATE(Planungsjahr,2,AC49))*Anzeige_S*((JP_Anzeige=TRUE)+NOT(Filter_Aktiv)&gt;0)*(11-JP_Farbe)))),IF(COUNTIF(Feiertage,DATE(Planungsjahr,2,AC49))&gt;0,"h",IF(COUNTIFS(U_Von,"&lt;="&amp;DATE(Planungsjahr,2,AC49),U_Bis,"&gt;="&amp;DATE(Planungsjahr,2,AC49))&gt;0,"u",""))),"")</f>
      </c>
      <c r="AD50" s="224">
        <f>IF(ISNUMBER(AC49),IFERROR(21-1/(1/SUMPRODUCT(MAX((JP_StartInhalt=DATE(Planungsjahr,2,AC49))*Anzeige_I*((JP_Anzeige=TRUE)+NOT(Filter_Aktiv)&gt;0)*(11-JP_Farbe)))),IF(COUNTIF(Feiertage,DATE(Planungsjahr,2,AC49))&gt;0,"h",IF(COUNTIFS(U_Von,"&lt;="&amp;DATE(Planungsjahr,2,AC49),U_Bis,"&gt;="&amp;DATE(Planungsjahr,2,AC49))&gt;0,"u",""))),"")</f>
      </c>
      <c r="AE50" s="225">
        <f>IF(ISNUMBER(AC49),IFERROR(31-1/(1/SUMPRODUCT(MAX((JP_PAL=DATE(Planungsjahr,2,AC49))*Anzeige_P*((JP_Anzeige=TRUE)+NOT(Filter_Aktiv)&gt;0)*(11-JP_Farbe)))),IF(COUNTIF(Feiertage,DATE(Planungsjahr,2,AC49))&gt;0,"h",IF(COUNTIFS(U_Von,"&lt;="&amp;DATE(Planungsjahr,2,AC49),U_Bis,"&gt;="&amp;DATE(Planungsjahr,2,AC49))&gt;0,"u",""))),"")</f>
      </c>
      <c r="AF50" s="223">
        <f>IF(ISNUMBER(AF49),IFERROR(11-1/(1/SUMPRODUCT(MAX((JP_StartSel=DATE(Planungsjahr,2,AF49))*Anzeige_S*((JP_Anzeige=TRUE)+NOT(Filter_Aktiv)&gt;0)*(11-JP_Farbe)))),IF(COUNTIF(Feiertage,DATE(Planungsjahr,2,AF49))&gt;0,"h",IF(COUNTIFS(U_Von,"&lt;="&amp;DATE(Planungsjahr,2,AF49),U_Bis,"&gt;="&amp;DATE(Planungsjahr,2,AF49))&gt;0,"u",""))),"")</f>
      </c>
      <c r="AG50" s="224">
        <f>IF(ISNUMBER(AF49),IFERROR(21-1/(1/SUMPRODUCT(MAX((JP_StartInhalt=DATE(Planungsjahr,2,AF49))*Anzeige_I*((JP_Anzeige=TRUE)+NOT(Filter_Aktiv)&gt;0)*(11-JP_Farbe)))),IF(COUNTIF(Feiertage,DATE(Planungsjahr,2,AF49))&gt;0,"h",IF(COUNTIFS(U_Von,"&lt;="&amp;DATE(Planungsjahr,2,AF49),U_Bis,"&gt;="&amp;DATE(Planungsjahr,2,AF49))&gt;0,"u",""))),"")</f>
      </c>
      <c r="AH50" s="225">
        <f>IF(ISNUMBER(AF49),IFERROR(31-1/(1/SUMPRODUCT(MAX((JP_PAL=DATE(Planungsjahr,2,AF49))*Anzeige_P*((JP_Anzeige=TRUE)+NOT(Filter_Aktiv)&gt;0)*(11-JP_Farbe)))),IF(COUNTIF(Feiertage,DATE(Planungsjahr,2,AF49))&gt;0,"h",IF(COUNTIFS(U_Von,"&lt;="&amp;DATE(Planungsjahr,2,AF49),U_Bis,"&gt;="&amp;DATE(Planungsjahr,2,AF49))&gt;0,"u",""))),"")</f>
      </c>
      <c r="AI50" s="223">
        <f>IF(ISNUMBER(AI49),IFERROR(11-1/(1/SUMPRODUCT(MAX((JP_StartSel=DATE(Planungsjahr,2,AI49))*Anzeige_S*((JP_Anzeige=TRUE)+NOT(Filter_Aktiv)&gt;0)*(11-JP_Farbe)))),IF(COUNTIF(Feiertage,DATE(Planungsjahr,2,AI49))&gt;0,"h",IF(COUNTIFS(U_Von,"&lt;="&amp;DATE(Planungsjahr,2,AI49),U_Bis,"&gt;="&amp;DATE(Planungsjahr,2,AI49))&gt;0,"u",""))),"")</f>
      </c>
      <c r="AJ50" s="224">
        <f>IF(ISNUMBER(AI49),IFERROR(21-1/(1/SUMPRODUCT(MAX((JP_StartInhalt=DATE(Planungsjahr,2,AI49))*Anzeige_I*((JP_Anzeige=TRUE)+NOT(Filter_Aktiv)&gt;0)*(11-JP_Farbe)))),IF(COUNTIF(Feiertage,DATE(Planungsjahr,2,AI49))&gt;0,"h",IF(COUNTIFS(U_Von,"&lt;="&amp;DATE(Planungsjahr,2,AI49),U_Bis,"&gt;="&amp;DATE(Planungsjahr,2,AI49))&gt;0,"u",""))),"")</f>
      </c>
      <c r="AK50" s="225">
        <f>IF(ISNUMBER(AI49),IFERROR(31-1/(1/SUMPRODUCT(MAX((JP_PAL=DATE(Planungsjahr,2,AI49))*Anzeige_P*((JP_Anzeige=TRUE)+NOT(Filter_Aktiv)&gt;0)*(11-JP_Farbe)))),IF(COUNTIF(Feiertage,DATE(Planungsjahr,2,AI49))&gt;0,"h",IF(COUNTIFS(U_Von,"&lt;="&amp;DATE(Planungsjahr,2,AI49),U_Bis,"&gt;="&amp;DATE(Planungsjahr,2,AI49))&gt;0,"u",""))),"")</f>
      </c>
      <c r="AL50" s="223">
        <f>IF(ISNUMBER(AL49),IFERROR(11-1/(1/SUMPRODUCT(MAX((JP_StartSel=DATE(Planungsjahr,2,AL49))*Anzeige_S*((JP_Anzeige=TRUE)+NOT(Filter_Aktiv)&gt;0)*(11-JP_Farbe)))),IF(COUNTIF(Feiertage,DATE(Planungsjahr,2,AL49))&gt;0,"h",IF(COUNTIFS(U_Von,"&lt;="&amp;DATE(Planungsjahr,2,AL49),U_Bis,"&gt;="&amp;DATE(Planungsjahr,2,AL49))&gt;0,"u",""))),"")</f>
      </c>
      <c r="AM50" s="224">
        <f>IF(ISNUMBER(AL49),IFERROR(21-1/(1/SUMPRODUCT(MAX((JP_StartInhalt=DATE(Planungsjahr,2,AL49))*Anzeige_I*((JP_Anzeige=TRUE)+NOT(Filter_Aktiv)&gt;0)*(11-JP_Farbe)))),IF(COUNTIF(Feiertage,DATE(Planungsjahr,2,AL49))&gt;0,"h",IF(COUNTIFS(U_Von,"&lt;="&amp;DATE(Planungsjahr,2,AL49),U_Bis,"&gt;="&amp;DATE(Planungsjahr,2,AL49))&gt;0,"u",""))),"")</f>
      </c>
      <c r="AN50" s="225">
        <f>IF(ISNUMBER(AL49),IFERROR(31-1/(1/SUMPRODUCT(MAX((JP_PAL=DATE(Planungsjahr,2,AL49))*Anzeige_P*((JP_Anzeige=TRUE)+NOT(Filter_Aktiv)&gt;0)*(11-JP_Farbe)))),IF(COUNTIF(Feiertage,DATE(Planungsjahr,2,AL49))&gt;0,"h",IF(COUNTIFS(U_Von,"&lt;="&amp;DATE(Planungsjahr,2,AL49),U_Bis,"&gt;="&amp;DATE(Planungsjahr,2,AL49))&gt;0,"u",""))),"")</f>
      </c>
      <c r="AO50" s="223">
        <f>IF(ISNUMBER(AO49),IFERROR(11-1/(1/SUMPRODUCT(MAX((JP_StartSel=DATE(Planungsjahr,2,AO49))*Anzeige_S*((JP_Anzeige=TRUE)+NOT(Filter_Aktiv)&gt;0)*(11-JP_Farbe)))),IF(COUNTIF(Feiertage,DATE(Planungsjahr,2,AO49))&gt;0,"h","w")),"")</f>
      </c>
      <c r="AP50" s="224">
        <f>IF(ISNUMBER(AO49),IFERROR(21-1/(1/SUMPRODUCT(MAX((JP_StartInhalt=DATE(Planungsjahr,2,AO49))*Anzeige_I*((JP_Anzeige=TRUE)+NOT(Filter_Aktiv)&gt;0)*(11-JP_Farbe)))),IF(COUNTIF(Feiertage,DATE(Planungsjahr,2,AO49))&gt;0,"h","w")),"")</f>
      </c>
      <c r="AQ50" s="225">
        <f>IF(ISNUMBER(AO49),IFERROR(31-1/(1/SUMPRODUCT(MAX((JP_PAL=DATE(Planungsjahr,2,AO49))*Anzeige_P*((JP_Anzeige=TRUE)+NOT(Filter_Aktiv)&gt;0)*(11-JP_Farbe)))),IF(COUNTIF(Feiertage,DATE(Planungsjahr,2,AO49))&gt;0,"h","w")),"")</f>
      </c>
      <c r="AR50" s="223">
        <f>IF(ISNUMBER(AR49),IFERROR(11-1/(1/SUMPRODUCT(MAX((JP_StartSel=DATE(Planungsjahr,2,AR49))*Anzeige_S*((JP_Anzeige=TRUE)+NOT(Filter_Aktiv)&gt;0)*(11-JP_Farbe)))),IF(COUNTIF(Feiertage,DATE(Planungsjahr,2,AR49))&gt;0,"h","w")),"")</f>
      </c>
      <c r="AS50" s="224">
        <f>IF(ISNUMBER(AR49),IFERROR(21-1/(1/SUMPRODUCT(MAX((JP_StartInhalt=DATE(Planungsjahr,2,AR49))*Anzeige_I*((JP_Anzeige=TRUE)+NOT(Filter_Aktiv)&gt;0)*(11-JP_Farbe)))),IF(COUNTIF(Feiertage,DATE(Planungsjahr,2,AR49))&gt;0,"h","w")),"")</f>
      </c>
      <c r="AT50" s="225">
        <f>IF(ISNUMBER(AR49),IFERROR(31-1/(1/SUMPRODUCT(MAX((JP_PAL=DATE(Planungsjahr,2,AR49))*Anzeige_P*((JP_Anzeige=TRUE)+NOT(Filter_Aktiv)&gt;0)*(11-JP_Farbe)))),IF(COUNTIF(Feiertage,DATE(Planungsjahr,2,AR49))&gt;0,"h","w")),"")</f>
      </c>
      <c r="AV50" s="179"/>
      <c r="AW50" s="223">
        <f>IF(ISNUMBER(AW49),IFERROR(11-1/(1/SUMPRODUCT(MAX((JP_StartSel=DATE(Planungsjahr,3,AW49))*Anzeige_S*((JP_Anzeige=TRUE)+NOT(Filter_Aktiv)&gt;0)*(11-JP_Farbe)))),IF(COUNTIF(Feiertage,DATE(Planungsjahr,3,AW49))&gt;0,"h",IF(COUNTIFS(U_Von,"&lt;="&amp;DATE(Planungsjahr,3,AW49),U_Bis,"&gt;="&amp;DATE(Planungsjahr,3,AW49))&gt;0,"u",""))),"")</f>
      </c>
      <c r="AX50" s="224">
        <f>IF(ISNUMBER(AW49),IFERROR(21-1/(1/SUMPRODUCT(MAX((JP_StartInhalt=DATE(Planungsjahr,3,AW49))*Anzeige_I*((JP_Anzeige=TRUE)+NOT(Filter_Aktiv)&gt;0)*(11-JP_Farbe)))),IF(COUNTIF(Feiertage,DATE(Planungsjahr,3,AW49))&gt;0,"h",IF(COUNTIFS(U_Von,"&lt;="&amp;DATE(Planungsjahr,3,AW49),U_Bis,"&gt;="&amp;DATE(Planungsjahr,3,AW49))&gt;0,"u",""))),"")</f>
      </c>
      <c r="AY50" s="225">
        <f>IF(ISNUMBER(AW49),IFERROR(31-1/(1/SUMPRODUCT(MAX((JP_PAL=DATE(Planungsjahr,3,AW49))*Anzeige_P*((JP_Anzeige=TRUE)+NOT(Filter_Aktiv)&gt;0)*(11-JP_Farbe)))),IF(COUNTIF(Feiertage,DATE(Planungsjahr,3,AW49))&gt;0,"h",IF(COUNTIFS(U_Von,"&lt;="&amp;DATE(Planungsjahr,3,AW49),U_Bis,"&gt;="&amp;DATE(Planungsjahr,3,AW49))&gt;0,"u",""))),"")</f>
      </c>
      <c r="AZ50" s="223">
        <f>IF(ISNUMBER(AZ49),IFERROR(11-1/(1/SUMPRODUCT(MAX((JP_StartSel=DATE(Planungsjahr,3,AZ49))*Anzeige_S*((JP_Anzeige=TRUE)+NOT(Filter_Aktiv)&gt;0)*(11-JP_Farbe)))),IF(COUNTIF(Feiertage,DATE(Planungsjahr,3,AZ49))&gt;0,"h",IF(COUNTIFS(U_Von,"&lt;="&amp;DATE(Planungsjahr,3,AZ49),U_Bis,"&gt;="&amp;DATE(Planungsjahr,3,AZ49))&gt;0,"u",""))),"")</f>
      </c>
      <c r="BA50" s="224">
        <f>IF(ISNUMBER(AZ49),IFERROR(21-1/(1/SUMPRODUCT(MAX((JP_StartInhalt=DATE(Planungsjahr,3,AZ49))*Anzeige_I*((JP_Anzeige=TRUE)+NOT(Filter_Aktiv)&gt;0)*(11-JP_Farbe)))),IF(COUNTIF(Feiertage,DATE(Planungsjahr,3,AZ49))&gt;0,"h",IF(COUNTIFS(U_Von,"&lt;="&amp;DATE(Planungsjahr,3,AZ49),U_Bis,"&gt;="&amp;DATE(Planungsjahr,3,AZ49))&gt;0,"u",""))),"")</f>
      </c>
      <c r="BB50" s="225">
        <f>IF(ISNUMBER(AZ49),IFERROR(31-1/(1/SUMPRODUCT(MAX((JP_PAL=DATE(Planungsjahr,3,AZ49))*Anzeige_P*((JP_Anzeige=TRUE)+NOT(Filter_Aktiv)&gt;0)*(11-JP_Farbe)))),IF(COUNTIF(Feiertage,DATE(Planungsjahr,3,AZ49))&gt;0,"h",IF(COUNTIFS(U_Von,"&lt;="&amp;DATE(Planungsjahr,3,AZ49),U_Bis,"&gt;="&amp;DATE(Planungsjahr,3,AZ49))&gt;0,"u",""))),"")</f>
      </c>
      <c r="BC50" s="223">
        <f>IF(ISNUMBER(BC49),IFERROR(11-1/(1/SUMPRODUCT(MAX((JP_StartSel=DATE(Planungsjahr,3,BC49))*Anzeige_S*((JP_Anzeige=TRUE)+NOT(Filter_Aktiv)&gt;0)*(11-JP_Farbe)))),IF(COUNTIF(Feiertage,DATE(Planungsjahr,3,BC49))&gt;0,"h",IF(COUNTIFS(U_Von,"&lt;="&amp;DATE(Planungsjahr,3,BC49),U_Bis,"&gt;="&amp;DATE(Planungsjahr,3,BC49))&gt;0,"u",""))),"")</f>
      </c>
      <c r="BD50" s="224">
        <f>IF(ISNUMBER(BC49),IFERROR(21-1/(1/SUMPRODUCT(MAX((JP_StartInhalt=DATE(Planungsjahr,3,BC49))*Anzeige_I*((JP_Anzeige=TRUE)+NOT(Filter_Aktiv)&gt;0)*(11-JP_Farbe)))),IF(COUNTIF(Feiertage,DATE(Planungsjahr,3,BC49))&gt;0,"h",IF(COUNTIFS(U_Von,"&lt;="&amp;DATE(Planungsjahr,3,BC49),U_Bis,"&gt;="&amp;DATE(Planungsjahr,3,BC49))&gt;0,"u",""))),"")</f>
      </c>
      <c r="BE50" s="225">
        <f>IF(ISNUMBER(BC49),IFERROR(31-1/(1/SUMPRODUCT(MAX((JP_PAL=DATE(Planungsjahr,3,BC49))*Anzeige_P*((JP_Anzeige=TRUE)+NOT(Filter_Aktiv)&gt;0)*(11-JP_Farbe)))),IF(COUNTIF(Feiertage,DATE(Planungsjahr,3,BC49))&gt;0,"h",IF(COUNTIFS(U_Von,"&lt;="&amp;DATE(Planungsjahr,3,BC49),U_Bis,"&gt;="&amp;DATE(Planungsjahr,3,BC49))&gt;0,"u",""))),"")</f>
      </c>
      <c r="BF50" s="223">
        <f>IF(ISNUMBER(BF49),IFERROR(11-1/(1/SUMPRODUCT(MAX((JP_StartSel=DATE(Planungsjahr,3,BF49))*Anzeige_S*((JP_Anzeige=TRUE)+NOT(Filter_Aktiv)&gt;0)*(11-JP_Farbe)))),IF(COUNTIF(Feiertage,DATE(Planungsjahr,3,BF49))&gt;0,"h",IF(COUNTIFS(U_Von,"&lt;="&amp;DATE(Planungsjahr,3,BF49),U_Bis,"&gt;="&amp;DATE(Planungsjahr,3,BF49))&gt;0,"u",""))),"")</f>
      </c>
      <c r="BG50" s="224">
        <f>IF(ISNUMBER(BF49),IFERROR(21-1/(1/SUMPRODUCT(MAX((JP_StartInhalt=DATE(Planungsjahr,3,BF49))*Anzeige_I*((JP_Anzeige=TRUE)+NOT(Filter_Aktiv)&gt;0)*(11-JP_Farbe)))),IF(COUNTIF(Feiertage,DATE(Planungsjahr,3,BF49))&gt;0,"h",IF(COUNTIFS(U_Von,"&lt;="&amp;DATE(Planungsjahr,3,BF49),U_Bis,"&gt;="&amp;DATE(Planungsjahr,3,BF49))&gt;0,"u",""))),"")</f>
      </c>
      <c r="BH50" s="225">
        <f>IF(ISNUMBER(BF49),IFERROR(31-1/(1/SUMPRODUCT(MAX((JP_PAL=DATE(Planungsjahr,3,BF49))*Anzeige_P*((JP_Anzeige=TRUE)+NOT(Filter_Aktiv)&gt;0)*(11-JP_Farbe)))),IF(COUNTIF(Feiertage,DATE(Planungsjahr,3,BF49))&gt;0,"h",IF(COUNTIFS(U_Von,"&lt;="&amp;DATE(Planungsjahr,3,BF49),U_Bis,"&gt;="&amp;DATE(Planungsjahr,3,BF49))&gt;0,"u",""))),"")</f>
      </c>
      <c r="BI50" s="223">
        <f>IF(ISNUMBER(BI49),IFERROR(11-1/(1/SUMPRODUCT(MAX((JP_StartSel=DATE(Planungsjahr,3,BI49))*Anzeige_S*((JP_Anzeige=TRUE)+NOT(Filter_Aktiv)&gt;0)*(11-JP_Farbe)))),IF(COUNTIF(Feiertage,DATE(Planungsjahr,3,BI49))&gt;0,"h",IF(COUNTIFS(U_Von,"&lt;="&amp;DATE(Planungsjahr,3,BI49),U_Bis,"&gt;="&amp;DATE(Planungsjahr,3,BI49))&gt;0,"u",""))),"")</f>
      </c>
      <c r="BJ50" s="224">
        <f>IF(ISNUMBER(BI49),IFERROR(21-1/(1/SUMPRODUCT(MAX((JP_StartInhalt=DATE(Planungsjahr,3,BI49))*Anzeige_I*((JP_Anzeige=TRUE)+NOT(Filter_Aktiv)&gt;0)*(11-JP_Farbe)))),IF(COUNTIF(Feiertage,DATE(Planungsjahr,3,BI49))&gt;0,"h",IF(COUNTIFS(U_Von,"&lt;="&amp;DATE(Planungsjahr,3,BI49),U_Bis,"&gt;="&amp;DATE(Planungsjahr,3,BI49))&gt;0,"u",""))),"")</f>
      </c>
      <c r="BK50" s="225">
        <f>IF(ISNUMBER(BI49),IFERROR(31-1/(1/SUMPRODUCT(MAX((JP_PAL=DATE(Planungsjahr,3,BI49))*Anzeige_P*((JP_Anzeige=TRUE)+NOT(Filter_Aktiv)&gt;0)*(11-JP_Farbe)))),IF(COUNTIF(Feiertage,DATE(Planungsjahr,3,BI49))&gt;0,"h",IF(COUNTIFS(U_Von,"&lt;="&amp;DATE(Planungsjahr,3,BI49),U_Bis,"&gt;="&amp;DATE(Planungsjahr,3,BI49))&gt;0,"u",""))),"")</f>
      </c>
      <c r="BL50" s="223">
        <f>IF(ISNUMBER(BL49),IFERROR(11-1/(1/SUMPRODUCT(MAX((JP_StartSel=DATE(Planungsjahr,3,BL49))*Anzeige_S*((JP_Anzeige=TRUE)+NOT(Filter_Aktiv)&gt;0)*(11-JP_Farbe)))),IF(COUNTIF(Feiertage,DATE(Planungsjahr,3,BL49))&gt;0,"h","w")),"")</f>
      </c>
      <c r="BM50" s="224">
        <f>IF(ISNUMBER(BL49),IFERROR(21-1/(1/SUMPRODUCT(MAX((JP_StartInhalt=DATE(Planungsjahr,3,BL49))*Anzeige_I*((JP_Anzeige=TRUE)+NOT(Filter_Aktiv)&gt;0)*(11-JP_Farbe)))),IF(COUNTIF(Feiertage,DATE(Planungsjahr,3,BL49))&gt;0,"h","w")),"")</f>
      </c>
      <c r="BN50" s="225">
        <f>IF(ISNUMBER(BL49),IFERROR(31-1/(1/SUMPRODUCT(MAX((JP_PAL=DATE(Planungsjahr,3,BL49))*Anzeige_P*((JP_Anzeige=TRUE)+NOT(Filter_Aktiv)&gt;0)*(11-JP_Farbe)))),IF(COUNTIF(Feiertage,DATE(Planungsjahr,3,BL49))&gt;0,"h","w")),"")</f>
      </c>
      <c r="BO50" s="223">
        <f>IF(ISNUMBER(BO49),IFERROR(11-1/(1/SUMPRODUCT(MAX((JP_StartSel=DATE(Planungsjahr,3,BO49))*Anzeige_S*((JP_Anzeige=TRUE)+NOT(Filter_Aktiv)&gt;0)*(11-JP_Farbe)))),IF(COUNTIF(Feiertage,DATE(Planungsjahr,3,BO49))&gt;0,"h","w")),"")</f>
      </c>
      <c r="BP50" s="224">
        <f>IF(ISNUMBER(BO49),IFERROR(21-1/(1/SUMPRODUCT(MAX((JP_StartInhalt=DATE(Planungsjahr,3,BO49))*Anzeige_I*((JP_Anzeige=TRUE)+NOT(Filter_Aktiv)&gt;0)*(11-JP_Farbe)))),IF(COUNTIF(Feiertage,DATE(Planungsjahr,3,BO49))&gt;0,"h","w")),"")</f>
      </c>
      <c r="BQ50" s="225">
        <f>IF(ISNUMBER(BO49),IFERROR(31-1/(1/SUMPRODUCT(MAX((JP_PAL=DATE(Planungsjahr,3,BO49))*Anzeige_P*((JP_Anzeige=TRUE)+NOT(Filter_Aktiv)&gt;0)*(11-JP_Farbe)))),IF(COUNTIF(Feiertage,DATE(Planungsjahr,3,BO49))&gt;0,"h","w")),"")</f>
      </c>
      <c r="BS50" s="179"/>
      <c r="BT50" s="223">
        <f>IF(ISNUMBER(BT49),IFERROR(11-1/(1/SUMPRODUCT(MAX((JP_StartSel=DATE(Planungsjahr,4,BT49))*Anzeige_S*((JP_Anzeige=TRUE)+NOT(Filter_Aktiv)&gt;0)*(11-JP_Farbe)))),IF(COUNTIF(Feiertage,DATE(Planungsjahr,4,BT49))&gt;0,"h",IF(COUNTIFS(U_Von,"&lt;="&amp;DATE(Planungsjahr,4,BT49),U_Bis,"&gt;="&amp;DATE(Planungsjahr,4,BT49))&gt;0,"u",""))),"")</f>
      </c>
      <c r="BU50" s="224">
        <f>IF(ISNUMBER(BT49),IFERROR(21-1/(1/SUMPRODUCT(MAX((JP_StartInhalt=DATE(Planungsjahr,4,BT49))*Anzeige_I*((JP_Anzeige=TRUE)+NOT(Filter_Aktiv)&gt;0)*(11-JP_Farbe)))),IF(COUNTIF(Feiertage,DATE(Planungsjahr,4,BT49))&gt;0,"h",IF(COUNTIFS(U_Von,"&lt;="&amp;DATE(Planungsjahr,4,BT49),U_Bis,"&gt;="&amp;DATE(Planungsjahr,4,BT49))&gt;0,"u",""))),"")</f>
      </c>
      <c r="BV50" s="225">
        <f>IF(ISNUMBER(BT49),IFERROR(31-1/(1/SUMPRODUCT(MAX((JP_PAL=DATE(Planungsjahr,4,BT49))*Anzeige_P*((JP_Anzeige=TRUE)+NOT(Filter_Aktiv)&gt;0)*(11-JP_Farbe)))),IF(COUNTIF(Feiertage,DATE(Planungsjahr,4,BT49))&gt;0,"h",IF(COUNTIFS(U_Von,"&lt;="&amp;DATE(Planungsjahr,4,BT49),U_Bis,"&gt;="&amp;DATE(Planungsjahr,4,BT49))&gt;0,"u",""))),"")</f>
      </c>
      <c r="BW50" s="223">
        <f>IF(ISNUMBER(BW49),IFERROR(11-1/(1/SUMPRODUCT(MAX((JP_StartSel=DATE(Planungsjahr,4,BW49))*Anzeige_S*((JP_Anzeige=TRUE)+NOT(Filter_Aktiv)&gt;0)*(11-JP_Farbe)))),IF(COUNTIF(Feiertage,DATE(Planungsjahr,4,BW49))&gt;0,"h",IF(COUNTIFS(U_Von,"&lt;="&amp;DATE(Planungsjahr,4,BW49),U_Bis,"&gt;="&amp;DATE(Planungsjahr,4,BW49))&gt;0,"u",""))),"")</f>
      </c>
      <c r="BX50" s="224">
        <f>IF(ISNUMBER(BW49),IFERROR(21-1/(1/SUMPRODUCT(MAX((JP_StartInhalt=DATE(Planungsjahr,4,BW49))*Anzeige_I*((JP_Anzeige=TRUE)+NOT(Filter_Aktiv)&gt;0)*(11-JP_Farbe)))),IF(COUNTIF(Feiertage,DATE(Planungsjahr,4,BW49))&gt;0,"h",IF(COUNTIFS(U_Von,"&lt;="&amp;DATE(Planungsjahr,4,BW49),U_Bis,"&gt;="&amp;DATE(Planungsjahr,4,BW49))&gt;0,"u",""))),"")</f>
      </c>
      <c r="BY50" s="225">
        <f>IF(ISNUMBER(BW49),IFERROR(31-1/(1/SUMPRODUCT(MAX((JP_PAL=DATE(Planungsjahr,4,BW49))*Anzeige_P*((JP_Anzeige=TRUE)+NOT(Filter_Aktiv)&gt;0)*(11-JP_Farbe)))),IF(COUNTIF(Feiertage,DATE(Planungsjahr,4,BW49))&gt;0,"h",IF(COUNTIFS(U_Von,"&lt;="&amp;DATE(Planungsjahr,4,BW49),U_Bis,"&gt;="&amp;DATE(Planungsjahr,4,BW49))&gt;0,"u",""))),"")</f>
      </c>
      <c r="BZ50" s="223">
        <f>IF(ISNUMBER(BZ49),IFERROR(11-1/(1/SUMPRODUCT(MAX((JP_StartSel=DATE(Planungsjahr,4,BZ49))*Anzeige_S*((JP_Anzeige=TRUE)+NOT(Filter_Aktiv)&gt;0)*(11-JP_Farbe)))),IF(COUNTIF(Feiertage,DATE(Planungsjahr,4,BZ49))&gt;0,"h",IF(COUNTIFS(U_Von,"&lt;="&amp;DATE(Planungsjahr,4,BZ49),U_Bis,"&gt;="&amp;DATE(Planungsjahr,4,BZ49))&gt;0,"u",""))),"")</f>
      </c>
      <c r="CA50" s="224">
        <f>IF(ISNUMBER(BZ49),IFERROR(21-1/(1/SUMPRODUCT(MAX((JP_StartInhalt=DATE(Planungsjahr,4,BZ49))*Anzeige_I*((JP_Anzeige=TRUE)+NOT(Filter_Aktiv)&gt;0)*(11-JP_Farbe)))),IF(COUNTIF(Feiertage,DATE(Planungsjahr,4,BZ49))&gt;0,"h",IF(COUNTIFS(U_Von,"&lt;="&amp;DATE(Planungsjahr,4,BZ49),U_Bis,"&gt;="&amp;DATE(Planungsjahr,4,BZ49))&gt;0,"u",""))),"")</f>
      </c>
      <c r="CB50" s="225">
        <f>IF(ISNUMBER(BZ49),IFERROR(31-1/(1/SUMPRODUCT(MAX((JP_PAL=DATE(Planungsjahr,4,BZ49))*Anzeige_P*((JP_Anzeige=TRUE)+NOT(Filter_Aktiv)&gt;0)*(11-JP_Farbe)))),IF(COUNTIF(Feiertage,DATE(Planungsjahr,4,BZ49))&gt;0,"h",IF(COUNTIFS(U_Von,"&lt;="&amp;DATE(Planungsjahr,4,BZ49),U_Bis,"&gt;="&amp;DATE(Planungsjahr,4,BZ49))&gt;0,"u",""))),"")</f>
      </c>
      <c r="CC50" s="223">
        <f>IF(ISNUMBER(CC49),IFERROR(11-1/(1/SUMPRODUCT(MAX((JP_StartSel=DATE(Planungsjahr,4,CC49))*Anzeige_S*((JP_Anzeige=TRUE)+NOT(Filter_Aktiv)&gt;0)*(11-JP_Farbe)))),IF(COUNTIF(Feiertage,DATE(Planungsjahr,4,CC49))&gt;0,"h",IF(COUNTIFS(U_Von,"&lt;="&amp;DATE(Planungsjahr,4,CC49),U_Bis,"&gt;="&amp;DATE(Planungsjahr,4,CC49))&gt;0,"u",""))),"")</f>
      </c>
      <c r="CD50" s="224">
        <f>IF(ISNUMBER(CC49),IFERROR(21-1/(1/SUMPRODUCT(MAX((JP_StartInhalt=DATE(Planungsjahr,4,CC49))*Anzeige_I*((JP_Anzeige=TRUE)+NOT(Filter_Aktiv)&gt;0)*(11-JP_Farbe)))),IF(COUNTIF(Feiertage,DATE(Planungsjahr,4,CC49))&gt;0,"h",IF(COUNTIFS(U_Von,"&lt;="&amp;DATE(Planungsjahr,4,CC49),U_Bis,"&gt;="&amp;DATE(Planungsjahr,4,CC49))&gt;0,"u",""))),"")</f>
      </c>
      <c r="CE50" s="225">
        <f>IF(ISNUMBER(CC49),IFERROR(31-1/(1/SUMPRODUCT(MAX((JP_PAL=DATE(Planungsjahr,4,CC49))*Anzeige_P*((JP_Anzeige=TRUE)+NOT(Filter_Aktiv)&gt;0)*(11-JP_Farbe)))),IF(COUNTIF(Feiertage,DATE(Planungsjahr,4,CC49))&gt;0,"h",IF(COUNTIFS(U_Von,"&lt;="&amp;DATE(Planungsjahr,4,CC49),U_Bis,"&gt;="&amp;DATE(Planungsjahr,4,CC49))&gt;0,"u",""))),"")</f>
      </c>
      <c r="CF50" s="223">
        <f>IF(ISNUMBER(CF49),IFERROR(11-1/(1/SUMPRODUCT(MAX((JP_StartSel=DATE(Planungsjahr,4,CF49))*Anzeige_S*((JP_Anzeige=TRUE)+NOT(Filter_Aktiv)&gt;0)*(11-JP_Farbe)))),IF(COUNTIF(Feiertage,DATE(Planungsjahr,4,CF49))&gt;0,"h",IF(COUNTIFS(U_Von,"&lt;="&amp;DATE(Planungsjahr,4,CF49),U_Bis,"&gt;="&amp;DATE(Planungsjahr,4,CF49))&gt;0,"u",""))),"")</f>
      </c>
      <c r="CG50" s="224">
        <f>IF(ISNUMBER(CF49),IFERROR(21-1/(1/SUMPRODUCT(MAX((JP_StartInhalt=DATE(Planungsjahr,4,CF49))*Anzeige_I*((JP_Anzeige=TRUE)+NOT(Filter_Aktiv)&gt;0)*(11-JP_Farbe)))),IF(COUNTIF(Feiertage,DATE(Planungsjahr,4,CF49))&gt;0,"h",IF(COUNTIFS(U_Von,"&lt;="&amp;DATE(Planungsjahr,4,CF49),U_Bis,"&gt;="&amp;DATE(Planungsjahr,4,CF49))&gt;0,"u",""))),"")</f>
      </c>
      <c r="CH50" s="225">
        <f>IF(ISNUMBER(CF49),IFERROR(31-1/(1/SUMPRODUCT(MAX((JP_PAL=DATE(Planungsjahr,4,CF49))*Anzeige_P*((JP_Anzeige=TRUE)+NOT(Filter_Aktiv)&gt;0)*(11-JP_Farbe)))),IF(COUNTIF(Feiertage,DATE(Planungsjahr,4,CF49))&gt;0,"h",IF(COUNTIFS(U_Von,"&lt;="&amp;DATE(Planungsjahr,4,CF49),U_Bis,"&gt;="&amp;DATE(Planungsjahr,4,CF49))&gt;0,"u",""))),"")</f>
      </c>
      <c r="CI50" s="223">
        <f>IF(ISNUMBER(CI49),IFERROR(11-1/(1/SUMPRODUCT(MAX((JP_StartSel=DATE(Planungsjahr,4,CI49))*Anzeige_S*((JP_Anzeige=TRUE)+NOT(Filter_Aktiv)&gt;0)*(11-JP_Farbe)))),IF(COUNTIF(Feiertage,DATE(Planungsjahr,4,CI49))&gt;0,"h","w")),"")</f>
      </c>
      <c r="CJ50" s="224">
        <f>IF(ISNUMBER(CI49),IFERROR(21-1/(1/SUMPRODUCT(MAX((JP_StartInhalt=DATE(Planungsjahr,4,CI49))*Anzeige_I*((JP_Anzeige=TRUE)+NOT(Filter_Aktiv)&gt;0)*(11-JP_Farbe)))),IF(COUNTIF(Feiertage,DATE(Planungsjahr,4,CI49))&gt;0,"h","w")),"")</f>
      </c>
      <c r="CK50" s="225">
        <f>IF(ISNUMBER(CI49),IFERROR(31-1/(1/SUMPRODUCT(MAX((JP_PAL=DATE(Planungsjahr,4,CI49))*Anzeige_P*((JP_Anzeige=TRUE)+NOT(Filter_Aktiv)&gt;0)*(11-JP_Farbe)))),IF(COUNTIF(Feiertage,DATE(Planungsjahr,4,CI49))&gt;0,"h","w")),"")</f>
      </c>
      <c r="CL50" s="223">
        <f>IF(ISNUMBER(CL49),IFERROR(11-1/(1/SUMPRODUCT(MAX((JP_StartSel=DATE(Planungsjahr,4,CL49))*Anzeige_S*((JP_Anzeige=TRUE)+NOT(Filter_Aktiv)&gt;0)*(11-JP_Farbe)))),IF(COUNTIF(Feiertage,DATE(Planungsjahr,4,CL49))&gt;0,"h","w")),"")</f>
      </c>
      <c r="CM50" s="224">
        <f>IF(ISNUMBER(CL49),IFERROR(21-1/(1/SUMPRODUCT(MAX((JP_StartInhalt=DATE(Planungsjahr,4,CL49))*Anzeige_I*((JP_Anzeige=TRUE)+NOT(Filter_Aktiv)&gt;0)*(11-JP_Farbe)))),IF(COUNTIF(Feiertage,DATE(Planungsjahr,4,CL49))&gt;0,"h","w")),"")</f>
      </c>
      <c r="CN50" s="225">
        <f>IF(ISNUMBER(CL49),IFERROR(31-1/(1/SUMPRODUCT(MAX((JP_PAL=DATE(Planungsjahr,4,CL49))*Anzeige_P*((JP_Anzeige=TRUE)+NOT(Filter_Aktiv)&gt;0)*(11-JP_Farbe)))),IF(COUNTIF(Feiertage,DATE(Planungsjahr,4,CL49))&gt;0,"h","w")),"")</f>
      </c>
    </row>
    <row r="51" spans="2:92" ht="15.95" customHeight="1" x14ac:dyDescent="0.25">
      <c r="B51" s="165">
        <f>IF(OR(ISNUMBER(C51),ISNUMBER(U51)),_xlfn.ISOWEEKNUM(DATE(Planungsjahr,1,1)-WEEKDAY(DATE(Planungsjahr,1,1),2)+22),"")</f>
        <v>3</v>
      </c>
      <c r="C51" s="188">
        <f>IF(MONTH(DATE(Planungsjahr,1,1)-WEEKDAY(DATE(Planungsjahr,1,1),2)+22)=1,DAY(DATE(Planungsjahr,1,1)-WEEKDAY(DATE(Planungsjahr,1,1),2)+22),"")</f>
        <v>18</v>
      </c>
      <c r="D51" s="188"/>
      <c r="E51" s="188"/>
      <c r="F51" s="188">
        <f>IF(MONTH(DATE(Planungsjahr,1,1)-WEEKDAY(DATE(Planungsjahr,1,1),2)+23)=1,DAY(DATE(Planungsjahr,1,1)-WEEKDAY(DATE(Planungsjahr,1,1),2)+23),"")</f>
        <v>19</v>
      </c>
      <c r="G51" s="188"/>
      <c r="H51" s="188"/>
      <c r="I51" s="188">
        <f>IF(MONTH(DATE(Planungsjahr,1,1)-WEEKDAY(DATE(Planungsjahr,1,1),2)+24)=1,DAY(DATE(Planungsjahr,1,1)-WEEKDAY(DATE(Planungsjahr,1,1),2)+24),"")</f>
        <v>20</v>
      </c>
      <c r="J51" s="188"/>
      <c r="K51" s="188"/>
      <c r="L51" s="188">
        <f>IF(MONTH(DATE(Planungsjahr,1,1)-WEEKDAY(DATE(Planungsjahr,1,1),2)+25)=1,DAY(DATE(Planungsjahr,1,1)-WEEKDAY(DATE(Planungsjahr,1,1),2)+25),"")</f>
        <v>21</v>
      </c>
      <c r="M51" s="188"/>
      <c r="N51" s="188"/>
      <c r="O51" s="188">
        <f>IF(MONTH(DATE(Planungsjahr,1,1)-WEEKDAY(DATE(Planungsjahr,1,1),2)+26)=1,DAY(DATE(Planungsjahr,1,1)-WEEKDAY(DATE(Planungsjahr,1,1),2)+26),"")</f>
        <v>22</v>
      </c>
      <c r="P51" s="188"/>
      <c r="Q51" s="188"/>
      <c r="R51" s="188">
        <f>IF(MONTH(DATE(Planungsjahr,1,1)-WEEKDAY(DATE(Planungsjahr,1,1),2)+27)=1,DAY(DATE(Planungsjahr,1,1)-WEEKDAY(DATE(Planungsjahr,1,1),2)+27),"")</f>
        <v>23</v>
      </c>
      <c r="S51" s="188"/>
      <c r="T51" s="188"/>
      <c r="U51" s="188">
        <f>IF(MONTH(DATE(Planungsjahr,1,1)-WEEKDAY(DATE(Planungsjahr,1,1),2)+28)=1,DAY(DATE(Planungsjahr,1,1)-WEEKDAY(DATE(Planungsjahr,1,1),2)+28),"")</f>
        <v>24</v>
      </c>
      <c r="V51" s="188"/>
      <c r="W51" s="189"/>
      <c r="Y51" s="177">
        <f>IF(OR(ISNUMBER(Z51),ISNUMBER(AR51)),_xlfn.ISOWEEKNUM(DATE(Planungsjahr,2,1)-WEEKDAY(DATE(Planungsjahr,2,1),2)+22),"")</f>
        <v>8</v>
      </c>
      <c r="Z51" s="188">
        <f>IF(MONTH(DATE(Planungsjahr,2,1)-WEEKDAY(DATE(Planungsjahr,2,1),2)+22)=2,DAY(DATE(Planungsjahr,2,1)-WEEKDAY(DATE(Planungsjahr,2,1),2)+22),"")</f>
        <v>22</v>
      </c>
      <c r="AA51" s="188"/>
      <c r="AB51" s="188"/>
      <c r="AC51" s="188">
        <f>IF(MONTH(DATE(Planungsjahr,2,1)-WEEKDAY(DATE(Planungsjahr,2,1),2)+23)=2,DAY(DATE(Planungsjahr,2,1)-WEEKDAY(DATE(Planungsjahr,2,1),2)+23),"")</f>
        <v>23</v>
      </c>
      <c r="AD51" s="188"/>
      <c r="AE51" s="188"/>
      <c r="AF51" s="188">
        <f>IF(MONTH(DATE(Planungsjahr,2,1)-WEEKDAY(DATE(Planungsjahr,2,1),2)+24)=2,DAY(DATE(Planungsjahr,2,1)-WEEKDAY(DATE(Planungsjahr,2,1),2)+24),"")</f>
        <v>24</v>
      </c>
      <c r="AG51" s="188"/>
      <c r="AH51" s="188"/>
      <c r="AI51" s="188">
        <f>IF(MONTH(DATE(Planungsjahr,2,1)-WEEKDAY(DATE(Planungsjahr,2,1),2)+25)=2,DAY(DATE(Planungsjahr,2,1)-WEEKDAY(DATE(Planungsjahr,2,1),2)+25),"")</f>
        <v>25</v>
      </c>
      <c r="AJ51" s="188"/>
      <c r="AK51" s="188"/>
      <c r="AL51" s="188">
        <f>IF(MONTH(DATE(Planungsjahr,2,1)-WEEKDAY(DATE(Planungsjahr,2,1),2)+26)=2,DAY(DATE(Planungsjahr,2,1)-WEEKDAY(DATE(Planungsjahr,2,1),2)+26),"")</f>
        <v>26</v>
      </c>
      <c r="AM51" s="188"/>
      <c r="AN51" s="188"/>
      <c r="AO51" s="188">
        <f>IF(MONTH(DATE(Planungsjahr,2,1)-WEEKDAY(DATE(Planungsjahr,2,1),2)+27)=2,DAY(DATE(Planungsjahr,2,1)-WEEKDAY(DATE(Planungsjahr,2,1),2)+27),"")</f>
        <v>27</v>
      </c>
      <c r="AP51" s="188"/>
      <c r="AQ51" s="188"/>
      <c r="AR51" s="188">
        <f>IF(MONTH(DATE(Planungsjahr,2,1)-WEEKDAY(DATE(Planungsjahr,2,1),2)+28)=2,DAY(DATE(Planungsjahr,2,1)-WEEKDAY(DATE(Planungsjahr,2,1),2)+28),"")</f>
        <v>28</v>
      </c>
      <c r="AS51" s="188"/>
      <c r="AT51" s="190"/>
      <c r="AV51" s="177">
        <f>IF(OR(ISNUMBER(AW51),ISNUMBER(BO51)),_xlfn.ISOWEEKNUM(DATE(Planungsjahr,3,1)-WEEKDAY(DATE(Planungsjahr,3,1),2)+22),"")</f>
        <v>12</v>
      </c>
      <c r="AW51" s="188">
        <f>IF(MONTH(DATE(Planungsjahr,3,1)-WEEKDAY(DATE(Planungsjahr,3,1),2)+22)=3,DAY(DATE(Planungsjahr,3,1)-WEEKDAY(DATE(Planungsjahr,3,1),2)+22),"")</f>
        <v>22</v>
      </c>
      <c r="AX51" s="188"/>
      <c r="AY51" s="188"/>
      <c r="AZ51" s="188">
        <f>IF(MONTH(DATE(Planungsjahr,3,1)-WEEKDAY(DATE(Planungsjahr,3,1),2)+23)=3,DAY(DATE(Planungsjahr,3,1)-WEEKDAY(DATE(Planungsjahr,3,1),2)+23),"")</f>
        <v>23</v>
      </c>
      <c r="BA51" s="188"/>
      <c r="BB51" s="188"/>
      <c r="BC51" s="188">
        <f>IF(MONTH(DATE(Planungsjahr,3,1)-WEEKDAY(DATE(Planungsjahr,3,1),2)+24)=3,DAY(DATE(Planungsjahr,3,1)-WEEKDAY(DATE(Planungsjahr,3,1),2)+24),"")</f>
        <v>24</v>
      </c>
      <c r="BD51" s="188"/>
      <c r="BE51" s="188"/>
      <c r="BF51" s="188">
        <f>IF(MONTH(DATE(Planungsjahr,3,1)-WEEKDAY(DATE(Planungsjahr,3,1),2)+25)=3,DAY(DATE(Planungsjahr,3,1)-WEEKDAY(DATE(Planungsjahr,3,1),2)+25),"")</f>
        <v>25</v>
      </c>
      <c r="BG51" s="188"/>
      <c r="BH51" s="188"/>
      <c r="BI51" s="188">
        <f>IF(MONTH(DATE(Planungsjahr,3,1)-WEEKDAY(DATE(Planungsjahr,3,1),2)+26)=3,DAY(DATE(Planungsjahr,3,1)-WEEKDAY(DATE(Planungsjahr,3,1),2)+26),"")</f>
        <v>26</v>
      </c>
      <c r="BJ51" s="188"/>
      <c r="BK51" s="188"/>
      <c r="BL51" s="188">
        <f>IF(MONTH(DATE(Planungsjahr,3,1)-WEEKDAY(DATE(Planungsjahr,3,1),2)+27)=3,DAY(DATE(Planungsjahr,3,1)-WEEKDAY(DATE(Planungsjahr,3,1),2)+27),"")</f>
        <v>27</v>
      </c>
      <c r="BM51" s="188"/>
      <c r="BN51" s="188"/>
      <c r="BO51" s="188">
        <f>IF(MONTH(DATE(Planungsjahr,3,1)-WEEKDAY(DATE(Planungsjahr,3,1),2)+28)=3,DAY(DATE(Planungsjahr,3,1)-WEEKDAY(DATE(Planungsjahr,3,1),2)+28),"")</f>
        <v>28</v>
      </c>
      <c r="BP51" s="188"/>
      <c r="BQ51" s="190"/>
      <c r="BS51" s="177">
        <f>IF(OR(ISNUMBER(BT51),ISNUMBER(CL51)),_xlfn.ISOWEEKNUM(DATE(Planungsjahr,4,1)-WEEKDAY(DATE(Planungsjahr,4,1),2)+22),"")</f>
        <v>16</v>
      </c>
      <c r="BT51" s="188">
        <f>IF(MONTH(DATE(Planungsjahr,4,1)-WEEKDAY(DATE(Planungsjahr,4,1),2)+22)=4,DAY(DATE(Planungsjahr,4,1)-WEEKDAY(DATE(Planungsjahr,4,1),2)+22),"")</f>
        <v>19</v>
      </c>
      <c r="BU51" s="188"/>
      <c r="BV51" s="188"/>
      <c r="BW51" s="188">
        <f>IF(MONTH(DATE(Planungsjahr,4,1)-WEEKDAY(DATE(Planungsjahr,4,1),2)+23)=4,DAY(DATE(Planungsjahr,4,1)-WEEKDAY(DATE(Planungsjahr,4,1),2)+23),"")</f>
        <v>20</v>
      </c>
      <c r="BX51" s="188"/>
      <c r="BY51" s="188"/>
      <c r="BZ51" s="188">
        <f>IF(MONTH(DATE(Planungsjahr,4,1)-WEEKDAY(DATE(Planungsjahr,4,1),2)+24)=4,DAY(DATE(Planungsjahr,4,1)-WEEKDAY(DATE(Planungsjahr,4,1),2)+24),"")</f>
        <v>21</v>
      </c>
      <c r="CA51" s="188"/>
      <c r="CB51" s="188"/>
      <c r="CC51" s="188">
        <f>IF(MONTH(DATE(Planungsjahr,4,1)-WEEKDAY(DATE(Planungsjahr,4,1),2)+25)=4,DAY(DATE(Planungsjahr,4,1)-WEEKDAY(DATE(Planungsjahr,4,1),2)+25),"")</f>
        <v>22</v>
      </c>
      <c r="CD51" s="188"/>
      <c r="CE51" s="188"/>
      <c r="CF51" s="188">
        <f>IF(MONTH(DATE(Planungsjahr,4,1)-WEEKDAY(DATE(Planungsjahr,4,1),2)+26)=4,DAY(DATE(Planungsjahr,4,1)-WEEKDAY(DATE(Planungsjahr,4,1),2)+26),"")</f>
        <v>23</v>
      </c>
      <c r="CG51" s="188"/>
      <c r="CH51" s="188"/>
      <c r="CI51" s="188">
        <f>IF(MONTH(DATE(Planungsjahr,4,1)-WEEKDAY(DATE(Planungsjahr,4,1),2)+27)=4,DAY(DATE(Planungsjahr,4,1)-WEEKDAY(DATE(Planungsjahr,4,1),2)+27),"")</f>
        <v>24</v>
      </c>
      <c r="CJ51" s="188"/>
      <c r="CK51" s="188"/>
      <c r="CL51" s="188">
        <f>IF(MONTH(DATE(Planungsjahr,4,1)-WEEKDAY(DATE(Planungsjahr,4,1),2)+28)=4,DAY(DATE(Planungsjahr,4,1)-WEEKDAY(DATE(Planungsjahr,4,1),2)+28),"")</f>
        <v>25</v>
      </c>
      <c r="CM51" s="188"/>
      <c r="CN51" s="190"/>
    </row>
    <row r="52" spans="2:92" ht="10.5" customHeight="1" x14ac:dyDescent="0.25">
      <c r="B52" s="167"/>
      <c r="C52" s="223">
        <f>IF(ISNUMBER(C51),IFERROR(11-1/(1/SUMPRODUCT(MAX((JP_StartSel=DATE(Planungsjahr,1,C51))*Anzeige_S*((JP_Anzeige=TRUE)+NOT(Filter_Aktiv)&gt;0)*(11-JP_Farbe)))),IF(COUNTIF(Feiertage,DATE(Planungsjahr,1,C51))&gt;0,"h",IF(COUNTIFS(U_Von,"&lt;="&amp;DATE(Planungsjahr,1,C51),U_Bis,"&gt;="&amp;DATE(Planungsjahr,1,C51))&gt;0,"u",""))),"")</f>
      </c>
      <c r="D52" s="224">
        <f>IF(ISNUMBER(C51),IFERROR(21-1/(1/SUMPRODUCT(MAX((JP_StartInhalt=DATE(Planungsjahr,1,C51))*Anzeige_I*((JP_Anzeige=TRUE)+NOT(Filter_Aktiv)&gt;0)*(11-JP_Farbe)))),IF(COUNTIF(Feiertage,DATE(Planungsjahr,1,C51))&gt;0,"h",IF(COUNTIFS(U_Von,"&lt;="&amp;DATE(Planungsjahr,1,C51),U_Bis,"&gt;="&amp;DATE(Planungsjahr,1,C51))&gt;0,"u",""))),"")</f>
      </c>
      <c r="E52" s="225">
        <f>IF(ISNUMBER(C51),IFERROR(31-1/(1/SUMPRODUCT(MAX((JP_PAL=DATE(Planungsjahr,1,C51))*Anzeige_P*((JP_Anzeige=TRUE)+NOT(Filter_Aktiv)&gt;0)*(11-JP_Farbe)))),IF(COUNTIF(Feiertage,DATE(Planungsjahr,1,C51))&gt;0,"h",IF(COUNTIFS(U_Von,"&lt;="&amp;DATE(Planungsjahr,1,C51),U_Bis,"&gt;="&amp;DATE(Planungsjahr,1,C51))&gt;0,"u",""))),"")</f>
      </c>
      <c r="F52" s="223">
        <f>IF(ISNUMBER(F51),IFERROR(11-1/(1/SUMPRODUCT(MAX((JP_StartSel=DATE(Planungsjahr,1,F51))*Anzeige_S*((JP_Anzeige=TRUE)+NOT(Filter_Aktiv)&gt;0)*(11-JP_Farbe)))),IF(COUNTIF(Feiertage,DATE(Planungsjahr,1,F51))&gt;0,"h",IF(COUNTIFS(U_Von,"&lt;="&amp;DATE(Planungsjahr,1,F51),U_Bis,"&gt;="&amp;DATE(Planungsjahr,1,F51))&gt;0,"u",""))),"")</f>
      </c>
      <c r="G52" s="224">
        <f>IF(ISNUMBER(F51),IFERROR(21-1/(1/SUMPRODUCT(MAX((JP_StartInhalt=DATE(Planungsjahr,1,F51))*Anzeige_I*((JP_Anzeige=TRUE)+NOT(Filter_Aktiv)&gt;0)*(11-JP_Farbe)))),IF(COUNTIF(Feiertage,DATE(Planungsjahr,1,F51))&gt;0,"h",IF(COUNTIFS(U_Von,"&lt;="&amp;DATE(Planungsjahr,1,F51),U_Bis,"&gt;="&amp;DATE(Planungsjahr,1,F51))&gt;0,"u",""))),"")</f>
      </c>
      <c r="H52" s="225">
        <f>IF(ISNUMBER(F51),IFERROR(31-1/(1/SUMPRODUCT(MAX((JP_PAL=DATE(Planungsjahr,1,F51))*Anzeige_P*((JP_Anzeige=TRUE)+NOT(Filter_Aktiv)&gt;0)*(11-JP_Farbe)))),IF(COUNTIF(Feiertage,DATE(Planungsjahr,1,F51))&gt;0,"h",IF(COUNTIFS(U_Von,"&lt;="&amp;DATE(Planungsjahr,1,F51),U_Bis,"&gt;="&amp;DATE(Planungsjahr,1,F51))&gt;0,"u",""))),"")</f>
      </c>
      <c r="I52" s="223">
        <f>IF(ISNUMBER(I51),IFERROR(11-1/(1/SUMPRODUCT(MAX((JP_StartSel=DATE(Planungsjahr,1,I51))*Anzeige_S*((JP_Anzeige=TRUE)+NOT(Filter_Aktiv)&gt;0)*(11-JP_Farbe)))),IF(COUNTIF(Feiertage,DATE(Planungsjahr,1,I51))&gt;0,"h",IF(COUNTIFS(U_Von,"&lt;="&amp;DATE(Planungsjahr,1,I51),U_Bis,"&gt;="&amp;DATE(Planungsjahr,1,I51))&gt;0,"u",""))),"")</f>
      </c>
      <c r="J52" s="224">
        <f>IF(ISNUMBER(I51),IFERROR(21-1/(1/SUMPRODUCT(MAX((JP_StartInhalt=DATE(Planungsjahr,1,I51))*Anzeige_I*((JP_Anzeige=TRUE)+NOT(Filter_Aktiv)&gt;0)*(11-JP_Farbe)))),IF(COUNTIF(Feiertage,DATE(Planungsjahr,1,I51))&gt;0,"h",IF(COUNTIFS(U_Von,"&lt;="&amp;DATE(Planungsjahr,1,I51),U_Bis,"&gt;="&amp;DATE(Planungsjahr,1,I51))&gt;0,"u",""))),"")</f>
      </c>
      <c r="K52" s="225">
        <f>IF(ISNUMBER(I51),IFERROR(31-1/(1/SUMPRODUCT(MAX((JP_PAL=DATE(Planungsjahr,1,I51))*Anzeige_P*((JP_Anzeige=TRUE)+NOT(Filter_Aktiv)&gt;0)*(11-JP_Farbe)))),IF(COUNTIF(Feiertage,DATE(Planungsjahr,1,I51))&gt;0,"h",IF(COUNTIFS(U_Von,"&lt;="&amp;DATE(Planungsjahr,1,I51),U_Bis,"&gt;="&amp;DATE(Planungsjahr,1,I51))&gt;0,"u",""))),"")</f>
      </c>
      <c r="L52" s="223">
        <f>IF(ISNUMBER(L51),IFERROR(11-1/(1/SUMPRODUCT(MAX((JP_StartSel=DATE(Planungsjahr,1,L51))*Anzeige_S*((JP_Anzeige=TRUE)+NOT(Filter_Aktiv)&gt;0)*(11-JP_Farbe)))),IF(COUNTIF(Feiertage,DATE(Planungsjahr,1,L51))&gt;0,"h",IF(COUNTIFS(U_Von,"&lt;="&amp;DATE(Planungsjahr,1,L51),U_Bis,"&gt;="&amp;DATE(Planungsjahr,1,L51))&gt;0,"u",""))),"")</f>
      </c>
      <c r="M52" s="224">
        <f>IF(ISNUMBER(L51),IFERROR(21-1/(1/SUMPRODUCT(MAX((JP_StartInhalt=DATE(Planungsjahr,1,L51))*Anzeige_I*((JP_Anzeige=TRUE)+NOT(Filter_Aktiv)&gt;0)*(11-JP_Farbe)))),IF(COUNTIF(Feiertage,DATE(Planungsjahr,1,L51))&gt;0,"h",IF(COUNTIFS(U_Von,"&lt;="&amp;DATE(Planungsjahr,1,L51),U_Bis,"&gt;="&amp;DATE(Planungsjahr,1,L51))&gt;0,"u",""))),"")</f>
      </c>
      <c r="N52" s="225">
        <f>IF(ISNUMBER(L51),IFERROR(31-1/(1/SUMPRODUCT(MAX((JP_PAL=DATE(Planungsjahr,1,L51))*Anzeige_P*((JP_Anzeige=TRUE)+NOT(Filter_Aktiv)&gt;0)*(11-JP_Farbe)))),IF(COUNTIF(Feiertage,DATE(Planungsjahr,1,L51))&gt;0,"h",IF(COUNTIFS(U_Von,"&lt;="&amp;DATE(Planungsjahr,1,L51),U_Bis,"&gt;="&amp;DATE(Planungsjahr,1,L51))&gt;0,"u",""))),"")</f>
      </c>
      <c r="O52" s="223">
        <f>IF(ISNUMBER(O51),IFERROR(11-1/(1/SUMPRODUCT(MAX((JP_StartSel=DATE(Planungsjahr,1,O51))*Anzeige_S*((JP_Anzeige=TRUE)+NOT(Filter_Aktiv)&gt;0)*(11-JP_Farbe)))),IF(COUNTIF(Feiertage,DATE(Planungsjahr,1,O51))&gt;0,"h",IF(COUNTIFS(U_Von,"&lt;="&amp;DATE(Planungsjahr,1,O51),U_Bis,"&gt;="&amp;DATE(Planungsjahr,1,O51))&gt;0,"u",""))),"")</f>
      </c>
      <c r="P52" s="224">
        <f>IF(ISNUMBER(O51),IFERROR(21-1/(1/SUMPRODUCT(MAX((JP_StartInhalt=DATE(Planungsjahr,1,O51))*Anzeige_I*((JP_Anzeige=TRUE)+NOT(Filter_Aktiv)&gt;0)*(11-JP_Farbe)))),IF(COUNTIF(Feiertage,DATE(Planungsjahr,1,O51))&gt;0,"h",IF(COUNTIFS(U_Von,"&lt;="&amp;DATE(Planungsjahr,1,O51),U_Bis,"&gt;="&amp;DATE(Planungsjahr,1,O51))&gt;0,"u",""))),"")</f>
      </c>
      <c r="Q52" s="225">
        <f>IF(ISNUMBER(O51),IFERROR(31-1/(1/SUMPRODUCT(MAX((JP_PAL=DATE(Planungsjahr,1,O51))*Anzeige_P*((JP_Anzeige=TRUE)+NOT(Filter_Aktiv)&gt;0)*(11-JP_Farbe)))),IF(COUNTIF(Feiertage,DATE(Planungsjahr,1,O51))&gt;0,"h",IF(COUNTIFS(U_Von,"&lt;="&amp;DATE(Planungsjahr,1,O51),U_Bis,"&gt;="&amp;DATE(Planungsjahr,1,O51))&gt;0,"u",""))),"")</f>
      </c>
      <c r="R52" s="223">
        <f>IF(ISNUMBER(R51),IFERROR(11-1/(1/SUMPRODUCT(MAX((JP_StartSel=DATE(Planungsjahr,1,R51))*Anzeige_S*((JP_Anzeige=TRUE)+NOT(Filter_Aktiv)&gt;0)*(11-JP_Farbe)))),IF(COUNTIF(Feiertage,DATE(Planungsjahr,1,R51))&gt;0,"h","w")),"")</f>
      </c>
      <c r="S52" s="224">
        <f>IF(ISNUMBER(R51),IFERROR(21-1/(1/SUMPRODUCT(MAX((JP_StartInhalt=DATE(Planungsjahr,1,R51))*Anzeige_I*((JP_Anzeige=TRUE)+NOT(Filter_Aktiv)&gt;0)*(11-JP_Farbe)))),IF(COUNTIF(Feiertage,DATE(Planungsjahr,1,R51))&gt;0,"h","w")),"")</f>
      </c>
      <c r="T52" s="225">
        <f>IF(ISNUMBER(R51),IFERROR(31-1/(1/SUMPRODUCT(MAX((JP_PAL=DATE(Planungsjahr,1,R51))*Anzeige_P*((JP_Anzeige=TRUE)+NOT(Filter_Aktiv)&gt;0)*(11-JP_Farbe)))),IF(COUNTIF(Feiertage,DATE(Planungsjahr,1,R51))&gt;0,"h","w")),"")</f>
      </c>
      <c r="U52" s="223">
        <f>IF(ISNUMBER(U51),IFERROR(11-1/(1/SUMPRODUCT(MAX((JP_StartSel=DATE(Planungsjahr,1,U51))*Anzeige_S*((JP_Anzeige=TRUE)+NOT(Filter_Aktiv)&gt;0)*(11-JP_Farbe)))),IF(COUNTIF(Feiertage,DATE(Planungsjahr,1,U51))&gt;0,"h","w")),"")</f>
      </c>
      <c r="V52" s="224">
        <f>IF(ISNUMBER(U51),IFERROR(21-1/(1/SUMPRODUCT(MAX((JP_StartInhalt=DATE(Planungsjahr,1,U51))*Anzeige_I*((JP_Anzeige=TRUE)+NOT(Filter_Aktiv)&gt;0)*(11-JP_Farbe)))),IF(COUNTIF(Feiertage,DATE(Planungsjahr,1,U51))&gt;0,"h","w")),"")</f>
      </c>
      <c r="W52" s="225">
        <f>IF(ISNUMBER(U51),IFERROR(31-1/(1/SUMPRODUCT(MAX((JP_PAL=DATE(Planungsjahr,1,U51))*Anzeige_P*((JP_Anzeige=TRUE)+NOT(Filter_Aktiv)&gt;0)*(11-JP_Farbe)))),IF(COUNTIF(Feiertage,DATE(Planungsjahr,1,U51))&gt;0,"h","w")),"")</f>
      </c>
      <c r="Y52" s="179"/>
      <c r="Z52" s="223">
        <f>IF(ISNUMBER(Z51),IFERROR(11-1/(1/SUMPRODUCT(MAX((JP_StartSel=DATE(Planungsjahr,2,Z51))*Anzeige_S*((JP_Anzeige=TRUE)+NOT(Filter_Aktiv)&gt;0)*(11-JP_Farbe)))),IF(COUNTIF(Feiertage,DATE(Planungsjahr,2,Z51))&gt;0,"h",IF(COUNTIFS(U_Von,"&lt;="&amp;DATE(Planungsjahr,2,Z51),U_Bis,"&gt;="&amp;DATE(Planungsjahr,2,Z51))&gt;0,"u",""))),"")</f>
      </c>
      <c r="AA52" s="224">
        <f>IF(ISNUMBER(Z51),IFERROR(21-1/(1/SUMPRODUCT(MAX((JP_StartInhalt=DATE(Planungsjahr,2,Z51))*Anzeige_I*((JP_Anzeige=TRUE)+NOT(Filter_Aktiv)&gt;0)*(11-JP_Farbe)))),IF(COUNTIF(Feiertage,DATE(Planungsjahr,2,Z51))&gt;0,"h",IF(COUNTIFS(U_Von,"&lt;="&amp;DATE(Planungsjahr,2,Z51),U_Bis,"&gt;="&amp;DATE(Planungsjahr,2,Z51))&gt;0,"u",""))),"")</f>
      </c>
      <c r="AB52" s="225">
        <f>IF(ISNUMBER(Z51),IFERROR(31-1/(1/SUMPRODUCT(MAX((JP_PAL=DATE(Planungsjahr,2,Z51))*Anzeige_P*((JP_Anzeige=TRUE)+NOT(Filter_Aktiv)&gt;0)*(11-JP_Farbe)))),IF(COUNTIF(Feiertage,DATE(Planungsjahr,2,Z51))&gt;0,"h",IF(COUNTIFS(U_Von,"&lt;="&amp;DATE(Planungsjahr,2,Z51),U_Bis,"&gt;="&amp;DATE(Planungsjahr,2,Z51))&gt;0,"u",""))),"")</f>
      </c>
      <c r="AC52" s="223">
        <f>IF(ISNUMBER(AC51),IFERROR(11-1/(1/SUMPRODUCT(MAX((JP_StartSel=DATE(Planungsjahr,2,AC51))*Anzeige_S*((JP_Anzeige=TRUE)+NOT(Filter_Aktiv)&gt;0)*(11-JP_Farbe)))),IF(COUNTIF(Feiertage,DATE(Planungsjahr,2,AC51))&gt;0,"h",IF(COUNTIFS(U_Von,"&lt;="&amp;DATE(Planungsjahr,2,AC51),U_Bis,"&gt;="&amp;DATE(Planungsjahr,2,AC51))&gt;0,"u",""))),"")</f>
      </c>
      <c r="AD52" s="224">
        <f>IF(ISNUMBER(AC51),IFERROR(21-1/(1/SUMPRODUCT(MAX((JP_StartInhalt=DATE(Planungsjahr,2,AC51))*Anzeige_I*((JP_Anzeige=TRUE)+NOT(Filter_Aktiv)&gt;0)*(11-JP_Farbe)))),IF(COUNTIF(Feiertage,DATE(Planungsjahr,2,AC51))&gt;0,"h",IF(COUNTIFS(U_Von,"&lt;="&amp;DATE(Planungsjahr,2,AC51),U_Bis,"&gt;="&amp;DATE(Planungsjahr,2,AC51))&gt;0,"u",""))),"")</f>
      </c>
      <c r="AE52" s="225">
        <f>IF(ISNUMBER(AC51),IFERROR(31-1/(1/SUMPRODUCT(MAX((JP_PAL=DATE(Planungsjahr,2,AC51))*Anzeige_P*((JP_Anzeige=TRUE)+NOT(Filter_Aktiv)&gt;0)*(11-JP_Farbe)))),IF(COUNTIF(Feiertage,DATE(Planungsjahr,2,AC51))&gt;0,"h",IF(COUNTIFS(U_Von,"&lt;="&amp;DATE(Planungsjahr,2,AC51),U_Bis,"&gt;="&amp;DATE(Planungsjahr,2,AC51))&gt;0,"u",""))),"")</f>
      </c>
      <c r="AF52" s="223">
        <f>IF(ISNUMBER(AF51),IFERROR(11-1/(1/SUMPRODUCT(MAX((JP_StartSel=DATE(Planungsjahr,2,AF51))*Anzeige_S*((JP_Anzeige=TRUE)+NOT(Filter_Aktiv)&gt;0)*(11-JP_Farbe)))),IF(COUNTIF(Feiertage,DATE(Planungsjahr,2,AF51))&gt;0,"h",IF(COUNTIFS(U_Von,"&lt;="&amp;DATE(Planungsjahr,2,AF51),U_Bis,"&gt;="&amp;DATE(Planungsjahr,2,AF51))&gt;0,"u",""))),"")</f>
      </c>
      <c r="AG52" s="224">
        <f>IF(ISNUMBER(AF51),IFERROR(21-1/(1/SUMPRODUCT(MAX((JP_StartInhalt=DATE(Planungsjahr,2,AF51))*Anzeige_I*((JP_Anzeige=TRUE)+NOT(Filter_Aktiv)&gt;0)*(11-JP_Farbe)))),IF(COUNTIF(Feiertage,DATE(Planungsjahr,2,AF51))&gt;0,"h",IF(COUNTIFS(U_Von,"&lt;="&amp;DATE(Planungsjahr,2,AF51),U_Bis,"&gt;="&amp;DATE(Planungsjahr,2,AF51))&gt;0,"u",""))),"")</f>
      </c>
      <c r="AH52" s="225">
        <f>IF(ISNUMBER(AF51),IFERROR(31-1/(1/SUMPRODUCT(MAX((JP_PAL=DATE(Planungsjahr,2,AF51))*Anzeige_P*((JP_Anzeige=TRUE)+NOT(Filter_Aktiv)&gt;0)*(11-JP_Farbe)))),IF(COUNTIF(Feiertage,DATE(Planungsjahr,2,AF51))&gt;0,"h",IF(COUNTIFS(U_Von,"&lt;="&amp;DATE(Planungsjahr,2,AF51),U_Bis,"&gt;="&amp;DATE(Planungsjahr,2,AF51))&gt;0,"u",""))),"")</f>
      </c>
      <c r="AI52" s="223">
        <f>IF(ISNUMBER(AI51),IFERROR(11-1/(1/SUMPRODUCT(MAX((JP_StartSel=DATE(Planungsjahr,2,AI51))*Anzeige_S*((JP_Anzeige=TRUE)+NOT(Filter_Aktiv)&gt;0)*(11-JP_Farbe)))),IF(COUNTIF(Feiertage,DATE(Planungsjahr,2,AI51))&gt;0,"h",IF(COUNTIFS(U_Von,"&lt;="&amp;DATE(Planungsjahr,2,AI51),U_Bis,"&gt;="&amp;DATE(Planungsjahr,2,AI51))&gt;0,"u",""))),"")</f>
      </c>
      <c r="AJ52" s="224">
        <f>IF(ISNUMBER(AI51),IFERROR(21-1/(1/SUMPRODUCT(MAX((JP_StartInhalt=DATE(Planungsjahr,2,AI51))*Anzeige_I*((JP_Anzeige=TRUE)+NOT(Filter_Aktiv)&gt;0)*(11-JP_Farbe)))),IF(COUNTIF(Feiertage,DATE(Planungsjahr,2,AI51))&gt;0,"h",IF(COUNTIFS(U_Von,"&lt;="&amp;DATE(Planungsjahr,2,AI51),U_Bis,"&gt;="&amp;DATE(Planungsjahr,2,AI51))&gt;0,"u",""))),"")</f>
      </c>
      <c r="AK52" s="225">
        <f>IF(ISNUMBER(AI51),IFERROR(31-1/(1/SUMPRODUCT(MAX((JP_PAL=DATE(Planungsjahr,2,AI51))*Anzeige_P*((JP_Anzeige=TRUE)+NOT(Filter_Aktiv)&gt;0)*(11-JP_Farbe)))),IF(COUNTIF(Feiertage,DATE(Planungsjahr,2,AI51))&gt;0,"h",IF(COUNTIFS(U_Von,"&lt;="&amp;DATE(Planungsjahr,2,AI51),U_Bis,"&gt;="&amp;DATE(Planungsjahr,2,AI51))&gt;0,"u",""))),"")</f>
      </c>
      <c r="AL52" s="223">
        <f>IF(ISNUMBER(AL51),IFERROR(11-1/(1/SUMPRODUCT(MAX((JP_StartSel=DATE(Planungsjahr,2,AL51))*Anzeige_S*((JP_Anzeige=TRUE)+NOT(Filter_Aktiv)&gt;0)*(11-JP_Farbe)))),IF(COUNTIF(Feiertage,DATE(Planungsjahr,2,AL51))&gt;0,"h",IF(COUNTIFS(U_Von,"&lt;="&amp;DATE(Planungsjahr,2,AL51),U_Bis,"&gt;="&amp;DATE(Planungsjahr,2,AL51))&gt;0,"u",""))),"")</f>
      </c>
      <c r="AM52" s="224">
        <f>IF(ISNUMBER(AL51),IFERROR(21-1/(1/SUMPRODUCT(MAX((JP_StartInhalt=DATE(Planungsjahr,2,AL51))*Anzeige_I*((JP_Anzeige=TRUE)+NOT(Filter_Aktiv)&gt;0)*(11-JP_Farbe)))),IF(COUNTIF(Feiertage,DATE(Planungsjahr,2,AL51))&gt;0,"h",IF(COUNTIFS(U_Von,"&lt;="&amp;DATE(Planungsjahr,2,AL51),U_Bis,"&gt;="&amp;DATE(Planungsjahr,2,AL51))&gt;0,"u",""))),"")</f>
      </c>
      <c r="AN52" s="225">
        <f>IF(ISNUMBER(AL51),IFERROR(31-1/(1/SUMPRODUCT(MAX((JP_PAL=DATE(Planungsjahr,2,AL51))*Anzeige_P*((JP_Anzeige=TRUE)+NOT(Filter_Aktiv)&gt;0)*(11-JP_Farbe)))),IF(COUNTIF(Feiertage,DATE(Planungsjahr,2,AL51))&gt;0,"h",IF(COUNTIFS(U_Von,"&lt;="&amp;DATE(Planungsjahr,2,AL51),U_Bis,"&gt;="&amp;DATE(Planungsjahr,2,AL51))&gt;0,"u",""))),"")</f>
      </c>
      <c r="AO52" s="223">
        <f>IF(ISNUMBER(AO51),IFERROR(11-1/(1/SUMPRODUCT(MAX((JP_StartSel=DATE(Planungsjahr,2,AO51))*Anzeige_S*((JP_Anzeige=TRUE)+NOT(Filter_Aktiv)&gt;0)*(11-JP_Farbe)))),IF(COUNTIF(Feiertage,DATE(Planungsjahr,2,AO51))&gt;0,"h","w")),"")</f>
      </c>
      <c r="AP52" s="224">
        <f>IF(ISNUMBER(AO51),IFERROR(21-1/(1/SUMPRODUCT(MAX((JP_StartInhalt=DATE(Planungsjahr,2,AO51))*Anzeige_I*((JP_Anzeige=TRUE)+NOT(Filter_Aktiv)&gt;0)*(11-JP_Farbe)))),IF(COUNTIF(Feiertage,DATE(Planungsjahr,2,AO51))&gt;0,"h","w")),"")</f>
      </c>
      <c r="AQ52" s="225">
        <f>IF(ISNUMBER(AO51),IFERROR(31-1/(1/SUMPRODUCT(MAX((JP_PAL=DATE(Planungsjahr,2,AO51))*Anzeige_P*((JP_Anzeige=TRUE)+NOT(Filter_Aktiv)&gt;0)*(11-JP_Farbe)))),IF(COUNTIF(Feiertage,DATE(Planungsjahr,2,AO51))&gt;0,"h","w")),"")</f>
      </c>
      <c r="AR52" s="223">
        <f>IF(ISNUMBER(AR51),IFERROR(11-1/(1/SUMPRODUCT(MAX((JP_StartSel=DATE(Planungsjahr,2,AR51))*Anzeige_S*((JP_Anzeige=TRUE)+NOT(Filter_Aktiv)&gt;0)*(11-JP_Farbe)))),IF(COUNTIF(Feiertage,DATE(Planungsjahr,2,AR51))&gt;0,"h","w")),"")</f>
      </c>
      <c r="AS52" s="224">
        <f>IF(ISNUMBER(AR51),IFERROR(21-1/(1/SUMPRODUCT(MAX((JP_StartInhalt=DATE(Planungsjahr,2,AR51))*Anzeige_I*((JP_Anzeige=TRUE)+NOT(Filter_Aktiv)&gt;0)*(11-JP_Farbe)))),IF(COUNTIF(Feiertage,DATE(Planungsjahr,2,AR51))&gt;0,"h","w")),"")</f>
      </c>
      <c r="AT52" s="225">
        <f>IF(ISNUMBER(AR51),IFERROR(31-1/(1/SUMPRODUCT(MAX((JP_PAL=DATE(Planungsjahr,2,AR51))*Anzeige_P*((JP_Anzeige=TRUE)+NOT(Filter_Aktiv)&gt;0)*(11-JP_Farbe)))),IF(COUNTIF(Feiertage,DATE(Planungsjahr,2,AR51))&gt;0,"h","w")),"")</f>
      </c>
      <c r="AV52" s="179"/>
      <c r="AW52" s="223">
        <f>IF(ISNUMBER(AW51),IFERROR(11-1/(1/SUMPRODUCT(MAX((JP_StartSel=DATE(Planungsjahr,3,AW51))*Anzeige_S*((JP_Anzeige=TRUE)+NOT(Filter_Aktiv)&gt;0)*(11-JP_Farbe)))),IF(COUNTIF(Feiertage,DATE(Planungsjahr,3,AW51))&gt;0,"h",IF(COUNTIFS(U_Von,"&lt;="&amp;DATE(Planungsjahr,3,AW51),U_Bis,"&gt;="&amp;DATE(Planungsjahr,3,AW51))&gt;0,"u",""))),"")</f>
      </c>
      <c r="AX52" s="224">
        <f>IF(ISNUMBER(AW51),IFERROR(21-1/(1/SUMPRODUCT(MAX((JP_StartInhalt=DATE(Planungsjahr,3,AW51))*Anzeige_I*((JP_Anzeige=TRUE)+NOT(Filter_Aktiv)&gt;0)*(11-JP_Farbe)))),IF(COUNTIF(Feiertage,DATE(Planungsjahr,3,AW51))&gt;0,"h",IF(COUNTIFS(U_Von,"&lt;="&amp;DATE(Planungsjahr,3,AW51),U_Bis,"&gt;="&amp;DATE(Planungsjahr,3,AW51))&gt;0,"u",""))),"")</f>
      </c>
      <c r="AY52" s="225">
        <f>IF(ISNUMBER(AW51),IFERROR(31-1/(1/SUMPRODUCT(MAX((JP_PAL=DATE(Planungsjahr,3,AW51))*Anzeige_P*((JP_Anzeige=TRUE)+NOT(Filter_Aktiv)&gt;0)*(11-JP_Farbe)))),IF(COUNTIF(Feiertage,DATE(Planungsjahr,3,AW51))&gt;0,"h",IF(COUNTIFS(U_Von,"&lt;="&amp;DATE(Planungsjahr,3,AW51),U_Bis,"&gt;="&amp;DATE(Planungsjahr,3,AW51))&gt;0,"u",""))),"")</f>
      </c>
      <c r="AZ52" s="223">
        <f>IF(ISNUMBER(AZ51),IFERROR(11-1/(1/SUMPRODUCT(MAX((JP_StartSel=DATE(Planungsjahr,3,AZ51))*Anzeige_S*((JP_Anzeige=TRUE)+NOT(Filter_Aktiv)&gt;0)*(11-JP_Farbe)))),IF(COUNTIF(Feiertage,DATE(Planungsjahr,3,AZ51))&gt;0,"h",IF(COUNTIFS(U_Von,"&lt;="&amp;DATE(Planungsjahr,3,AZ51),U_Bis,"&gt;="&amp;DATE(Planungsjahr,3,AZ51))&gt;0,"u",""))),"")</f>
      </c>
      <c r="BA52" s="224">
        <f>IF(ISNUMBER(AZ51),IFERROR(21-1/(1/SUMPRODUCT(MAX((JP_StartInhalt=DATE(Planungsjahr,3,AZ51))*Anzeige_I*((JP_Anzeige=TRUE)+NOT(Filter_Aktiv)&gt;0)*(11-JP_Farbe)))),IF(COUNTIF(Feiertage,DATE(Planungsjahr,3,AZ51))&gt;0,"h",IF(COUNTIFS(U_Von,"&lt;="&amp;DATE(Planungsjahr,3,AZ51),U_Bis,"&gt;="&amp;DATE(Planungsjahr,3,AZ51))&gt;0,"u",""))),"")</f>
      </c>
      <c r="BB52" s="225">
        <f>IF(ISNUMBER(AZ51),IFERROR(31-1/(1/SUMPRODUCT(MAX((JP_PAL=DATE(Planungsjahr,3,AZ51))*Anzeige_P*((JP_Anzeige=TRUE)+NOT(Filter_Aktiv)&gt;0)*(11-JP_Farbe)))),IF(COUNTIF(Feiertage,DATE(Planungsjahr,3,AZ51))&gt;0,"h",IF(COUNTIFS(U_Von,"&lt;="&amp;DATE(Planungsjahr,3,AZ51),U_Bis,"&gt;="&amp;DATE(Planungsjahr,3,AZ51))&gt;0,"u",""))),"")</f>
      </c>
      <c r="BC52" s="223">
        <f>IF(ISNUMBER(BC51),IFERROR(11-1/(1/SUMPRODUCT(MAX((JP_StartSel=DATE(Planungsjahr,3,BC51))*Anzeige_S*((JP_Anzeige=TRUE)+NOT(Filter_Aktiv)&gt;0)*(11-JP_Farbe)))),IF(COUNTIF(Feiertage,DATE(Planungsjahr,3,BC51))&gt;0,"h",IF(COUNTIFS(U_Von,"&lt;="&amp;DATE(Planungsjahr,3,BC51),U_Bis,"&gt;="&amp;DATE(Planungsjahr,3,BC51))&gt;0,"u",""))),"")</f>
      </c>
      <c r="BD52" s="224">
        <f>IF(ISNUMBER(BC51),IFERROR(21-1/(1/SUMPRODUCT(MAX((JP_StartInhalt=DATE(Planungsjahr,3,BC51))*Anzeige_I*((JP_Anzeige=TRUE)+NOT(Filter_Aktiv)&gt;0)*(11-JP_Farbe)))),IF(COUNTIF(Feiertage,DATE(Planungsjahr,3,BC51))&gt;0,"h",IF(COUNTIFS(U_Von,"&lt;="&amp;DATE(Planungsjahr,3,BC51),U_Bis,"&gt;="&amp;DATE(Planungsjahr,3,BC51))&gt;0,"u",""))),"")</f>
      </c>
      <c r="BE52" s="225">
        <f>IF(ISNUMBER(BC51),IFERROR(31-1/(1/SUMPRODUCT(MAX((JP_PAL=DATE(Planungsjahr,3,BC51))*Anzeige_P*((JP_Anzeige=TRUE)+NOT(Filter_Aktiv)&gt;0)*(11-JP_Farbe)))),IF(COUNTIF(Feiertage,DATE(Planungsjahr,3,BC51))&gt;0,"h",IF(COUNTIFS(U_Von,"&lt;="&amp;DATE(Planungsjahr,3,BC51),U_Bis,"&gt;="&amp;DATE(Planungsjahr,3,BC51))&gt;0,"u",""))),"")</f>
      </c>
      <c r="BF52" s="223">
        <f>IF(ISNUMBER(BF51),IFERROR(11-1/(1/SUMPRODUCT(MAX((JP_StartSel=DATE(Planungsjahr,3,BF51))*Anzeige_S*((JP_Anzeige=TRUE)+NOT(Filter_Aktiv)&gt;0)*(11-JP_Farbe)))),IF(COUNTIF(Feiertage,DATE(Planungsjahr,3,BF51))&gt;0,"h",IF(COUNTIFS(U_Von,"&lt;="&amp;DATE(Planungsjahr,3,BF51),U_Bis,"&gt;="&amp;DATE(Planungsjahr,3,BF51))&gt;0,"u",""))),"")</f>
      </c>
      <c r="BG52" s="224">
        <f>IF(ISNUMBER(BF51),IFERROR(21-1/(1/SUMPRODUCT(MAX((JP_StartInhalt=DATE(Planungsjahr,3,BF51))*Anzeige_I*((JP_Anzeige=TRUE)+NOT(Filter_Aktiv)&gt;0)*(11-JP_Farbe)))),IF(COUNTIF(Feiertage,DATE(Planungsjahr,3,BF51))&gt;0,"h",IF(COUNTIFS(U_Von,"&lt;="&amp;DATE(Planungsjahr,3,BF51),U_Bis,"&gt;="&amp;DATE(Planungsjahr,3,BF51))&gt;0,"u",""))),"")</f>
      </c>
      <c r="BH52" s="225">
        <f>IF(ISNUMBER(BF51),IFERROR(31-1/(1/SUMPRODUCT(MAX((JP_PAL=DATE(Planungsjahr,3,BF51))*Anzeige_P*((JP_Anzeige=TRUE)+NOT(Filter_Aktiv)&gt;0)*(11-JP_Farbe)))),IF(COUNTIF(Feiertage,DATE(Planungsjahr,3,BF51))&gt;0,"h",IF(COUNTIFS(U_Von,"&lt;="&amp;DATE(Planungsjahr,3,BF51),U_Bis,"&gt;="&amp;DATE(Planungsjahr,3,BF51))&gt;0,"u",""))),"")</f>
      </c>
      <c r="BI52" s="223">
        <f>IF(ISNUMBER(BI51),IFERROR(11-1/(1/SUMPRODUCT(MAX((JP_StartSel=DATE(Planungsjahr,3,BI51))*Anzeige_S*((JP_Anzeige=TRUE)+NOT(Filter_Aktiv)&gt;0)*(11-JP_Farbe)))),IF(COUNTIF(Feiertage,DATE(Planungsjahr,3,BI51))&gt;0,"h",IF(COUNTIFS(U_Von,"&lt;="&amp;DATE(Planungsjahr,3,BI51),U_Bis,"&gt;="&amp;DATE(Planungsjahr,3,BI51))&gt;0,"u",""))),"")</f>
      </c>
      <c r="BJ52" s="224">
        <f>IF(ISNUMBER(BI51),IFERROR(21-1/(1/SUMPRODUCT(MAX((JP_StartInhalt=DATE(Planungsjahr,3,BI51))*Anzeige_I*((JP_Anzeige=TRUE)+NOT(Filter_Aktiv)&gt;0)*(11-JP_Farbe)))),IF(COUNTIF(Feiertage,DATE(Planungsjahr,3,BI51))&gt;0,"h",IF(COUNTIFS(U_Von,"&lt;="&amp;DATE(Planungsjahr,3,BI51),U_Bis,"&gt;="&amp;DATE(Planungsjahr,3,BI51))&gt;0,"u",""))),"")</f>
      </c>
      <c r="BK52" s="225">
        <f>IF(ISNUMBER(BI51),IFERROR(31-1/(1/SUMPRODUCT(MAX((JP_PAL=DATE(Planungsjahr,3,BI51))*Anzeige_P*((JP_Anzeige=TRUE)+NOT(Filter_Aktiv)&gt;0)*(11-JP_Farbe)))),IF(COUNTIF(Feiertage,DATE(Planungsjahr,3,BI51))&gt;0,"h",IF(COUNTIFS(U_Von,"&lt;="&amp;DATE(Planungsjahr,3,BI51),U_Bis,"&gt;="&amp;DATE(Planungsjahr,3,BI51))&gt;0,"u",""))),"")</f>
      </c>
      <c r="BL52" s="223">
        <f>IF(ISNUMBER(BL51),IFERROR(11-1/(1/SUMPRODUCT(MAX((JP_StartSel=DATE(Planungsjahr,3,BL51))*Anzeige_S*((JP_Anzeige=TRUE)+NOT(Filter_Aktiv)&gt;0)*(11-JP_Farbe)))),IF(COUNTIF(Feiertage,DATE(Planungsjahr,3,BL51))&gt;0,"h","w")),"")</f>
      </c>
      <c r="BM52" s="224">
        <f>IF(ISNUMBER(BL51),IFERROR(21-1/(1/SUMPRODUCT(MAX((JP_StartInhalt=DATE(Planungsjahr,3,BL51))*Anzeige_I*((JP_Anzeige=TRUE)+NOT(Filter_Aktiv)&gt;0)*(11-JP_Farbe)))),IF(COUNTIF(Feiertage,DATE(Planungsjahr,3,BL51))&gt;0,"h","w")),"")</f>
      </c>
      <c r="BN52" s="225">
        <f>IF(ISNUMBER(BL51),IFERROR(31-1/(1/SUMPRODUCT(MAX((JP_PAL=DATE(Planungsjahr,3,BL51))*Anzeige_P*((JP_Anzeige=TRUE)+NOT(Filter_Aktiv)&gt;0)*(11-JP_Farbe)))),IF(COUNTIF(Feiertage,DATE(Planungsjahr,3,BL51))&gt;0,"h","w")),"")</f>
      </c>
      <c r="BO52" s="223">
        <f>IF(ISNUMBER(BO51),IFERROR(11-1/(1/SUMPRODUCT(MAX((JP_StartSel=DATE(Planungsjahr,3,BO51))*Anzeige_S*((JP_Anzeige=TRUE)+NOT(Filter_Aktiv)&gt;0)*(11-JP_Farbe)))),IF(COUNTIF(Feiertage,DATE(Planungsjahr,3,BO51))&gt;0,"h","w")),"")</f>
      </c>
      <c r="BP52" s="224">
        <f>IF(ISNUMBER(BO51),IFERROR(21-1/(1/SUMPRODUCT(MAX((JP_StartInhalt=DATE(Planungsjahr,3,BO51))*Anzeige_I*((JP_Anzeige=TRUE)+NOT(Filter_Aktiv)&gt;0)*(11-JP_Farbe)))),IF(COUNTIF(Feiertage,DATE(Planungsjahr,3,BO51))&gt;0,"h","w")),"")</f>
      </c>
      <c r="BQ52" s="225">
        <f>IF(ISNUMBER(BO51),IFERROR(31-1/(1/SUMPRODUCT(MAX((JP_PAL=DATE(Planungsjahr,3,BO51))*Anzeige_P*((JP_Anzeige=TRUE)+NOT(Filter_Aktiv)&gt;0)*(11-JP_Farbe)))),IF(COUNTIF(Feiertage,DATE(Planungsjahr,3,BO51))&gt;0,"h","w")),"")</f>
      </c>
      <c r="BS52" s="179"/>
      <c r="BT52" s="223">
        <f>IF(ISNUMBER(BT51),IFERROR(11-1/(1/SUMPRODUCT(MAX((JP_StartSel=DATE(Planungsjahr,4,BT51))*Anzeige_S*((JP_Anzeige=TRUE)+NOT(Filter_Aktiv)&gt;0)*(11-JP_Farbe)))),IF(COUNTIF(Feiertage,DATE(Planungsjahr,4,BT51))&gt;0,"h",IF(COUNTIFS(U_Von,"&lt;="&amp;DATE(Planungsjahr,4,BT51),U_Bis,"&gt;="&amp;DATE(Planungsjahr,4,BT51))&gt;0,"u",""))),"")</f>
      </c>
      <c r="BU52" s="224">
        <f>IF(ISNUMBER(BT51),IFERROR(21-1/(1/SUMPRODUCT(MAX((JP_StartInhalt=DATE(Planungsjahr,4,BT51))*Anzeige_I*((JP_Anzeige=TRUE)+NOT(Filter_Aktiv)&gt;0)*(11-JP_Farbe)))),IF(COUNTIF(Feiertage,DATE(Planungsjahr,4,BT51))&gt;0,"h",IF(COUNTIFS(U_Von,"&lt;="&amp;DATE(Planungsjahr,4,BT51),U_Bis,"&gt;="&amp;DATE(Planungsjahr,4,BT51))&gt;0,"u",""))),"")</f>
      </c>
      <c r="BV52" s="225">
        <f>IF(ISNUMBER(BT51),IFERROR(31-1/(1/SUMPRODUCT(MAX((JP_PAL=DATE(Planungsjahr,4,BT51))*Anzeige_P*((JP_Anzeige=TRUE)+NOT(Filter_Aktiv)&gt;0)*(11-JP_Farbe)))),IF(COUNTIF(Feiertage,DATE(Planungsjahr,4,BT51))&gt;0,"h",IF(COUNTIFS(U_Von,"&lt;="&amp;DATE(Planungsjahr,4,BT51),U_Bis,"&gt;="&amp;DATE(Planungsjahr,4,BT51))&gt;0,"u",""))),"")</f>
      </c>
      <c r="BW52" s="223">
        <f>IF(ISNUMBER(BW51),IFERROR(11-1/(1/SUMPRODUCT(MAX((JP_StartSel=DATE(Planungsjahr,4,BW51))*Anzeige_S*((JP_Anzeige=TRUE)+NOT(Filter_Aktiv)&gt;0)*(11-JP_Farbe)))),IF(COUNTIF(Feiertage,DATE(Planungsjahr,4,BW51))&gt;0,"h",IF(COUNTIFS(U_Von,"&lt;="&amp;DATE(Planungsjahr,4,BW51),U_Bis,"&gt;="&amp;DATE(Planungsjahr,4,BW51))&gt;0,"u",""))),"")</f>
      </c>
      <c r="BX52" s="224">
        <f>IF(ISNUMBER(BW51),IFERROR(21-1/(1/SUMPRODUCT(MAX((JP_StartInhalt=DATE(Planungsjahr,4,BW51))*Anzeige_I*((JP_Anzeige=TRUE)+NOT(Filter_Aktiv)&gt;0)*(11-JP_Farbe)))),IF(COUNTIF(Feiertage,DATE(Planungsjahr,4,BW51))&gt;0,"h",IF(COUNTIFS(U_Von,"&lt;="&amp;DATE(Planungsjahr,4,BW51),U_Bis,"&gt;="&amp;DATE(Planungsjahr,4,BW51))&gt;0,"u",""))),"")</f>
      </c>
      <c r="BY52" s="225">
        <f>IF(ISNUMBER(BW51),IFERROR(31-1/(1/SUMPRODUCT(MAX((JP_PAL=DATE(Planungsjahr,4,BW51))*Anzeige_P*((JP_Anzeige=TRUE)+NOT(Filter_Aktiv)&gt;0)*(11-JP_Farbe)))),IF(COUNTIF(Feiertage,DATE(Planungsjahr,4,BW51))&gt;0,"h",IF(COUNTIFS(U_Von,"&lt;="&amp;DATE(Planungsjahr,4,BW51),U_Bis,"&gt;="&amp;DATE(Planungsjahr,4,BW51))&gt;0,"u",""))),"")</f>
      </c>
      <c r="BZ52" s="223">
        <f>IF(ISNUMBER(BZ51),IFERROR(11-1/(1/SUMPRODUCT(MAX((JP_StartSel=DATE(Planungsjahr,4,BZ51))*Anzeige_S*((JP_Anzeige=TRUE)+NOT(Filter_Aktiv)&gt;0)*(11-JP_Farbe)))),IF(COUNTIF(Feiertage,DATE(Planungsjahr,4,BZ51))&gt;0,"h",IF(COUNTIFS(U_Von,"&lt;="&amp;DATE(Planungsjahr,4,BZ51),U_Bis,"&gt;="&amp;DATE(Planungsjahr,4,BZ51))&gt;0,"u",""))),"")</f>
      </c>
      <c r="CA52" s="224">
        <f>IF(ISNUMBER(BZ51),IFERROR(21-1/(1/SUMPRODUCT(MAX((JP_StartInhalt=DATE(Planungsjahr,4,BZ51))*Anzeige_I*((JP_Anzeige=TRUE)+NOT(Filter_Aktiv)&gt;0)*(11-JP_Farbe)))),IF(COUNTIF(Feiertage,DATE(Planungsjahr,4,BZ51))&gt;0,"h",IF(COUNTIFS(U_Von,"&lt;="&amp;DATE(Planungsjahr,4,BZ51),U_Bis,"&gt;="&amp;DATE(Planungsjahr,4,BZ51))&gt;0,"u",""))),"")</f>
      </c>
      <c r="CB52" s="225">
        <f>IF(ISNUMBER(BZ51),IFERROR(31-1/(1/SUMPRODUCT(MAX((JP_PAL=DATE(Planungsjahr,4,BZ51))*Anzeige_P*((JP_Anzeige=TRUE)+NOT(Filter_Aktiv)&gt;0)*(11-JP_Farbe)))),IF(COUNTIF(Feiertage,DATE(Planungsjahr,4,BZ51))&gt;0,"h",IF(COUNTIFS(U_Von,"&lt;="&amp;DATE(Planungsjahr,4,BZ51),U_Bis,"&gt;="&amp;DATE(Planungsjahr,4,BZ51))&gt;0,"u",""))),"")</f>
      </c>
      <c r="CC52" s="223">
        <f>IF(ISNUMBER(CC51),IFERROR(11-1/(1/SUMPRODUCT(MAX((JP_StartSel=DATE(Planungsjahr,4,CC51))*Anzeige_S*((JP_Anzeige=TRUE)+NOT(Filter_Aktiv)&gt;0)*(11-JP_Farbe)))),IF(COUNTIF(Feiertage,DATE(Planungsjahr,4,CC51))&gt;0,"h",IF(COUNTIFS(U_Von,"&lt;="&amp;DATE(Planungsjahr,4,CC51),U_Bis,"&gt;="&amp;DATE(Planungsjahr,4,CC51))&gt;0,"u",""))),"")</f>
      </c>
      <c r="CD52" s="224">
        <f>IF(ISNUMBER(CC51),IFERROR(21-1/(1/SUMPRODUCT(MAX((JP_StartInhalt=DATE(Planungsjahr,4,CC51))*Anzeige_I*((JP_Anzeige=TRUE)+NOT(Filter_Aktiv)&gt;0)*(11-JP_Farbe)))),IF(COUNTIF(Feiertage,DATE(Planungsjahr,4,CC51))&gt;0,"h",IF(COUNTIFS(U_Von,"&lt;="&amp;DATE(Planungsjahr,4,CC51),U_Bis,"&gt;="&amp;DATE(Planungsjahr,4,CC51))&gt;0,"u",""))),"")</f>
      </c>
      <c r="CE52" s="225">
        <f>IF(ISNUMBER(CC51),IFERROR(31-1/(1/SUMPRODUCT(MAX((JP_PAL=DATE(Planungsjahr,4,CC51))*Anzeige_P*((JP_Anzeige=TRUE)+NOT(Filter_Aktiv)&gt;0)*(11-JP_Farbe)))),IF(COUNTIF(Feiertage,DATE(Planungsjahr,4,CC51))&gt;0,"h",IF(COUNTIFS(U_Von,"&lt;="&amp;DATE(Planungsjahr,4,CC51),U_Bis,"&gt;="&amp;DATE(Planungsjahr,4,CC51))&gt;0,"u",""))),"")</f>
      </c>
      <c r="CF52" s="223">
        <f>IF(ISNUMBER(CF51),IFERROR(11-1/(1/SUMPRODUCT(MAX((JP_StartSel=DATE(Planungsjahr,4,CF51))*Anzeige_S*((JP_Anzeige=TRUE)+NOT(Filter_Aktiv)&gt;0)*(11-JP_Farbe)))),IF(COUNTIF(Feiertage,DATE(Planungsjahr,4,CF51))&gt;0,"h",IF(COUNTIFS(U_Von,"&lt;="&amp;DATE(Planungsjahr,4,CF51),U_Bis,"&gt;="&amp;DATE(Planungsjahr,4,CF51))&gt;0,"u",""))),"")</f>
      </c>
      <c r="CG52" s="224">
        <f>IF(ISNUMBER(CF51),IFERROR(21-1/(1/SUMPRODUCT(MAX((JP_StartInhalt=DATE(Planungsjahr,4,CF51))*Anzeige_I*((JP_Anzeige=TRUE)+NOT(Filter_Aktiv)&gt;0)*(11-JP_Farbe)))),IF(COUNTIF(Feiertage,DATE(Planungsjahr,4,CF51))&gt;0,"h",IF(COUNTIFS(U_Von,"&lt;="&amp;DATE(Planungsjahr,4,CF51),U_Bis,"&gt;="&amp;DATE(Planungsjahr,4,CF51))&gt;0,"u",""))),"")</f>
      </c>
      <c r="CH52" s="225">
        <f>IF(ISNUMBER(CF51),IFERROR(31-1/(1/SUMPRODUCT(MAX((JP_PAL=DATE(Planungsjahr,4,CF51))*Anzeige_P*((JP_Anzeige=TRUE)+NOT(Filter_Aktiv)&gt;0)*(11-JP_Farbe)))),IF(COUNTIF(Feiertage,DATE(Planungsjahr,4,CF51))&gt;0,"h",IF(COUNTIFS(U_Von,"&lt;="&amp;DATE(Planungsjahr,4,CF51),U_Bis,"&gt;="&amp;DATE(Planungsjahr,4,CF51))&gt;0,"u",""))),"")</f>
      </c>
      <c r="CI52" s="223">
        <f>IF(ISNUMBER(CI51),IFERROR(11-1/(1/SUMPRODUCT(MAX((JP_StartSel=DATE(Planungsjahr,4,CI51))*Anzeige_S*((JP_Anzeige=TRUE)+NOT(Filter_Aktiv)&gt;0)*(11-JP_Farbe)))),IF(COUNTIF(Feiertage,DATE(Planungsjahr,4,CI51))&gt;0,"h","w")),"")</f>
      </c>
      <c r="CJ52" s="224">
        <f>IF(ISNUMBER(CI51),IFERROR(21-1/(1/SUMPRODUCT(MAX((JP_StartInhalt=DATE(Planungsjahr,4,CI51))*Anzeige_I*((JP_Anzeige=TRUE)+NOT(Filter_Aktiv)&gt;0)*(11-JP_Farbe)))),IF(COUNTIF(Feiertage,DATE(Planungsjahr,4,CI51))&gt;0,"h","w")),"")</f>
      </c>
      <c r="CK52" s="225">
        <f>IF(ISNUMBER(CI51),IFERROR(31-1/(1/SUMPRODUCT(MAX((JP_PAL=DATE(Planungsjahr,4,CI51))*Anzeige_P*((JP_Anzeige=TRUE)+NOT(Filter_Aktiv)&gt;0)*(11-JP_Farbe)))),IF(COUNTIF(Feiertage,DATE(Planungsjahr,4,CI51))&gt;0,"h","w")),"")</f>
      </c>
      <c r="CL52" s="223">
        <f>IF(ISNUMBER(CL51),IFERROR(11-1/(1/SUMPRODUCT(MAX((JP_StartSel=DATE(Planungsjahr,4,CL51))*Anzeige_S*((JP_Anzeige=TRUE)+NOT(Filter_Aktiv)&gt;0)*(11-JP_Farbe)))),IF(COUNTIF(Feiertage,DATE(Planungsjahr,4,CL51))&gt;0,"h","w")),"")</f>
      </c>
      <c r="CM52" s="224">
        <f>IF(ISNUMBER(CL51),IFERROR(21-1/(1/SUMPRODUCT(MAX((JP_StartInhalt=DATE(Planungsjahr,4,CL51))*Anzeige_I*((JP_Anzeige=TRUE)+NOT(Filter_Aktiv)&gt;0)*(11-JP_Farbe)))),IF(COUNTIF(Feiertage,DATE(Planungsjahr,4,CL51))&gt;0,"h","w")),"")</f>
      </c>
      <c r="CN52" s="225">
        <f>IF(ISNUMBER(CL51),IFERROR(31-1/(1/SUMPRODUCT(MAX((JP_PAL=DATE(Planungsjahr,4,CL51))*Anzeige_P*((JP_Anzeige=TRUE)+NOT(Filter_Aktiv)&gt;0)*(11-JP_Farbe)))),IF(COUNTIF(Feiertage,DATE(Planungsjahr,4,CL51))&gt;0,"h","w")),"")</f>
      </c>
    </row>
    <row r="53" spans="2:92" ht="15.95" customHeight="1" x14ac:dyDescent="0.25">
      <c r="B53" s="165">
        <f>IF(OR(ISNUMBER(C53),ISNUMBER(U53)),_xlfn.ISOWEEKNUM(DATE(Planungsjahr,1,1)-WEEKDAY(DATE(Planungsjahr,1,1),2)+29),"")</f>
        <v>4</v>
      </c>
      <c r="C53" s="188">
        <f>IF(MONTH(DATE(Planungsjahr,1,1)-WEEKDAY(DATE(Planungsjahr,1,1),2)+29)=1,DAY(DATE(Planungsjahr,1,1)-WEEKDAY(DATE(Planungsjahr,1,1),2)+29),"")</f>
        <v>25</v>
      </c>
      <c r="D53" s="188"/>
      <c r="E53" s="188"/>
      <c r="F53" s="188">
        <f>IF(MONTH(DATE(Planungsjahr,1,1)-WEEKDAY(DATE(Planungsjahr,1,1),2)+30)=1,DAY(DATE(Planungsjahr,1,1)-WEEKDAY(DATE(Planungsjahr,1,1),2)+30),"")</f>
        <v>26</v>
      </c>
      <c r="G53" s="188"/>
      <c r="H53" s="188"/>
      <c r="I53" s="188">
        <f>IF(MONTH(DATE(Planungsjahr,1,1)-WEEKDAY(DATE(Planungsjahr,1,1),2)+31)=1,DAY(DATE(Planungsjahr,1,1)-WEEKDAY(DATE(Planungsjahr,1,1),2)+31),"")</f>
        <v>27</v>
      </c>
      <c r="J53" s="188"/>
      <c r="K53" s="188"/>
      <c r="L53" s="188">
        <f>IF(MONTH(DATE(Planungsjahr,1,1)-WEEKDAY(DATE(Planungsjahr,1,1),2)+32)=1,DAY(DATE(Planungsjahr,1,1)-WEEKDAY(DATE(Planungsjahr,1,1),2)+32),"")</f>
        <v>28</v>
      </c>
      <c r="M53" s="188"/>
      <c r="N53" s="188"/>
      <c r="O53" s="188">
        <f>IF(MONTH(DATE(Planungsjahr,1,1)-WEEKDAY(DATE(Planungsjahr,1,1),2)+33)=1,DAY(DATE(Planungsjahr,1,1)-WEEKDAY(DATE(Planungsjahr,1,1),2)+33),"")</f>
        <v>29</v>
      </c>
      <c r="P53" s="188"/>
      <c r="Q53" s="188"/>
      <c r="R53" s="188">
        <f>IF(MONTH(DATE(Planungsjahr,1,1)-WEEKDAY(DATE(Planungsjahr,1,1),2)+34)=1,DAY(DATE(Planungsjahr,1,1)-WEEKDAY(DATE(Planungsjahr,1,1),2)+34),"")</f>
        <v>30</v>
      </c>
      <c r="S53" s="188"/>
      <c r="T53" s="188"/>
      <c r="U53" s="188">
        <f>IF(MONTH(DATE(Planungsjahr,1,1)-WEEKDAY(DATE(Planungsjahr,1,1),2)+35)=1,DAY(DATE(Planungsjahr,1,1)-WEEKDAY(DATE(Planungsjahr,1,1),2)+35),"")</f>
        <v>31</v>
      </c>
      <c r="V53" s="188"/>
      <c r="W53" s="189"/>
      <c r="Y53" s="177" t="str">
        <f>IF(OR(ISNUMBER(Z53),ISNUMBER(AR53)),_xlfn.ISOWEEKNUM(DATE(Planungsjahr,2,1)-WEEKDAY(DATE(Planungsjahr,2,1),2)+29),"")</f>
        <v/>
      </c>
      <c r="Z53" s="188" t="str">
        <f>IF(MONTH(DATE(Planungsjahr,2,1)-WEEKDAY(DATE(Planungsjahr,2,1),2)+29)=2,DAY(DATE(Planungsjahr,2,1)-WEEKDAY(DATE(Planungsjahr,2,1),2)+29),"")</f>
        <v/>
      </c>
      <c r="AA53" s="188"/>
      <c r="AB53" s="188"/>
      <c r="AC53" s="188" t="str">
        <f>IF(MONTH(DATE(Planungsjahr,2,1)-WEEKDAY(DATE(Planungsjahr,2,1),2)+30)=2,DAY(DATE(Planungsjahr,2,1)-WEEKDAY(DATE(Planungsjahr,2,1),2)+30),"")</f>
        <v/>
      </c>
      <c r="AD53" s="188"/>
      <c r="AE53" s="188"/>
      <c r="AF53" s="188" t="str">
        <f>IF(MONTH(DATE(Planungsjahr,2,1)-WEEKDAY(DATE(Planungsjahr,2,1),2)+31)=2,DAY(DATE(Planungsjahr,2,1)-WEEKDAY(DATE(Planungsjahr,2,1),2)+31),"")</f>
        <v/>
      </c>
      <c r="AG53" s="188"/>
      <c r="AH53" s="188"/>
      <c r="AI53" s="188" t="str">
        <f>IF(MONTH(DATE(Planungsjahr,2,1)-WEEKDAY(DATE(Planungsjahr,2,1),2)+32)=2,DAY(DATE(Planungsjahr,2,1)-WEEKDAY(DATE(Planungsjahr,2,1),2)+32),"")</f>
        <v/>
      </c>
      <c r="AJ53" s="188"/>
      <c r="AK53" s="188"/>
      <c r="AL53" s="188" t="str">
        <f>IF(MONTH(DATE(Planungsjahr,2,1)-WEEKDAY(DATE(Planungsjahr,2,1),2)+33)=2,DAY(DATE(Planungsjahr,2,1)-WEEKDAY(DATE(Planungsjahr,2,1),2)+33),"")</f>
        <v/>
      </c>
      <c r="AM53" s="188"/>
      <c r="AN53" s="188"/>
      <c r="AO53" s="188" t="str">
        <f>IF(MONTH(DATE(Planungsjahr,2,1)-WEEKDAY(DATE(Planungsjahr,2,1),2)+34)=2,DAY(DATE(Planungsjahr,2,1)-WEEKDAY(DATE(Planungsjahr,2,1),2)+34),"")</f>
        <v/>
      </c>
      <c r="AP53" s="188"/>
      <c r="AQ53" s="188"/>
      <c r="AR53" s="188" t="str">
        <f>IF(MONTH(DATE(Planungsjahr,2,1)-WEEKDAY(DATE(Planungsjahr,2,1),2)+35)=2,DAY(DATE(Planungsjahr,2,1)-WEEKDAY(DATE(Planungsjahr,2,1),2)+35),"")</f>
        <v/>
      </c>
      <c r="AS53" s="188"/>
      <c r="AT53" s="190"/>
      <c r="AV53" s="177">
        <f>IF(OR(ISNUMBER(AW53),ISNUMBER(BO53)),_xlfn.ISOWEEKNUM(DATE(Planungsjahr,3,1)-WEEKDAY(DATE(Planungsjahr,3,1),2)+29),"")</f>
        <v>13</v>
      </c>
      <c r="AW53" s="188">
        <f>IF(MONTH(DATE(Planungsjahr,3,1)-WEEKDAY(DATE(Planungsjahr,3,1),2)+29)=3,DAY(DATE(Planungsjahr,3,1)-WEEKDAY(DATE(Planungsjahr,3,1),2)+29),"")</f>
        <v>29</v>
      </c>
      <c r="AX53" s="188"/>
      <c r="AY53" s="188"/>
      <c r="AZ53" s="188">
        <f>IF(MONTH(DATE(Planungsjahr,3,1)-WEEKDAY(DATE(Planungsjahr,3,1),2)+30)=3,DAY(DATE(Planungsjahr,3,1)-WEEKDAY(DATE(Planungsjahr,3,1),2)+30),"")</f>
        <v>30</v>
      </c>
      <c r="BA53" s="188"/>
      <c r="BB53" s="188"/>
      <c r="BC53" s="188">
        <f>IF(MONTH(DATE(Planungsjahr,3,1)-WEEKDAY(DATE(Planungsjahr,3,1),2)+31)=3,DAY(DATE(Planungsjahr,3,1)-WEEKDAY(DATE(Planungsjahr,3,1),2)+31),"")</f>
        <v>31</v>
      </c>
      <c r="BD53" s="188"/>
      <c r="BE53" s="188"/>
      <c r="BF53" s="188" t="str">
        <f>IF(MONTH(DATE(Planungsjahr,3,1)-WEEKDAY(DATE(Planungsjahr,3,1),2)+32)=3,DAY(DATE(Planungsjahr,3,1)-WEEKDAY(DATE(Planungsjahr,3,1),2)+32),"")</f>
        <v/>
      </c>
      <c r="BG53" s="188"/>
      <c r="BH53" s="188"/>
      <c r="BI53" s="188" t="str">
        <f>IF(MONTH(DATE(Planungsjahr,3,1)-WEEKDAY(DATE(Planungsjahr,3,1),2)+33)=3,DAY(DATE(Planungsjahr,3,1)-WEEKDAY(DATE(Planungsjahr,3,1),2)+33),"")</f>
        <v/>
      </c>
      <c r="BJ53" s="188"/>
      <c r="BK53" s="188"/>
      <c r="BL53" s="188" t="str">
        <f>IF(MONTH(DATE(Planungsjahr,3,1)-WEEKDAY(DATE(Planungsjahr,3,1),2)+34)=3,DAY(DATE(Planungsjahr,3,1)-WEEKDAY(DATE(Planungsjahr,3,1),2)+34),"")</f>
        <v/>
      </c>
      <c r="BM53" s="188"/>
      <c r="BN53" s="188"/>
      <c r="BO53" s="188" t="str">
        <f>IF(MONTH(DATE(Planungsjahr,3,1)-WEEKDAY(DATE(Planungsjahr,3,1),2)+35)=3,DAY(DATE(Planungsjahr,3,1)-WEEKDAY(DATE(Planungsjahr,3,1),2)+35),"")</f>
        <v/>
      </c>
      <c r="BP53" s="188"/>
      <c r="BQ53" s="190"/>
      <c r="BS53" s="177">
        <f>IF(OR(ISNUMBER(BT53),ISNUMBER(CL53)),_xlfn.ISOWEEKNUM(DATE(Planungsjahr,4,1)-WEEKDAY(DATE(Planungsjahr,4,1),2)+29),"")</f>
        <v>17</v>
      </c>
      <c r="BT53" s="188">
        <f>IF(MONTH(DATE(Planungsjahr,4,1)-WEEKDAY(DATE(Planungsjahr,4,1),2)+29)=4,DAY(DATE(Planungsjahr,4,1)-WEEKDAY(DATE(Planungsjahr,4,1),2)+29),"")</f>
        <v>26</v>
      </c>
      <c r="BU53" s="188"/>
      <c r="BV53" s="188"/>
      <c r="BW53" s="188">
        <f>IF(MONTH(DATE(Planungsjahr,4,1)-WEEKDAY(DATE(Planungsjahr,4,1),2)+30)=4,DAY(DATE(Planungsjahr,4,1)-WEEKDAY(DATE(Planungsjahr,4,1),2)+30),"")</f>
        <v>27</v>
      </c>
      <c r="BX53" s="188"/>
      <c r="BY53" s="188"/>
      <c r="BZ53" s="188">
        <f>IF(MONTH(DATE(Planungsjahr,4,1)-WEEKDAY(DATE(Planungsjahr,4,1),2)+31)=4,DAY(DATE(Planungsjahr,4,1)-WEEKDAY(DATE(Planungsjahr,4,1),2)+31),"")</f>
        <v>28</v>
      </c>
      <c r="CA53" s="188"/>
      <c r="CB53" s="188"/>
      <c r="CC53" s="188">
        <f>IF(MONTH(DATE(Planungsjahr,4,1)-WEEKDAY(DATE(Planungsjahr,4,1),2)+32)=4,DAY(DATE(Planungsjahr,4,1)-WEEKDAY(DATE(Planungsjahr,4,1),2)+32),"")</f>
        <v>29</v>
      </c>
      <c r="CD53" s="188"/>
      <c r="CE53" s="188"/>
      <c r="CF53" s="188">
        <f>IF(MONTH(DATE(Planungsjahr,4,1)-WEEKDAY(DATE(Planungsjahr,4,1),2)+33)=4,DAY(DATE(Planungsjahr,4,1)-WEEKDAY(DATE(Planungsjahr,4,1),2)+33),"")</f>
        <v>30</v>
      </c>
      <c r="CG53" s="188"/>
      <c r="CH53" s="188"/>
      <c r="CI53" s="188" t="str">
        <f>IF(MONTH(DATE(Planungsjahr,4,1)-WEEKDAY(DATE(Planungsjahr,4,1),2)+34)=4,DAY(DATE(Planungsjahr,4,1)-WEEKDAY(DATE(Planungsjahr,4,1),2)+34),"")</f>
        <v/>
      </c>
      <c r="CJ53" s="188"/>
      <c r="CK53" s="188"/>
      <c r="CL53" s="188" t="str">
        <f>IF(MONTH(DATE(Planungsjahr,4,1)-WEEKDAY(DATE(Planungsjahr,4,1),2)+35)=4,DAY(DATE(Planungsjahr,4,1)-WEEKDAY(DATE(Planungsjahr,4,1),2)+35),"")</f>
        <v/>
      </c>
      <c r="CM53" s="188"/>
      <c r="CN53" s="190"/>
    </row>
    <row r="54" spans="2:92" ht="10.5" customHeight="1" x14ac:dyDescent="0.25">
      <c r="B54" s="167"/>
      <c r="C54" s="223">
        <f>IF(ISNUMBER(C53),IFERROR(11-1/(1/SUMPRODUCT(MAX((JP_StartSel=DATE(Planungsjahr,1,C53))*Anzeige_S*((JP_Anzeige=TRUE)+NOT(Filter_Aktiv)&gt;0)*(11-JP_Farbe)))),IF(COUNTIF(Feiertage,DATE(Planungsjahr,1,C53))&gt;0,"h",IF(COUNTIFS(U_Von,"&lt;="&amp;DATE(Planungsjahr,1,C53),U_Bis,"&gt;="&amp;DATE(Planungsjahr,1,C53))&gt;0,"u",""))),"")</f>
      </c>
      <c r="D54" s="224">
        <f>IF(ISNUMBER(C53),IFERROR(21-1/(1/SUMPRODUCT(MAX((JP_StartInhalt=DATE(Planungsjahr,1,C53))*Anzeige_I*((JP_Anzeige=TRUE)+NOT(Filter_Aktiv)&gt;0)*(11-JP_Farbe)))),IF(COUNTIF(Feiertage,DATE(Planungsjahr,1,C53))&gt;0,"h",IF(COUNTIFS(U_Von,"&lt;="&amp;DATE(Planungsjahr,1,C53),U_Bis,"&gt;="&amp;DATE(Planungsjahr,1,C53))&gt;0,"u",""))),"")</f>
      </c>
      <c r="E54" s="225">
        <f>IF(ISNUMBER(C53),IFERROR(31-1/(1/SUMPRODUCT(MAX((JP_PAL=DATE(Planungsjahr,1,C53))*Anzeige_P*((JP_Anzeige=TRUE)+NOT(Filter_Aktiv)&gt;0)*(11-JP_Farbe)))),IF(COUNTIF(Feiertage,DATE(Planungsjahr,1,C53))&gt;0,"h",IF(COUNTIFS(U_Von,"&lt;="&amp;DATE(Planungsjahr,1,C53),U_Bis,"&gt;="&amp;DATE(Planungsjahr,1,C53))&gt;0,"u",""))),"")</f>
      </c>
      <c r="F54" s="223">
        <f>IF(ISNUMBER(F53),IFERROR(11-1/(1/SUMPRODUCT(MAX((JP_StartSel=DATE(Planungsjahr,1,F53))*Anzeige_S*((JP_Anzeige=TRUE)+NOT(Filter_Aktiv)&gt;0)*(11-JP_Farbe)))),IF(COUNTIF(Feiertage,DATE(Planungsjahr,1,F53))&gt;0,"h",IF(COUNTIFS(U_Von,"&lt;="&amp;DATE(Planungsjahr,1,F53),U_Bis,"&gt;="&amp;DATE(Planungsjahr,1,F53))&gt;0,"u",""))),"")</f>
      </c>
      <c r="G54" s="224">
        <f>IF(ISNUMBER(F53),IFERROR(21-1/(1/SUMPRODUCT(MAX((JP_StartInhalt=DATE(Planungsjahr,1,F53))*Anzeige_I*((JP_Anzeige=TRUE)+NOT(Filter_Aktiv)&gt;0)*(11-JP_Farbe)))),IF(COUNTIF(Feiertage,DATE(Planungsjahr,1,F53))&gt;0,"h",IF(COUNTIFS(U_Von,"&lt;="&amp;DATE(Planungsjahr,1,F53),U_Bis,"&gt;="&amp;DATE(Planungsjahr,1,F53))&gt;0,"u",""))),"")</f>
      </c>
      <c r="H54" s="225">
        <f>IF(ISNUMBER(F53),IFERROR(31-1/(1/SUMPRODUCT(MAX((JP_PAL=DATE(Planungsjahr,1,F53))*Anzeige_P*((JP_Anzeige=TRUE)+NOT(Filter_Aktiv)&gt;0)*(11-JP_Farbe)))),IF(COUNTIF(Feiertage,DATE(Planungsjahr,1,F53))&gt;0,"h",IF(COUNTIFS(U_Von,"&lt;="&amp;DATE(Planungsjahr,1,F53),U_Bis,"&gt;="&amp;DATE(Planungsjahr,1,F53))&gt;0,"u",""))),"")</f>
      </c>
      <c r="I54" s="223">
        <f>IF(ISNUMBER(I53),IFERROR(11-1/(1/SUMPRODUCT(MAX((JP_StartSel=DATE(Planungsjahr,1,I53))*Anzeige_S*((JP_Anzeige=TRUE)+NOT(Filter_Aktiv)&gt;0)*(11-JP_Farbe)))),IF(COUNTIF(Feiertage,DATE(Planungsjahr,1,I53))&gt;0,"h",IF(COUNTIFS(U_Von,"&lt;="&amp;DATE(Planungsjahr,1,I53),U_Bis,"&gt;="&amp;DATE(Planungsjahr,1,I53))&gt;0,"u",""))),"")</f>
      </c>
      <c r="J54" s="224">
        <f>IF(ISNUMBER(I53),IFERROR(21-1/(1/SUMPRODUCT(MAX((JP_StartInhalt=DATE(Planungsjahr,1,I53))*Anzeige_I*((JP_Anzeige=TRUE)+NOT(Filter_Aktiv)&gt;0)*(11-JP_Farbe)))),IF(COUNTIF(Feiertage,DATE(Planungsjahr,1,I53))&gt;0,"h",IF(COUNTIFS(U_Von,"&lt;="&amp;DATE(Planungsjahr,1,I53),U_Bis,"&gt;="&amp;DATE(Planungsjahr,1,I53))&gt;0,"u",""))),"")</f>
      </c>
      <c r="K54" s="225">
        <f>IF(ISNUMBER(I53),IFERROR(31-1/(1/SUMPRODUCT(MAX((JP_PAL=DATE(Planungsjahr,1,I53))*Anzeige_P*((JP_Anzeige=TRUE)+NOT(Filter_Aktiv)&gt;0)*(11-JP_Farbe)))),IF(COUNTIF(Feiertage,DATE(Planungsjahr,1,I53))&gt;0,"h",IF(COUNTIFS(U_Von,"&lt;="&amp;DATE(Planungsjahr,1,I53),U_Bis,"&gt;="&amp;DATE(Planungsjahr,1,I53))&gt;0,"u",""))),"")</f>
      </c>
      <c r="L54" s="223">
        <f>IF(ISNUMBER(L53),IFERROR(11-1/(1/SUMPRODUCT(MAX((JP_StartSel=DATE(Planungsjahr,1,L53))*Anzeige_S*((JP_Anzeige=TRUE)+NOT(Filter_Aktiv)&gt;0)*(11-JP_Farbe)))),IF(COUNTIF(Feiertage,DATE(Planungsjahr,1,L53))&gt;0,"h",IF(COUNTIFS(U_Von,"&lt;="&amp;DATE(Planungsjahr,1,L53),U_Bis,"&gt;="&amp;DATE(Planungsjahr,1,L53))&gt;0,"u",""))),"")</f>
      </c>
      <c r="M54" s="224">
        <f>IF(ISNUMBER(L53),IFERROR(21-1/(1/SUMPRODUCT(MAX((JP_StartInhalt=DATE(Planungsjahr,1,L53))*Anzeige_I*((JP_Anzeige=TRUE)+NOT(Filter_Aktiv)&gt;0)*(11-JP_Farbe)))),IF(COUNTIF(Feiertage,DATE(Planungsjahr,1,L53))&gt;0,"h",IF(COUNTIFS(U_Von,"&lt;="&amp;DATE(Planungsjahr,1,L53),U_Bis,"&gt;="&amp;DATE(Planungsjahr,1,L53))&gt;0,"u",""))),"")</f>
      </c>
      <c r="N54" s="225">
        <f>IF(ISNUMBER(L53),IFERROR(31-1/(1/SUMPRODUCT(MAX((JP_PAL=DATE(Planungsjahr,1,L53))*Anzeige_P*((JP_Anzeige=TRUE)+NOT(Filter_Aktiv)&gt;0)*(11-JP_Farbe)))),IF(COUNTIF(Feiertage,DATE(Planungsjahr,1,L53))&gt;0,"h",IF(COUNTIFS(U_Von,"&lt;="&amp;DATE(Planungsjahr,1,L53),U_Bis,"&gt;="&amp;DATE(Planungsjahr,1,L53))&gt;0,"u",""))),"")</f>
      </c>
      <c r="O54" s="223">
        <f>IF(ISNUMBER(O53),IFERROR(11-1/(1/SUMPRODUCT(MAX((JP_StartSel=DATE(Planungsjahr,1,O53))*Anzeige_S*((JP_Anzeige=TRUE)+NOT(Filter_Aktiv)&gt;0)*(11-JP_Farbe)))),IF(COUNTIF(Feiertage,DATE(Planungsjahr,1,O53))&gt;0,"h",IF(COUNTIFS(U_Von,"&lt;="&amp;DATE(Planungsjahr,1,O53),U_Bis,"&gt;="&amp;DATE(Planungsjahr,1,O53))&gt;0,"u",""))),"")</f>
      </c>
      <c r="P54" s="224">
        <f>IF(ISNUMBER(O53),IFERROR(21-1/(1/SUMPRODUCT(MAX((JP_StartInhalt=DATE(Planungsjahr,1,O53))*Anzeige_I*((JP_Anzeige=TRUE)+NOT(Filter_Aktiv)&gt;0)*(11-JP_Farbe)))),IF(COUNTIF(Feiertage,DATE(Planungsjahr,1,O53))&gt;0,"h",IF(COUNTIFS(U_Von,"&lt;="&amp;DATE(Planungsjahr,1,O53),U_Bis,"&gt;="&amp;DATE(Planungsjahr,1,O53))&gt;0,"u",""))),"")</f>
      </c>
      <c r="Q54" s="225">
        <f>IF(ISNUMBER(O53),IFERROR(31-1/(1/SUMPRODUCT(MAX((JP_PAL=DATE(Planungsjahr,1,O53))*Anzeige_P*((JP_Anzeige=TRUE)+NOT(Filter_Aktiv)&gt;0)*(11-JP_Farbe)))),IF(COUNTIF(Feiertage,DATE(Planungsjahr,1,O53))&gt;0,"h",IF(COUNTIFS(U_Von,"&lt;="&amp;DATE(Planungsjahr,1,O53),U_Bis,"&gt;="&amp;DATE(Planungsjahr,1,O53))&gt;0,"u",""))),"")</f>
      </c>
      <c r="R54" s="223">
        <f>IF(ISNUMBER(R53),IFERROR(11-1/(1/SUMPRODUCT(MAX((JP_StartSel=DATE(Planungsjahr,1,R53))*Anzeige_S*((JP_Anzeige=TRUE)+NOT(Filter_Aktiv)&gt;0)*(11-JP_Farbe)))),IF(COUNTIF(Feiertage,DATE(Planungsjahr,1,R53))&gt;0,"h","w")),"")</f>
      </c>
      <c r="S54" s="224">
        <f>IF(ISNUMBER(R53),IFERROR(21-1/(1/SUMPRODUCT(MAX((JP_StartInhalt=DATE(Planungsjahr,1,R53))*Anzeige_I*((JP_Anzeige=TRUE)+NOT(Filter_Aktiv)&gt;0)*(11-JP_Farbe)))),IF(COUNTIF(Feiertage,DATE(Planungsjahr,1,R53))&gt;0,"h","w")),"")</f>
      </c>
      <c r="T54" s="225">
        <f>IF(ISNUMBER(R53),IFERROR(31-1/(1/SUMPRODUCT(MAX((JP_PAL=DATE(Planungsjahr,1,R53))*Anzeige_P*((JP_Anzeige=TRUE)+NOT(Filter_Aktiv)&gt;0)*(11-JP_Farbe)))),IF(COUNTIF(Feiertage,DATE(Planungsjahr,1,R53))&gt;0,"h","w")),"")</f>
      </c>
      <c r="U54" s="223">
        <f>IF(ISNUMBER(U53),IFERROR(11-1/(1/SUMPRODUCT(MAX((JP_StartSel=DATE(Planungsjahr,1,U53))*Anzeige_S*((JP_Anzeige=TRUE)+NOT(Filter_Aktiv)&gt;0)*(11-JP_Farbe)))),IF(COUNTIF(Feiertage,DATE(Planungsjahr,1,U53))&gt;0,"h","w")),"")</f>
      </c>
      <c r="V54" s="224">
        <f>IF(ISNUMBER(U53),IFERROR(21-1/(1/SUMPRODUCT(MAX((JP_StartInhalt=DATE(Planungsjahr,1,U53))*Anzeige_I*((JP_Anzeige=TRUE)+NOT(Filter_Aktiv)&gt;0)*(11-JP_Farbe)))),IF(COUNTIF(Feiertage,DATE(Planungsjahr,1,U53))&gt;0,"h","w")),"")</f>
      </c>
      <c r="W54" s="225">
        <f>IF(ISNUMBER(U53),IFERROR(31-1/(1/SUMPRODUCT(MAX((JP_PAL=DATE(Planungsjahr,1,U53))*Anzeige_P*((JP_Anzeige=TRUE)+NOT(Filter_Aktiv)&gt;0)*(11-JP_Farbe)))),IF(COUNTIF(Feiertage,DATE(Planungsjahr,1,U53))&gt;0,"h","w")),"")</f>
      </c>
      <c r="Y54" s="179"/>
      <c r="Z54" s="223">
        <f>IF(ISNUMBER(Z53),IFERROR(11-1/(1/SUMPRODUCT(MAX((JP_StartSel=DATE(Planungsjahr,2,Z53))*Anzeige_S*((JP_Anzeige=TRUE)+NOT(Filter_Aktiv)&gt;0)*(11-JP_Farbe)))),IF(COUNTIF(Feiertage,DATE(Planungsjahr,2,Z53))&gt;0,"h",IF(COUNTIFS(U_Von,"&lt;="&amp;DATE(Planungsjahr,2,Z53),U_Bis,"&gt;="&amp;DATE(Planungsjahr,2,Z53))&gt;0,"u",""))),"")</f>
      </c>
      <c r="AA54" s="224">
        <f>IF(ISNUMBER(Z53),IFERROR(21-1/(1/SUMPRODUCT(MAX((JP_StartInhalt=DATE(Planungsjahr,2,Z53))*Anzeige_I*((JP_Anzeige=TRUE)+NOT(Filter_Aktiv)&gt;0)*(11-JP_Farbe)))),IF(COUNTIF(Feiertage,DATE(Planungsjahr,2,Z53))&gt;0,"h",IF(COUNTIFS(U_Von,"&lt;="&amp;DATE(Planungsjahr,2,Z53),U_Bis,"&gt;="&amp;DATE(Planungsjahr,2,Z53))&gt;0,"u",""))),"")</f>
      </c>
      <c r="AB54" s="225">
        <f>IF(ISNUMBER(Z53),IFERROR(31-1/(1/SUMPRODUCT(MAX((JP_PAL=DATE(Planungsjahr,2,Z53))*Anzeige_P*((JP_Anzeige=TRUE)+NOT(Filter_Aktiv)&gt;0)*(11-JP_Farbe)))),IF(COUNTIF(Feiertage,DATE(Planungsjahr,2,Z53))&gt;0,"h",IF(COUNTIFS(U_Von,"&lt;="&amp;DATE(Planungsjahr,2,Z53),U_Bis,"&gt;="&amp;DATE(Planungsjahr,2,Z53))&gt;0,"u",""))),"")</f>
      </c>
      <c r="AC54" s="223">
        <f>IF(ISNUMBER(AC53),IFERROR(11-1/(1/SUMPRODUCT(MAX((JP_StartSel=DATE(Planungsjahr,2,AC53))*Anzeige_S*((JP_Anzeige=TRUE)+NOT(Filter_Aktiv)&gt;0)*(11-JP_Farbe)))),IF(COUNTIF(Feiertage,DATE(Planungsjahr,2,AC53))&gt;0,"h",IF(COUNTIFS(U_Von,"&lt;="&amp;DATE(Planungsjahr,2,AC53),U_Bis,"&gt;="&amp;DATE(Planungsjahr,2,AC53))&gt;0,"u",""))),"")</f>
      </c>
      <c r="AD54" s="224">
        <f>IF(ISNUMBER(AC53),IFERROR(21-1/(1/SUMPRODUCT(MAX((JP_StartInhalt=DATE(Planungsjahr,2,AC53))*Anzeige_I*((JP_Anzeige=TRUE)+NOT(Filter_Aktiv)&gt;0)*(11-JP_Farbe)))),IF(COUNTIF(Feiertage,DATE(Planungsjahr,2,AC53))&gt;0,"h",IF(COUNTIFS(U_Von,"&lt;="&amp;DATE(Planungsjahr,2,AC53),U_Bis,"&gt;="&amp;DATE(Planungsjahr,2,AC53))&gt;0,"u",""))),"")</f>
      </c>
      <c r="AE54" s="225">
        <f>IF(ISNUMBER(AC53),IFERROR(31-1/(1/SUMPRODUCT(MAX((JP_PAL=DATE(Planungsjahr,2,AC53))*Anzeige_P*((JP_Anzeige=TRUE)+NOT(Filter_Aktiv)&gt;0)*(11-JP_Farbe)))),IF(COUNTIF(Feiertage,DATE(Planungsjahr,2,AC53))&gt;0,"h",IF(COUNTIFS(U_Von,"&lt;="&amp;DATE(Planungsjahr,2,AC53),U_Bis,"&gt;="&amp;DATE(Planungsjahr,2,AC53))&gt;0,"u",""))),"")</f>
      </c>
      <c r="AF54" s="223">
        <f>IF(ISNUMBER(AF53),IFERROR(11-1/(1/SUMPRODUCT(MAX((JP_StartSel=DATE(Planungsjahr,2,AF53))*Anzeige_S*((JP_Anzeige=TRUE)+NOT(Filter_Aktiv)&gt;0)*(11-JP_Farbe)))),IF(COUNTIF(Feiertage,DATE(Planungsjahr,2,AF53))&gt;0,"h",IF(COUNTIFS(U_Von,"&lt;="&amp;DATE(Planungsjahr,2,AF53),U_Bis,"&gt;="&amp;DATE(Planungsjahr,2,AF53))&gt;0,"u",""))),"")</f>
      </c>
      <c r="AG54" s="224">
        <f>IF(ISNUMBER(AF53),IFERROR(21-1/(1/SUMPRODUCT(MAX((JP_StartInhalt=DATE(Planungsjahr,2,AF53))*Anzeige_I*((JP_Anzeige=TRUE)+NOT(Filter_Aktiv)&gt;0)*(11-JP_Farbe)))),IF(COUNTIF(Feiertage,DATE(Planungsjahr,2,AF53))&gt;0,"h",IF(COUNTIFS(U_Von,"&lt;="&amp;DATE(Planungsjahr,2,AF53),U_Bis,"&gt;="&amp;DATE(Planungsjahr,2,AF53))&gt;0,"u",""))),"")</f>
      </c>
      <c r="AH54" s="225">
        <f>IF(ISNUMBER(AF53),IFERROR(31-1/(1/SUMPRODUCT(MAX((JP_PAL=DATE(Planungsjahr,2,AF53))*Anzeige_P*((JP_Anzeige=TRUE)+NOT(Filter_Aktiv)&gt;0)*(11-JP_Farbe)))),IF(COUNTIF(Feiertage,DATE(Planungsjahr,2,AF53))&gt;0,"h",IF(COUNTIFS(U_Von,"&lt;="&amp;DATE(Planungsjahr,2,AF53),U_Bis,"&gt;="&amp;DATE(Planungsjahr,2,AF53))&gt;0,"u",""))),"")</f>
      </c>
      <c r="AI54" s="223">
        <f>IF(ISNUMBER(AI53),IFERROR(11-1/(1/SUMPRODUCT(MAX((JP_StartSel=DATE(Planungsjahr,2,AI53))*Anzeige_S*((JP_Anzeige=TRUE)+NOT(Filter_Aktiv)&gt;0)*(11-JP_Farbe)))),IF(COUNTIF(Feiertage,DATE(Planungsjahr,2,AI53))&gt;0,"h",IF(COUNTIFS(U_Von,"&lt;="&amp;DATE(Planungsjahr,2,AI53),U_Bis,"&gt;="&amp;DATE(Planungsjahr,2,AI53))&gt;0,"u",""))),"")</f>
      </c>
      <c r="AJ54" s="224">
        <f>IF(ISNUMBER(AI53),IFERROR(21-1/(1/SUMPRODUCT(MAX((JP_StartInhalt=DATE(Planungsjahr,2,AI53))*Anzeige_I*((JP_Anzeige=TRUE)+NOT(Filter_Aktiv)&gt;0)*(11-JP_Farbe)))),IF(COUNTIF(Feiertage,DATE(Planungsjahr,2,AI53))&gt;0,"h",IF(COUNTIFS(U_Von,"&lt;="&amp;DATE(Planungsjahr,2,AI53),U_Bis,"&gt;="&amp;DATE(Planungsjahr,2,AI53))&gt;0,"u",""))),"")</f>
      </c>
      <c r="AK54" s="225">
        <f>IF(ISNUMBER(AI53),IFERROR(31-1/(1/SUMPRODUCT(MAX((JP_PAL=DATE(Planungsjahr,2,AI53))*Anzeige_P*((JP_Anzeige=TRUE)+NOT(Filter_Aktiv)&gt;0)*(11-JP_Farbe)))),IF(COUNTIF(Feiertage,DATE(Planungsjahr,2,AI53))&gt;0,"h",IF(COUNTIFS(U_Von,"&lt;="&amp;DATE(Planungsjahr,2,AI53),U_Bis,"&gt;="&amp;DATE(Planungsjahr,2,AI53))&gt;0,"u",""))),"")</f>
      </c>
      <c r="AL54" s="223">
        <f>IF(ISNUMBER(AL53),IFERROR(11-1/(1/SUMPRODUCT(MAX((JP_StartSel=DATE(Planungsjahr,2,AL53))*Anzeige_S*((JP_Anzeige=TRUE)+NOT(Filter_Aktiv)&gt;0)*(11-JP_Farbe)))),IF(COUNTIF(Feiertage,DATE(Planungsjahr,2,AL53))&gt;0,"h",IF(COUNTIFS(U_Von,"&lt;="&amp;DATE(Planungsjahr,2,AL53),U_Bis,"&gt;="&amp;DATE(Planungsjahr,2,AL53))&gt;0,"u",""))),"")</f>
      </c>
      <c r="AM54" s="224">
        <f>IF(ISNUMBER(AL53),IFERROR(21-1/(1/SUMPRODUCT(MAX((JP_StartInhalt=DATE(Planungsjahr,2,AL53))*Anzeige_I*((JP_Anzeige=TRUE)+NOT(Filter_Aktiv)&gt;0)*(11-JP_Farbe)))),IF(COUNTIF(Feiertage,DATE(Planungsjahr,2,AL53))&gt;0,"h",IF(COUNTIFS(U_Von,"&lt;="&amp;DATE(Planungsjahr,2,AL53),U_Bis,"&gt;="&amp;DATE(Planungsjahr,2,AL53))&gt;0,"u",""))),"")</f>
      </c>
      <c r="AN54" s="225">
        <f>IF(ISNUMBER(AL53),IFERROR(31-1/(1/SUMPRODUCT(MAX((JP_PAL=DATE(Planungsjahr,2,AL53))*Anzeige_P*((JP_Anzeige=TRUE)+NOT(Filter_Aktiv)&gt;0)*(11-JP_Farbe)))),IF(COUNTIF(Feiertage,DATE(Planungsjahr,2,AL53))&gt;0,"h",IF(COUNTIFS(U_Von,"&lt;="&amp;DATE(Planungsjahr,2,AL53),U_Bis,"&gt;="&amp;DATE(Planungsjahr,2,AL53))&gt;0,"u",""))),"")</f>
      </c>
      <c r="AO54" s="223">
        <f>IF(ISNUMBER(AO53),IFERROR(11-1/(1/SUMPRODUCT(MAX((JP_StartSel=DATE(Planungsjahr,2,AO53))*Anzeige_S*((JP_Anzeige=TRUE)+NOT(Filter_Aktiv)&gt;0)*(11-JP_Farbe)))),IF(COUNTIF(Feiertage,DATE(Planungsjahr,2,AO53))&gt;0,"h","w")),"")</f>
      </c>
      <c r="AP54" s="224">
        <f>IF(ISNUMBER(AO53),IFERROR(21-1/(1/SUMPRODUCT(MAX((JP_StartInhalt=DATE(Planungsjahr,2,AO53))*Anzeige_I*((JP_Anzeige=TRUE)+NOT(Filter_Aktiv)&gt;0)*(11-JP_Farbe)))),IF(COUNTIF(Feiertage,DATE(Planungsjahr,2,AO53))&gt;0,"h","w")),"")</f>
      </c>
      <c r="AQ54" s="225">
        <f>IF(ISNUMBER(AO53),IFERROR(31-1/(1/SUMPRODUCT(MAX((JP_PAL=DATE(Planungsjahr,2,AO53))*Anzeige_P*((JP_Anzeige=TRUE)+NOT(Filter_Aktiv)&gt;0)*(11-JP_Farbe)))),IF(COUNTIF(Feiertage,DATE(Planungsjahr,2,AO53))&gt;0,"h","w")),"")</f>
      </c>
      <c r="AR54" s="223">
        <f>IF(ISNUMBER(AR53),IFERROR(11-1/(1/SUMPRODUCT(MAX((JP_StartSel=DATE(Planungsjahr,2,AR53))*Anzeige_S*((JP_Anzeige=TRUE)+NOT(Filter_Aktiv)&gt;0)*(11-JP_Farbe)))),IF(COUNTIF(Feiertage,DATE(Planungsjahr,2,AR53))&gt;0,"h","w")),"")</f>
      </c>
      <c r="AS54" s="224">
        <f>IF(ISNUMBER(AR53),IFERROR(21-1/(1/SUMPRODUCT(MAX((JP_StartInhalt=DATE(Planungsjahr,2,AR53))*Anzeige_I*((JP_Anzeige=TRUE)+NOT(Filter_Aktiv)&gt;0)*(11-JP_Farbe)))),IF(COUNTIF(Feiertage,DATE(Planungsjahr,2,AR53))&gt;0,"h","w")),"")</f>
      </c>
      <c r="AT54" s="225">
        <f>IF(ISNUMBER(AR53),IFERROR(31-1/(1/SUMPRODUCT(MAX((JP_PAL=DATE(Planungsjahr,2,AR53))*Anzeige_P*((JP_Anzeige=TRUE)+NOT(Filter_Aktiv)&gt;0)*(11-JP_Farbe)))),IF(COUNTIF(Feiertage,DATE(Planungsjahr,2,AR53))&gt;0,"h","w")),"")</f>
      </c>
      <c r="AV54" s="179"/>
      <c r="AW54" s="223">
        <f>IF(ISNUMBER(AW53),IFERROR(11-1/(1/SUMPRODUCT(MAX((JP_StartSel=DATE(Planungsjahr,3,AW53))*Anzeige_S*((JP_Anzeige=TRUE)+NOT(Filter_Aktiv)&gt;0)*(11-JP_Farbe)))),IF(COUNTIF(Feiertage,DATE(Planungsjahr,3,AW53))&gt;0,"h",IF(COUNTIFS(U_Von,"&lt;="&amp;DATE(Planungsjahr,3,AW53),U_Bis,"&gt;="&amp;DATE(Planungsjahr,3,AW53))&gt;0,"u",""))),"")</f>
      </c>
      <c r="AX54" s="224">
        <f>IF(ISNUMBER(AW53),IFERROR(21-1/(1/SUMPRODUCT(MAX((JP_StartInhalt=DATE(Planungsjahr,3,AW53))*Anzeige_I*((JP_Anzeige=TRUE)+NOT(Filter_Aktiv)&gt;0)*(11-JP_Farbe)))),IF(COUNTIF(Feiertage,DATE(Planungsjahr,3,AW53))&gt;0,"h",IF(COUNTIFS(U_Von,"&lt;="&amp;DATE(Planungsjahr,3,AW53),U_Bis,"&gt;="&amp;DATE(Planungsjahr,3,AW53))&gt;0,"u",""))),"")</f>
      </c>
      <c r="AY54" s="225">
        <f>IF(ISNUMBER(AW53),IFERROR(31-1/(1/SUMPRODUCT(MAX((JP_PAL=DATE(Planungsjahr,3,AW53))*Anzeige_P*((JP_Anzeige=TRUE)+NOT(Filter_Aktiv)&gt;0)*(11-JP_Farbe)))),IF(COUNTIF(Feiertage,DATE(Planungsjahr,3,AW53))&gt;0,"h",IF(COUNTIFS(U_Von,"&lt;="&amp;DATE(Planungsjahr,3,AW53),U_Bis,"&gt;="&amp;DATE(Planungsjahr,3,AW53))&gt;0,"u",""))),"")</f>
      </c>
      <c r="AZ54" s="223">
        <f>IF(ISNUMBER(AZ53),IFERROR(11-1/(1/SUMPRODUCT(MAX((JP_StartSel=DATE(Planungsjahr,3,AZ53))*Anzeige_S*((JP_Anzeige=TRUE)+NOT(Filter_Aktiv)&gt;0)*(11-JP_Farbe)))),IF(COUNTIF(Feiertage,DATE(Planungsjahr,3,AZ53))&gt;0,"h",IF(COUNTIFS(U_Von,"&lt;="&amp;DATE(Planungsjahr,3,AZ53),U_Bis,"&gt;="&amp;DATE(Planungsjahr,3,AZ53))&gt;0,"u",""))),"")</f>
      </c>
      <c r="BA54" s="224">
        <f>IF(ISNUMBER(AZ53),IFERROR(21-1/(1/SUMPRODUCT(MAX((JP_StartInhalt=DATE(Planungsjahr,3,AZ53))*Anzeige_I*((JP_Anzeige=TRUE)+NOT(Filter_Aktiv)&gt;0)*(11-JP_Farbe)))),IF(COUNTIF(Feiertage,DATE(Planungsjahr,3,AZ53))&gt;0,"h",IF(COUNTIFS(U_Von,"&lt;="&amp;DATE(Planungsjahr,3,AZ53),U_Bis,"&gt;="&amp;DATE(Planungsjahr,3,AZ53))&gt;0,"u",""))),"")</f>
      </c>
      <c r="BB54" s="225">
        <f>IF(ISNUMBER(AZ53),IFERROR(31-1/(1/SUMPRODUCT(MAX((JP_PAL=DATE(Planungsjahr,3,AZ53))*Anzeige_P*((JP_Anzeige=TRUE)+NOT(Filter_Aktiv)&gt;0)*(11-JP_Farbe)))),IF(COUNTIF(Feiertage,DATE(Planungsjahr,3,AZ53))&gt;0,"h",IF(COUNTIFS(U_Von,"&lt;="&amp;DATE(Planungsjahr,3,AZ53),U_Bis,"&gt;="&amp;DATE(Planungsjahr,3,AZ53))&gt;0,"u",""))),"")</f>
      </c>
      <c r="BC54" s="223">
        <f>IF(ISNUMBER(BC53),IFERROR(11-1/(1/SUMPRODUCT(MAX((JP_StartSel=DATE(Planungsjahr,3,BC53))*Anzeige_S*((JP_Anzeige=TRUE)+NOT(Filter_Aktiv)&gt;0)*(11-JP_Farbe)))),IF(COUNTIF(Feiertage,DATE(Planungsjahr,3,BC53))&gt;0,"h",IF(COUNTIFS(U_Von,"&lt;="&amp;DATE(Planungsjahr,3,BC53),U_Bis,"&gt;="&amp;DATE(Planungsjahr,3,BC53))&gt;0,"u",""))),"")</f>
      </c>
      <c r="BD54" s="224">
        <f>IF(ISNUMBER(BC53),IFERROR(21-1/(1/SUMPRODUCT(MAX((JP_StartInhalt=DATE(Planungsjahr,3,BC53))*Anzeige_I*((JP_Anzeige=TRUE)+NOT(Filter_Aktiv)&gt;0)*(11-JP_Farbe)))),IF(COUNTIF(Feiertage,DATE(Planungsjahr,3,BC53))&gt;0,"h",IF(COUNTIFS(U_Von,"&lt;="&amp;DATE(Planungsjahr,3,BC53),U_Bis,"&gt;="&amp;DATE(Planungsjahr,3,BC53))&gt;0,"u",""))),"")</f>
      </c>
      <c r="BE54" s="225">
        <f>IF(ISNUMBER(BC53),IFERROR(31-1/(1/SUMPRODUCT(MAX((JP_PAL=DATE(Planungsjahr,3,BC53))*Anzeige_P*((JP_Anzeige=TRUE)+NOT(Filter_Aktiv)&gt;0)*(11-JP_Farbe)))),IF(COUNTIF(Feiertage,DATE(Planungsjahr,3,BC53))&gt;0,"h",IF(COUNTIFS(U_Von,"&lt;="&amp;DATE(Planungsjahr,3,BC53),U_Bis,"&gt;="&amp;DATE(Planungsjahr,3,BC53))&gt;0,"u",""))),"")</f>
      </c>
      <c r="BF54" s="223">
        <f>IF(ISNUMBER(BF53),IFERROR(11-1/(1/SUMPRODUCT(MAX((JP_StartSel=DATE(Planungsjahr,3,BF53))*Anzeige_S*((JP_Anzeige=TRUE)+NOT(Filter_Aktiv)&gt;0)*(11-JP_Farbe)))),IF(COUNTIF(Feiertage,DATE(Planungsjahr,3,BF53))&gt;0,"h",IF(COUNTIFS(U_Von,"&lt;="&amp;DATE(Planungsjahr,3,BF53),U_Bis,"&gt;="&amp;DATE(Planungsjahr,3,BF53))&gt;0,"u",""))),"")</f>
      </c>
      <c r="BG54" s="224">
        <f>IF(ISNUMBER(BF53),IFERROR(21-1/(1/SUMPRODUCT(MAX((JP_StartInhalt=DATE(Planungsjahr,3,BF53))*Anzeige_I*((JP_Anzeige=TRUE)+NOT(Filter_Aktiv)&gt;0)*(11-JP_Farbe)))),IF(COUNTIF(Feiertage,DATE(Planungsjahr,3,BF53))&gt;0,"h",IF(COUNTIFS(U_Von,"&lt;="&amp;DATE(Planungsjahr,3,BF53),U_Bis,"&gt;="&amp;DATE(Planungsjahr,3,BF53))&gt;0,"u",""))),"")</f>
      </c>
      <c r="BH54" s="225">
        <f>IF(ISNUMBER(BF53),IFERROR(31-1/(1/SUMPRODUCT(MAX((JP_PAL=DATE(Planungsjahr,3,BF53))*Anzeige_P*((JP_Anzeige=TRUE)+NOT(Filter_Aktiv)&gt;0)*(11-JP_Farbe)))),IF(COUNTIF(Feiertage,DATE(Planungsjahr,3,BF53))&gt;0,"h",IF(COUNTIFS(U_Von,"&lt;="&amp;DATE(Planungsjahr,3,BF53),U_Bis,"&gt;="&amp;DATE(Planungsjahr,3,BF53))&gt;0,"u",""))),"")</f>
      </c>
      <c r="BI54" s="223">
        <f>IF(ISNUMBER(BI53),IFERROR(11-1/(1/SUMPRODUCT(MAX((JP_StartSel=DATE(Planungsjahr,3,BI53))*Anzeige_S*((JP_Anzeige=TRUE)+NOT(Filter_Aktiv)&gt;0)*(11-JP_Farbe)))),IF(COUNTIF(Feiertage,DATE(Planungsjahr,3,BI53))&gt;0,"h",IF(COUNTIFS(U_Von,"&lt;="&amp;DATE(Planungsjahr,3,BI53),U_Bis,"&gt;="&amp;DATE(Planungsjahr,3,BI53))&gt;0,"u",""))),"")</f>
      </c>
      <c r="BJ54" s="224">
        <f>IF(ISNUMBER(BI53),IFERROR(21-1/(1/SUMPRODUCT(MAX((JP_StartInhalt=DATE(Planungsjahr,3,BI53))*Anzeige_I*((JP_Anzeige=TRUE)+NOT(Filter_Aktiv)&gt;0)*(11-JP_Farbe)))),IF(COUNTIF(Feiertage,DATE(Planungsjahr,3,BI53))&gt;0,"h",IF(COUNTIFS(U_Von,"&lt;="&amp;DATE(Planungsjahr,3,BI53),U_Bis,"&gt;="&amp;DATE(Planungsjahr,3,BI53))&gt;0,"u",""))),"")</f>
      </c>
      <c r="BK54" s="225">
        <f>IF(ISNUMBER(BI53),IFERROR(31-1/(1/SUMPRODUCT(MAX((JP_PAL=DATE(Planungsjahr,3,BI53))*Anzeige_P*((JP_Anzeige=TRUE)+NOT(Filter_Aktiv)&gt;0)*(11-JP_Farbe)))),IF(COUNTIF(Feiertage,DATE(Planungsjahr,3,BI53))&gt;0,"h",IF(COUNTIFS(U_Von,"&lt;="&amp;DATE(Planungsjahr,3,BI53),U_Bis,"&gt;="&amp;DATE(Planungsjahr,3,BI53))&gt;0,"u",""))),"")</f>
      </c>
      <c r="BL54" s="223">
        <f>IF(ISNUMBER(BL53),IFERROR(11-1/(1/SUMPRODUCT(MAX((JP_StartSel=DATE(Planungsjahr,3,BL53))*Anzeige_S*((JP_Anzeige=TRUE)+NOT(Filter_Aktiv)&gt;0)*(11-JP_Farbe)))),IF(COUNTIF(Feiertage,DATE(Planungsjahr,3,BL53))&gt;0,"h","w")),"")</f>
      </c>
      <c r="BM54" s="224">
        <f>IF(ISNUMBER(BL53),IFERROR(21-1/(1/SUMPRODUCT(MAX((JP_StartInhalt=DATE(Planungsjahr,3,BL53))*Anzeige_I*((JP_Anzeige=TRUE)+NOT(Filter_Aktiv)&gt;0)*(11-JP_Farbe)))),IF(COUNTIF(Feiertage,DATE(Planungsjahr,3,BL53))&gt;0,"h","w")),"")</f>
      </c>
      <c r="BN54" s="225">
        <f>IF(ISNUMBER(BL53),IFERROR(31-1/(1/SUMPRODUCT(MAX((JP_PAL=DATE(Planungsjahr,3,BL53))*Anzeige_P*((JP_Anzeige=TRUE)+NOT(Filter_Aktiv)&gt;0)*(11-JP_Farbe)))),IF(COUNTIF(Feiertage,DATE(Planungsjahr,3,BL53))&gt;0,"h","w")),"")</f>
      </c>
      <c r="BO54" s="223">
        <f>IF(ISNUMBER(BO53),IFERROR(11-1/(1/SUMPRODUCT(MAX((JP_StartSel=DATE(Planungsjahr,3,BO53))*Anzeige_S*((JP_Anzeige=TRUE)+NOT(Filter_Aktiv)&gt;0)*(11-JP_Farbe)))),IF(COUNTIF(Feiertage,DATE(Planungsjahr,3,BO53))&gt;0,"h","w")),"")</f>
      </c>
      <c r="BP54" s="224">
        <f>IF(ISNUMBER(BO53),IFERROR(21-1/(1/SUMPRODUCT(MAX((JP_StartInhalt=DATE(Planungsjahr,3,BO53))*Anzeige_I*((JP_Anzeige=TRUE)+NOT(Filter_Aktiv)&gt;0)*(11-JP_Farbe)))),IF(COUNTIF(Feiertage,DATE(Planungsjahr,3,BO53))&gt;0,"h","w")),"")</f>
      </c>
      <c r="BQ54" s="225">
        <f>IF(ISNUMBER(BO53),IFERROR(31-1/(1/SUMPRODUCT(MAX((JP_PAL=DATE(Planungsjahr,3,BO53))*Anzeige_P*((JP_Anzeige=TRUE)+NOT(Filter_Aktiv)&gt;0)*(11-JP_Farbe)))),IF(COUNTIF(Feiertage,DATE(Planungsjahr,3,BO53))&gt;0,"h","w")),"")</f>
      </c>
      <c r="BS54" s="179"/>
      <c r="BT54" s="223">
        <f>IF(ISNUMBER(BT53),IFERROR(11-1/(1/SUMPRODUCT(MAX((JP_StartSel=DATE(Planungsjahr,4,BT53))*Anzeige_S*((JP_Anzeige=TRUE)+NOT(Filter_Aktiv)&gt;0)*(11-JP_Farbe)))),IF(COUNTIF(Feiertage,DATE(Planungsjahr,4,BT53))&gt;0,"h",IF(COUNTIFS(U_Von,"&lt;="&amp;DATE(Planungsjahr,4,BT53),U_Bis,"&gt;="&amp;DATE(Planungsjahr,4,BT53))&gt;0,"u",""))),"")</f>
      </c>
      <c r="BU54" s="224">
        <f>IF(ISNUMBER(BT53),IFERROR(21-1/(1/SUMPRODUCT(MAX((JP_StartInhalt=DATE(Planungsjahr,4,BT53))*Anzeige_I*((JP_Anzeige=TRUE)+NOT(Filter_Aktiv)&gt;0)*(11-JP_Farbe)))),IF(COUNTIF(Feiertage,DATE(Planungsjahr,4,BT53))&gt;0,"h",IF(COUNTIFS(U_Von,"&lt;="&amp;DATE(Planungsjahr,4,BT53),U_Bis,"&gt;="&amp;DATE(Planungsjahr,4,BT53))&gt;0,"u",""))),"")</f>
      </c>
      <c r="BV54" s="225">
        <f>IF(ISNUMBER(BT53),IFERROR(31-1/(1/SUMPRODUCT(MAX((JP_PAL=DATE(Planungsjahr,4,BT53))*Anzeige_P*((JP_Anzeige=TRUE)+NOT(Filter_Aktiv)&gt;0)*(11-JP_Farbe)))),IF(COUNTIF(Feiertage,DATE(Planungsjahr,4,BT53))&gt;0,"h",IF(COUNTIFS(U_Von,"&lt;="&amp;DATE(Planungsjahr,4,BT53),U_Bis,"&gt;="&amp;DATE(Planungsjahr,4,BT53))&gt;0,"u",""))),"")</f>
      </c>
      <c r="BW54" s="223">
        <f>IF(ISNUMBER(BW53),IFERROR(11-1/(1/SUMPRODUCT(MAX((JP_StartSel=DATE(Planungsjahr,4,BW53))*Anzeige_S*((JP_Anzeige=TRUE)+NOT(Filter_Aktiv)&gt;0)*(11-JP_Farbe)))),IF(COUNTIF(Feiertage,DATE(Planungsjahr,4,BW53))&gt;0,"h",IF(COUNTIFS(U_Von,"&lt;="&amp;DATE(Planungsjahr,4,BW53),U_Bis,"&gt;="&amp;DATE(Planungsjahr,4,BW53))&gt;0,"u",""))),"")</f>
      </c>
      <c r="BX54" s="224">
        <f>IF(ISNUMBER(BW53),IFERROR(21-1/(1/SUMPRODUCT(MAX((JP_StartInhalt=DATE(Planungsjahr,4,BW53))*Anzeige_I*((JP_Anzeige=TRUE)+NOT(Filter_Aktiv)&gt;0)*(11-JP_Farbe)))),IF(COUNTIF(Feiertage,DATE(Planungsjahr,4,BW53))&gt;0,"h",IF(COUNTIFS(U_Von,"&lt;="&amp;DATE(Planungsjahr,4,BW53),U_Bis,"&gt;="&amp;DATE(Planungsjahr,4,BW53))&gt;0,"u",""))),"")</f>
      </c>
      <c r="BY54" s="225">
        <f>IF(ISNUMBER(BW53),IFERROR(31-1/(1/SUMPRODUCT(MAX((JP_PAL=DATE(Planungsjahr,4,BW53))*Anzeige_P*((JP_Anzeige=TRUE)+NOT(Filter_Aktiv)&gt;0)*(11-JP_Farbe)))),IF(COUNTIF(Feiertage,DATE(Planungsjahr,4,BW53))&gt;0,"h",IF(COUNTIFS(U_Von,"&lt;="&amp;DATE(Planungsjahr,4,BW53),U_Bis,"&gt;="&amp;DATE(Planungsjahr,4,BW53))&gt;0,"u",""))),"")</f>
      </c>
      <c r="BZ54" s="223">
        <f>IF(ISNUMBER(BZ53),IFERROR(11-1/(1/SUMPRODUCT(MAX((JP_StartSel=DATE(Planungsjahr,4,BZ53))*Anzeige_S*((JP_Anzeige=TRUE)+NOT(Filter_Aktiv)&gt;0)*(11-JP_Farbe)))),IF(COUNTIF(Feiertage,DATE(Planungsjahr,4,BZ53))&gt;0,"h",IF(COUNTIFS(U_Von,"&lt;="&amp;DATE(Planungsjahr,4,BZ53),U_Bis,"&gt;="&amp;DATE(Planungsjahr,4,BZ53))&gt;0,"u",""))),"")</f>
      </c>
      <c r="CA54" s="224">
        <f>IF(ISNUMBER(BZ53),IFERROR(21-1/(1/SUMPRODUCT(MAX((JP_StartInhalt=DATE(Planungsjahr,4,BZ53))*Anzeige_I*((JP_Anzeige=TRUE)+NOT(Filter_Aktiv)&gt;0)*(11-JP_Farbe)))),IF(COUNTIF(Feiertage,DATE(Planungsjahr,4,BZ53))&gt;0,"h",IF(COUNTIFS(U_Von,"&lt;="&amp;DATE(Planungsjahr,4,BZ53),U_Bis,"&gt;="&amp;DATE(Planungsjahr,4,BZ53))&gt;0,"u",""))),"")</f>
      </c>
      <c r="CB54" s="225">
        <f>IF(ISNUMBER(BZ53),IFERROR(31-1/(1/SUMPRODUCT(MAX((JP_PAL=DATE(Planungsjahr,4,BZ53))*Anzeige_P*((JP_Anzeige=TRUE)+NOT(Filter_Aktiv)&gt;0)*(11-JP_Farbe)))),IF(COUNTIF(Feiertage,DATE(Planungsjahr,4,BZ53))&gt;0,"h",IF(COUNTIFS(U_Von,"&lt;="&amp;DATE(Planungsjahr,4,BZ53),U_Bis,"&gt;="&amp;DATE(Planungsjahr,4,BZ53))&gt;0,"u",""))),"")</f>
      </c>
      <c r="CC54" s="223">
        <f>IF(ISNUMBER(CC53),IFERROR(11-1/(1/SUMPRODUCT(MAX((JP_StartSel=DATE(Planungsjahr,4,CC53))*Anzeige_S*((JP_Anzeige=TRUE)+NOT(Filter_Aktiv)&gt;0)*(11-JP_Farbe)))),IF(COUNTIF(Feiertage,DATE(Planungsjahr,4,CC53))&gt;0,"h",IF(COUNTIFS(U_Von,"&lt;="&amp;DATE(Planungsjahr,4,CC53),U_Bis,"&gt;="&amp;DATE(Planungsjahr,4,CC53))&gt;0,"u",""))),"")</f>
      </c>
      <c r="CD54" s="224">
        <f>IF(ISNUMBER(CC53),IFERROR(21-1/(1/SUMPRODUCT(MAX((JP_StartInhalt=DATE(Planungsjahr,4,CC53))*Anzeige_I*((JP_Anzeige=TRUE)+NOT(Filter_Aktiv)&gt;0)*(11-JP_Farbe)))),IF(COUNTIF(Feiertage,DATE(Planungsjahr,4,CC53))&gt;0,"h",IF(COUNTIFS(U_Von,"&lt;="&amp;DATE(Planungsjahr,4,CC53),U_Bis,"&gt;="&amp;DATE(Planungsjahr,4,CC53))&gt;0,"u",""))),"")</f>
      </c>
      <c r="CE54" s="225">
        <f>IF(ISNUMBER(CC53),IFERROR(31-1/(1/SUMPRODUCT(MAX((JP_PAL=DATE(Planungsjahr,4,CC53))*Anzeige_P*((JP_Anzeige=TRUE)+NOT(Filter_Aktiv)&gt;0)*(11-JP_Farbe)))),IF(COUNTIF(Feiertage,DATE(Planungsjahr,4,CC53))&gt;0,"h",IF(COUNTIFS(U_Von,"&lt;="&amp;DATE(Planungsjahr,4,CC53),U_Bis,"&gt;="&amp;DATE(Planungsjahr,4,CC53))&gt;0,"u",""))),"")</f>
      </c>
      <c r="CF54" s="223">
        <f>IF(ISNUMBER(CF53),IFERROR(11-1/(1/SUMPRODUCT(MAX((JP_StartSel=DATE(Planungsjahr,4,CF53))*Anzeige_S*((JP_Anzeige=TRUE)+NOT(Filter_Aktiv)&gt;0)*(11-JP_Farbe)))),IF(COUNTIF(Feiertage,DATE(Planungsjahr,4,CF53))&gt;0,"h",IF(COUNTIFS(U_Von,"&lt;="&amp;DATE(Planungsjahr,4,CF53),U_Bis,"&gt;="&amp;DATE(Planungsjahr,4,CF53))&gt;0,"u",""))),"")</f>
      </c>
      <c r="CG54" s="224">
        <f>IF(ISNUMBER(CF53),IFERROR(21-1/(1/SUMPRODUCT(MAX((JP_StartInhalt=DATE(Planungsjahr,4,CF53))*Anzeige_I*((JP_Anzeige=TRUE)+NOT(Filter_Aktiv)&gt;0)*(11-JP_Farbe)))),IF(COUNTIF(Feiertage,DATE(Planungsjahr,4,CF53))&gt;0,"h",IF(COUNTIFS(U_Von,"&lt;="&amp;DATE(Planungsjahr,4,CF53),U_Bis,"&gt;="&amp;DATE(Planungsjahr,4,CF53))&gt;0,"u",""))),"")</f>
      </c>
      <c r="CH54" s="225">
        <f>IF(ISNUMBER(CF53),IFERROR(31-1/(1/SUMPRODUCT(MAX((JP_PAL=DATE(Planungsjahr,4,CF53))*Anzeige_P*((JP_Anzeige=TRUE)+NOT(Filter_Aktiv)&gt;0)*(11-JP_Farbe)))),IF(COUNTIF(Feiertage,DATE(Planungsjahr,4,CF53))&gt;0,"h",IF(COUNTIFS(U_Von,"&lt;="&amp;DATE(Planungsjahr,4,CF53),U_Bis,"&gt;="&amp;DATE(Planungsjahr,4,CF53))&gt;0,"u",""))),"")</f>
      </c>
      <c r="CI54" s="223">
        <f>IF(ISNUMBER(CI53),IFERROR(11-1/(1/SUMPRODUCT(MAX((JP_StartSel=DATE(Planungsjahr,4,CI53))*Anzeige_S*((JP_Anzeige=TRUE)+NOT(Filter_Aktiv)&gt;0)*(11-JP_Farbe)))),IF(COUNTIF(Feiertage,DATE(Planungsjahr,4,CI53))&gt;0,"h","w")),"")</f>
      </c>
      <c r="CJ54" s="224">
        <f>IF(ISNUMBER(CI53),IFERROR(21-1/(1/SUMPRODUCT(MAX((JP_StartInhalt=DATE(Planungsjahr,4,CI53))*Anzeige_I*((JP_Anzeige=TRUE)+NOT(Filter_Aktiv)&gt;0)*(11-JP_Farbe)))),IF(COUNTIF(Feiertage,DATE(Planungsjahr,4,CI53))&gt;0,"h","w")),"")</f>
      </c>
      <c r="CK54" s="225">
        <f>IF(ISNUMBER(CI53),IFERROR(31-1/(1/SUMPRODUCT(MAX((JP_PAL=DATE(Planungsjahr,4,CI53))*Anzeige_P*((JP_Anzeige=TRUE)+NOT(Filter_Aktiv)&gt;0)*(11-JP_Farbe)))),IF(COUNTIF(Feiertage,DATE(Planungsjahr,4,CI53))&gt;0,"h","w")),"")</f>
      </c>
      <c r="CL54" s="223">
        <f>IF(ISNUMBER(CL53),IFERROR(11-1/(1/SUMPRODUCT(MAX((JP_StartSel=DATE(Planungsjahr,4,CL53))*Anzeige_S*((JP_Anzeige=TRUE)+NOT(Filter_Aktiv)&gt;0)*(11-JP_Farbe)))),IF(COUNTIF(Feiertage,DATE(Planungsjahr,4,CL53))&gt;0,"h","w")),"")</f>
      </c>
      <c r="CM54" s="224">
        <f>IF(ISNUMBER(CL53),IFERROR(21-1/(1/SUMPRODUCT(MAX((JP_StartInhalt=DATE(Planungsjahr,4,CL53))*Anzeige_I*((JP_Anzeige=TRUE)+NOT(Filter_Aktiv)&gt;0)*(11-JP_Farbe)))),IF(COUNTIF(Feiertage,DATE(Planungsjahr,4,CL53))&gt;0,"h","w")),"")</f>
      </c>
      <c r="CN54" s="225">
        <f>IF(ISNUMBER(CL53),IFERROR(31-1/(1/SUMPRODUCT(MAX((JP_PAL=DATE(Planungsjahr,4,CL53))*Anzeige_P*((JP_Anzeige=TRUE)+NOT(Filter_Aktiv)&gt;0)*(11-JP_Farbe)))),IF(COUNTIF(Feiertage,DATE(Planungsjahr,4,CL53))&gt;0,"h","w")),"")</f>
      </c>
    </row>
    <row r="55" spans="2:92" ht="15.95" customHeight="1" x14ac:dyDescent="0.25">
      <c r="B55" s="165" t="str">
        <f>IF(OR(ISNUMBER(C55),ISNUMBER(U55)),_xlfn.ISOWEEKNUM(DATE(Planungsjahr,1,1)-WEEKDAY(DATE(Planungsjahr,1,1),2)+36),"")</f>
        <v/>
      </c>
      <c r="C55" s="188" t="str">
        <f>IF(MONTH(DATE(Planungsjahr,1,1)-WEEKDAY(DATE(Planungsjahr,1,1),2)+36)=1,DAY(DATE(Planungsjahr,1,1)-WEEKDAY(DATE(Planungsjahr,1,1),2)+36),"")</f>
        <v/>
      </c>
      <c r="D55" s="188"/>
      <c r="E55" s="188"/>
      <c r="F55" s="188" t="str">
        <f>IF(MONTH(DATE(Planungsjahr,1,1)-WEEKDAY(DATE(Planungsjahr,1,1),2)+37)=1,DAY(DATE(Planungsjahr,1,1)-WEEKDAY(DATE(Planungsjahr,1,1),2)+37),"")</f>
        <v/>
      </c>
      <c r="G55" s="188"/>
      <c r="H55" s="188"/>
      <c r="I55" s="188" t="str">
        <f>IF(MONTH(DATE(Planungsjahr,1,1)-WEEKDAY(DATE(Planungsjahr,1,1),2)+38)=1,DAY(DATE(Planungsjahr,1,1)-WEEKDAY(DATE(Planungsjahr,1,1),2)+38),"")</f>
        <v/>
      </c>
      <c r="J55" s="188"/>
      <c r="K55" s="188"/>
      <c r="L55" s="188" t="str">
        <f>IF(MONTH(DATE(Planungsjahr,1,1)-WEEKDAY(DATE(Planungsjahr,1,1),2)+39)=1,DAY(DATE(Planungsjahr,1,1)-WEEKDAY(DATE(Planungsjahr,1,1),2)+39),"")</f>
        <v/>
      </c>
      <c r="M55" s="188"/>
      <c r="N55" s="188"/>
      <c r="O55" s="188" t="str">
        <f>IF(MONTH(DATE(Planungsjahr,1,1)-WEEKDAY(DATE(Planungsjahr,1,1),2)+40)=1,DAY(DATE(Planungsjahr,1,1)-WEEKDAY(DATE(Planungsjahr,1,1),2)+40),"")</f>
        <v/>
      </c>
      <c r="P55" s="188"/>
      <c r="Q55" s="188"/>
      <c r="R55" s="188" t="str">
        <f>IF(MONTH(DATE(Planungsjahr,1,1)-WEEKDAY(DATE(Planungsjahr,1,1),2)+41)=1,DAY(DATE(Planungsjahr,1,1)-WEEKDAY(DATE(Planungsjahr,1,1),2)+41),"")</f>
        <v/>
      </c>
      <c r="S55" s="188"/>
      <c r="T55" s="188"/>
      <c r="U55" s="188" t="str">
        <f>IF(MONTH(DATE(Planungsjahr,1,1)-WEEKDAY(DATE(Planungsjahr,1,1),2)+42)=1,DAY(DATE(Planungsjahr,1,1)-WEEKDAY(DATE(Planungsjahr,1,1),2)+42),"")</f>
        <v/>
      </c>
      <c r="V55" s="188"/>
      <c r="W55" s="189"/>
      <c r="Y55" s="177" t="str">
        <f>IF(OR(ISNUMBER(Z55),ISNUMBER(AR55)),_xlfn.ISOWEEKNUM(DATE(Planungsjahr,2,1)-WEEKDAY(DATE(Planungsjahr,2,1),2)+36),"")</f>
        <v/>
      </c>
      <c r="Z55" s="188" t="str">
        <f>IF(MONTH(DATE(Planungsjahr,2,1)-WEEKDAY(DATE(Planungsjahr,2,1),2)+36)=2,DAY(DATE(Planungsjahr,2,1)-WEEKDAY(DATE(Planungsjahr,2,1),2)+36),"")</f>
        <v/>
      </c>
      <c r="AA55" s="188"/>
      <c r="AB55" s="188"/>
      <c r="AC55" s="188" t="str">
        <f>IF(MONTH(DATE(Planungsjahr,2,1)-WEEKDAY(DATE(Planungsjahr,2,1),2)+37)=2,DAY(DATE(Planungsjahr,2,1)-WEEKDAY(DATE(Planungsjahr,2,1),2)+37),"")</f>
        <v/>
      </c>
      <c r="AD55" s="188"/>
      <c r="AE55" s="188"/>
      <c r="AF55" s="188" t="str">
        <f>IF(MONTH(DATE(Planungsjahr,2,1)-WEEKDAY(DATE(Planungsjahr,2,1),2)+38)=2,DAY(DATE(Planungsjahr,2,1)-WEEKDAY(DATE(Planungsjahr,2,1),2)+38),"")</f>
        <v/>
      </c>
      <c r="AG55" s="188"/>
      <c r="AH55" s="188"/>
      <c r="AI55" s="188" t="str">
        <f>IF(MONTH(DATE(Planungsjahr,2,1)-WEEKDAY(DATE(Planungsjahr,2,1),2)+39)=2,DAY(DATE(Planungsjahr,2,1)-WEEKDAY(DATE(Planungsjahr,2,1),2)+39),"")</f>
        <v/>
      </c>
      <c r="AJ55" s="188"/>
      <c r="AK55" s="188"/>
      <c r="AL55" s="188" t="str">
        <f>IF(MONTH(DATE(Planungsjahr,2,1)-WEEKDAY(DATE(Planungsjahr,2,1),2)+40)=2,DAY(DATE(Planungsjahr,2,1)-WEEKDAY(DATE(Planungsjahr,2,1),2)+40),"")</f>
        <v/>
      </c>
      <c r="AM55" s="188"/>
      <c r="AN55" s="188"/>
      <c r="AO55" s="188" t="str">
        <f>IF(MONTH(DATE(Planungsjahr,2,1)-WEEKDAY(DATE(Planungsjahr,2,1),2)+41)=2,DAY(DATE(Planungsjahr,2,1)-WEEKDAY(DATE(Planungsjahr,2,1),2)+41),"")</f>
        <v/>
      </c>
      <c r="AP55" s="188"/>
      <c r="AQ55" s="188"/>
      <c r="AR55" s="188" t="str">
        <f>IF(MONTH(DATE(Planungsjahr,2,1)-WEEKDAY(DATE(Planungsjahr,2,1),2)+42)=2,DAY(DATE(Planungsjahr,2,1)-WEEKDAY(DATE(Planungsjahr,2,1),2)+42),"")</f>
        <v/>
      </c>
      <c r="AS55" s="188"/>
      <c r="AT55" s="190"/>
      <c r="AV55" s="177" t="str">
        <f>IF(OR(ISNUMBER(AW55),ISNUMBER(BO55)),_xlfn.ISOWEEKNUM(DATE(Planungsjahr,3,1)-WEEKDAY(DATE(Planungsjahr,3,1),2)+36),"")</f>
        <v/>
      </c>
      <c r="AW55" s="188" t="str">
        <f>IF(MONTH(DATE(Planungsjahr,3,1)-WEEKDAY(DATE(Planungsjahr,3,1),2)+36)=3,DAY(DATE(Planungsjahr,3,1)-WEEKDAY(DATE(Planungsjahr,3,1),2)+36),"")</f>
        <v/>
      </c>
      <c r="AX55" s="188"/>
      <c r="AY55" s="188"/>
      <c r="AZ55" s="188" t="str">
        <f>IF(MONTH(DATE(Planungsjahr,3,1)-WEEKDAY(DATE(Planungsjahr,3,1),2)+37)=3,DAY(DATE(Planungsjahr,3,1)-WEEKDAY(DATE(Planungsjahr,3,1),2)+37),"")</f>
        <v/>
      </c>
      <c r="BA55" s="188"/>
      <c r="BB55" s="188"/>
      <c r="BC55" s="188" t="str">
        <f>IF(MONTH(DATE(Planungsjahr,3,1)-WEEKDAY(DATE(Planungsjahr,3,1),2)+38)=3,DAY(DATE(Planungsjahr,3,1)-WEEKDAY(DATE(Planungsjahr,3,1),2)+38),"")</f>
        <v/>
      </c>
      <c r="BD55" s="188"/>
      <c r="BE55" s="188"/>
      <c r="BF55" s="188" t="str">
        <f>IF(MONTH(DATE(Planungsjahr,3,1)-WEEKDAY(DATE(Planungsjahr,3,1),2)+39)=3,DAY(DATE(Planungsjahr,3,1)-WEEKDAY(DATE(Planungsjahr,3,1),2)+39),"")</f>
        <v/>
      </c>
      <c r="BG55" s="188"/>
      <c r="BH55" s="188"/>
      <c r="BI55" s="188" t="str">
        <f>IF(MONTH(DATE(Planungsjahr,3,1)-WEEKDAY(DATE(Planungsjahr,3,1),2)+40)=3,DAY(DATE(Planungsjahr,3,1)-WEEKDAY(DATE(Planungsjahr,3,1),2)+40),"")</f>
        <v/>
      </c>
      <c r="BJ55" s="188"/>
      <c r="BK55" s="188"/>
      <c r="BL55" s="188" t="str">
        <f>IF(MONTH(DATE(Planungsjahr,3,1)-WEEKDAY(DATE(Planungsjahr,3,1),2)+41)=3,DAY(DATE(Planungsjahr,3,1)-WEEKDAY(DATE(Planungsjahr,3,1),2)+41),"")</f>
        <v/>
      </c>
      <c r="BM55" s="188"/>
      <c r="BN55" s="188"/>
      <c r="BO55" s="188" t="str">
        <f>IF(MONTH(DATE(Planungsjahr,3,1)-WEEKDAY(DATE(Planungsjahr,3,1),2)+42)=3,DAY(DATE(Planungsjahr,3,1)-WEEKDAY(DATE(Planungsjahr,3,1),2)+42),"")</f>
        <v/>
      </c>
      <c r="BP55" s="188"/>
      <c r="BQ55" s="190"/>
      <c r="BS55" s="177" t="str">
        <f>IF(OR(ISNUMBER(BT55),ISNUMBER(CL55)),_xlfn.ISOWEEKNUM(DATE(Planungsjahr,4,1)-WEEKDAY(DATE(Planungsjahr,4,1),2)+36),"")</f>
        <v/>
      </c>
      <c r="BT55" s="188" t="str">
        <f>IF(MONTH(DATE(Planungsjahr,4,1)-WEEKDAY(DATE(Planungsjahr,4,1),2)+36)=4,DAY(DATE(Planungsjahr,4,1)-WEEKDAY(DATE(Planungsjahr,4,1),2)+36),"")</f>
        <v/>
      </c>
      <c r="BU55" s="188"/>
      <c r="BV55" s="188"/>
      <c r="BW55" s="188" t="str">
        <f>IF(MONTH(DATE(Planungsjahr,4,1)-WEEKDAY(DATE(Planungsjahr,4,1),2)+37)=4,DAY(DATE(Planungsjahr,4,1)-WEEKDAY(DATE(Planungsjahr,4,1),2)+37),"")</f>
        <v/>
      </c>
      <c r="BX55" s="188"/>
      <c r="BY55" s="188"/>
      <c r="BZ55" s="188" t="str">
        <f>IF(MONTH(DATE(Planungsjahr,4,1)-WEEKDAY(DATE(Planungsjahr,4,1),2)+38)=4,DAY(DATE(Planungsjahr,4,1)-WEEKDAY(DATE(Planungsjahr,4,1),2)+38),"")</f>
        <v/>
      </c>
      <c r="CA55" s="188"/>
      <c r="CB55" s="188"/>
      <c r="CC55" s="188" t="str">
        <f>IF(MONTH(DATE(Planungsjahr,4,1)-WEEKDAY(DATE(Planungsjahr,4,1),2)+39)=4,DAY(DATE(Planungsjahr,4,1)-WEEKDAY(DATE(Planungsjahr,4,1),2)+39),"")</f>
        <v/>
      </c>
      <c r="CD55" s="188"/>
      <c r="CE55" s="188"/>
      <c r="CF55" s="188" t="str">
        <f>IF(MONTH(DATE(Planungsjahr,4,1)-WEEKDAY(DATE(Planungsjahr,4,1),2)+40)=4,DAY(DATE(Planungsjahr,4,1)-WEEKDAY(DATE(Planungsjahr,4,1),2)+40),"")</f>
        <v/>
      </c>
      <c r="CG55" s="188"/>
      <c r="CH55" s="188"/>
      <c r="CI55" s="188" t="str">
        <f>IF(MONTH(DATE(Planungsjahr,4,1)-WEEKDAY(DATE(Planungsjahr,4,1),2)+41)=4,DAY(DATE(Planungsjahr,4,1)-WEEKDAY(DATE(Planungsjahr,4,1),2)+41),"")</f>
        <v/>
      </c>
      <c r="CJ55" s="188"/>
      <c r="CK55" s="188"/>
      <c r="CL55" s="188" t="str">
        <f>IF(MONTH(DATE(Planungsjahr,4,1)-WEEKDAY(DATE(Planungsjahr,4,1),2)+42)=4,DAY(DATE(Planungsjahr,4,1)-WEEKDAY(DATE(Planungsjahr,4,1),2)+42),"")</f>
        <v/>
      </c>
      <c r="CM55" s="188"/>
      <c r="CN55" s="190"/>
    </row>
    <row r="56" spans="2:92" ht="10.5" customHeight="1" x14ac:dyDescent="0.25">
      <c r="B56" s="169"/>
      <c r="C56" s="223">
        <f>IF(ISNUMBER(C55),IFERROR(11-1/(1/SUMPRODUCT(MAX((JP_StartSel=DATE(Planungsjahr,1,C55))*Anzeige_S*((JP_Anzeige=TRUE)+NOT(Filter_Aktiv)&gt;0)*(11-JP_Farbe)))),IF(COUNTIF(Feiertage,DATE(Planungsjahr,1,C55))&gt;0,"h",IF(COUNTIFS(U_Von,"&lt;="&amp;DATE(Planungsjahr,1,C55),U_Bis,"&gt;="&amp;DATE(Planungsjahr,1,C55))&gt;0,"u",""))),"")</f>
      </c>
      <c r="D56" s="224">
        <f>IF(ISNUMBER(C55),IFERROR(21-1/(1/SUMPRODUCT(MAX((JP_StartInhalt=DATE(Planungsjahr,1,C55))*Anzeige_I*((JP_Anzeige=TRUE)+NOT(Filter_Aktiv)&gt;0)*(11-JP_Farbe)))),IF(COUNTIF(Feiertage,DATE(Planungsjahr,1,C55))&gt;0,"h",IF(COUNTIFS(U_Von,"&lt;="&amp;DATE(Planungsjahr,1,C55),U_Bis,"&gt;="&amp;DATE(Planungsjahr,1,C55))&gt;0,"u",""))),"")</f>
      </c>
      <c r="E56" s="225">
        <f>IF(ISNUMBER(C55),IFERROR(31-1/(1/SUMPRODUCT(MAX((JP_PAL=DATE(Planungsjahr,1,C55))*Anzeige_P*((JP_Anzeige=TRUE)+NOT(Filter_Aktiv)&gt;0)*(11-JP_Farbe)))),IF(COUNTIF(Feiertage,DATE(Planungsjahr,1,C55))&gt;0,"h",IF(COUNTIFS(U_Von,"&lt;="&amp;DATE(Planungsjahr,1,C55),U_Bis,"&gt;="&amp;DATE(Planungsjahr,1,C55))&gt;0,"u",""))),"")</f>
      </c>
      <c r="F56" s="223">
        <f>IF(ISNUMBER(F55),IFERROR(11-1/(1/SUMPRODUCT(MAX((JP_StartSel=DATE(Planungsjahr,1,F55))*Anzeige_S*((JP_Anzeige=TRUE)+NOT(Filter_Aktiv)&gt;0)*(11-JP_Farbe)))),IF(COUNTIF(Feiertage,DATE(Planungsjahr,1,F55))&gt;0,"h",IF(COUNTIFS(U_Von,"&lt;="&amp;DATE(Planungsjahr,1,F55),U_Bis,"&gt;="&amp;DATE(Planungsjahr,1,F55))&gt;0,"u",""))),"")</f>
      </c>
      <c r="G56" s="224">
        <f>IF(ISNUMBER(F55),IFERROR(21-1/(1/SUMPRODUCT(MAX((JP_StartInhalt=DATE(Planungsjahr,1,F55))*Anzeige_I*((JP_Anzeige=TRUE)+NOT(Filter_Aktiv)&gt;0)*(11-JP_Farbe)))),IF(COUNTIF(Feiertage,DATE(Planungsjahr,1,F55))&gt;0,"h",IF(COUNTIFS(U_Von,"&lt;="&amp;DATE(Planungsjahr,1,F55),U_Bis,"&gt;="&amp;DATE(Planungsjahr,1,F55))&gt;0,"u",""))),"")</f>
      </c>
      <c r="H56" s="225">
        <f>IF(ISNUMBER(F55),IFERROR(31-1/(1/SUMPRODUCT(MAX((JP_PAL=DATE(Planungsjahr,1,F55))*Anzeige_P*((JP_Anzeige=TRUE)+NOT(Filter_Aktiv)&gt;0)*(11-JP_Farbe)))),IF(COUNTIF(Feiertage,DATE(Planungsjahr,1,F55))&gt;0,"h",IF(COUNTIFS(U_Von,"&lt;="&amp;DATE(Planungsjahr,1,F55),U_Bis,"&gt;="&amp;DATE(Planungsjahr,1,F55))&gt;0,"u",""))),"")</f>
      </c>
      <c r="I56" s="223">
        <f>IF(ISNUMBER(I55),IFERROR(11-1/(1/SUMPRODUCT(MAX((JP_StartSel=DATE(Planungsjahr,1,I55))*Anzeige_S*((JP_Anzeige=TRUE)+NOT(Filter_Aktiv)&gt;0)*(11-JP_Farbe)))),IF(COUNTIF(Feiertage,DATE(Planungsjahr,1,I55))&gt;0,"h",IF(COUNTIFS(U_Von,"&lt;="&amp;DATE(Planungsjahr,1,I55),U_Bis,"&gt;="&amp;DATE(Planungsjahr,1,I55))&gt;0,"u",""))),"")</f>
      </c>
      <c r="J56" s="224">
        <f>IF(ISNUMBER(I55),IFERROR(21-1/(1/SUMPRODUCT(MAX((JP_StartInhalt=DATE(Planungsjahr,1,I55))*Anzeige_I*((JP_Anzeige=TRUE)+NOT(Filter_Aktiv)&gt;0)*(11-JP_Farbe)))),IF(COUNTIF(Feiertage,DATE(Planungsjahr,1,I55))&gt;0,"h",IF(COUNTIFS(U_Von,"&lt;="&amp;DATE(Planungsjahr,1,I55),U_Bis,"&gt;="&amp;DATE(Planungsjahr,1,I55))&gt;0,"u",""))),"")</f>
      </c>
      <c r="K56" s="225">
        <f>IF(ISNUMBER(I55),IFERROR(31-1/(1/SUMPRODUCT(MAX((JP_PAL=DATE(Planungsjahr,1,I55))*Anzeige_P*((JP_Anzeige=TRUE)+NOT(Filter_Aktiv)&gt;0)*(11-JP_Farbe)))),IF(COUNTIF(Feiertage,DATE(Planungsjahr,1,I55))&gt;0,"h",IF(COUNTIFS(U_Von,"&lt;="&amp;DATE(Planungsjahr,1,I55),U_Bis,"&gt;="&amp;DATE(Planungsjahr,1,I55))&gt;0,"u",""))),"")</f>
      </c>
      <c r="L56" s="223">
        <f>IF(ISNUMBER(L55),IFERROR(11-1/(1/SUMPRODUCT(MAX((JP_StartSel=DATE(Planungsjahr,1,L55))*Anzeige_S*((JP_Anzeige=TRUE)+NOT(Filter_Aktiv)&gt;0)*(11-JP_Farbe)))),IF(COUNTIF(Feiertage,DATE(Planungsjahr,1,L55))&gt;0,"h",IF(COUNTIFS(U_Von,"&lt;="&amp;DATE(Planungsjahr,1,L55),U_Bis,"&gt;="&amp;DATE(Planungsjahr,1,L55))&gt;0,"u",""))),"")</f>
      </c>
      <c r="M56" s="224">
        <f>IF(ISNUMBER(L55),IFERROR(21-1/(1/SUMPRODUCT(MAX((JP_StartInhalt=DATE(Planungsjahr,1,L55))*Anzeige_I*((JP_Anzeige=TRUE)+NOT(Filter_Aktiv)&gt;0)*(11-JP_Farbe)))),IF(COUNTIF(Feiertage,DATE(Planungsjahr,1,L55))&gt;0,"h",IF(COUNTIFS(U_Von,"&lt;="&amp;DATE(Planungsjahr,1,L55),U_Bis,"&gt;="&amp;DATE(Planungsjahr,1,L55))&gt;0,"u",""))),"")</f>
      </c>
      <c r="N56" s="225">
        <f>IF(ISNUMBER(L55),IFERROR(31-1/(1/SUMPRODUCT(MAX((JP_PAL=DATE(Planungsjahr,1,L55))*Anzeige_P*((JP_Anzeige=TRUE)+NOT(Filter_Aktiv)&gt;0)*(11-JP_Farbe)))),IF(COUNTIF(Feiertage,DATE(Planungsjahr,1,L55))&gt;0,"h",IF(COUNTIFS(U_Von,"&lt;="&amp;DATE(Planungsjahr,1,L55),U_Bis,"&gt;="&amp;DATE(Planungsjahr,1,L55))&gt;0,"u",""))),"")</f>
      </c>
      <c r="O56" s="223">
        <f>IF(ISNUMBER(O55),IFERROR(11-1/(1/SUMPRODUCT(MAX((JP_StartSel=DATE(Planungsjahr,1,O55))*Anzeige_S*((JP_Anzeige=TRUE)+NOT(Filter_Aktiv)&gt;0)*(11-JP_Farbe)))),IF(COUNTIF(Feiertage,DATE(Planungsjahr,1,O55))&gt;0,"h",IF(COUNTIFS(U_Von,"&lt;="&amp;DATE(Planungsjahr,1,O55),U_Bis,"&gt;="&amp;DATE(Planungsjahr,1,O55))&gt;0,"u",""))),"")</f>
      </c>
      <c r="P56" s="224">
        <f>IF(ISNUMBER(O55),IFERROR(21-1/(1/SUMPRODUCT(MAX((JP_StartInhalt=DATE(Planungsjahr,1,O55))*Anzeige_I*((JP_Anzeige=TRUE)+NOT(Filter_Aktiv)&gt;0)*(11-JP_Farbe)))),IF(COUNTIF(Feiertage,DATE(Planungsjahr,1,O55))&gt;0,"h",IF(COUNTIFS(U_Von,"&lt;="&amp;DATE(Planungsjahr,1,O55),U_Bis,"&gt;="&amp;DATE(Planungsjahr,1,O55))&gt;0,"u",""))),"")</f>
      </c>
      <c r="Q56" s="225">
        <f>IF(ISNUMBER(O55),IFERROR(31-1/(1/SUMPRODUCT(MAX((JP_PAL=DATE(Planungsjahr,1,O55))*Anzeige_P*((JP_Anzeige=TRUE)+NOT(Filter_Aktiv)&gt;0)*(11-JP_Farbe)))),IF(COUNTIF(Feiertage,DATE(Planungsjahr,1,O55))&gt;0,"h",IF(COUNTIFS(U_Von,"&lt;="&amp;DATE(Planungsjahr,1,O55),U_Bis,"&gt;="&amp;DATE(Planungsjahr,1,O55))&gt;0,"u",""))),"")</f>
      </c>
      <c r="R56" s="223">
        <f>IF(ISNUMBER(R55),IFERROR(11-1/(1/SUMPRODUCT(MAX((JP_StartSel=DATE(Planungsjahr,1,R55))*Anzeige_S*((JP_Anzeige=TRUE)+NOT(Filter_Aktiv)&gt;0)*(11-JP_Farbe)))),IF(COUNTIF(Feiertage,DATE(Planungsjahr,1,R55))&gt;0,"h","w")),"")</f>
      </c>
      <c r="S56" s="224">
        <f>IF(ISNUMBER(R55),IFERROR(21-1/(1/SUMPRODUCT(MAX((JP_StartInhalt=DATE(Planungsjahr,1,R55))*Anzeige_I*((JP_Anzeige=TRUE)+NOT(Filter_Aktiv)&gt;0)*(11-JP_Farbe)))),IF(COUNTIF(Feiertage,DATE(Planungsjahr,1,R55))&gt;0,"h","w")),"")</f>
      </c>
      <c r="T56" s="225">
        <f>IF(ISNUMBER(R55),IFERROR(31-1/(1/SUMPRODUCT(MAX((JP_PAL=DATE(Planungsjahr,1,R55))*Anzeige_P*((JP_Anzeige=TRUE)+NOT(Filter_Aktiv)&gt;0)*(11-JP_Farbe)))),IF(COUNTIF(Feiertage,DATE(Planungsjahr,1,R55))&gt;0,"h","w")),"")</f>
      </c>
      <c r="U56" s="223">
        <f>IF(ISNUMBER(U55),IFERROR(11-1/(1/SUMPRODUCT(MAX((JP_StartSel=DATE(Planungsjahr,1,U55))*Anzeige_S*((JP_Anzeige=TRUE)+NOT(Filter_Aktiv)&gt;0)*(11-JP_Farbe)))),IF(COUNTIF(Feiertage,DATE(Planungsjahr,1,U55))&gt;0,"h","w")),"")</f>
      </c>
      <c r="V56" s="224">
        <f>IF(ISNUMBER(U55),IFERROR(21-1/(1/SUMPRODUCT(MAX((JP_StartInhalt=DATE(Planungsjahr,1,U55))*Anzeige_I*((JP_Anzeige=TRUE)+NOT(Filter_Aktiv)&gt;0)*(11-JP_Farbe)))),IF(COUNTIF(Feiertage,DATE(Planungsjahr,1,U55))&gt;0,"h","w")),"")</f>
      </c>
      <c r="W56" s="225">
        <f>IF(ISNUMBER(U55),IFERROR(31-1/(1/SUMPRODUCT(MAX((JP_PAL=DATE(Planungsjahr,1,U55))*Anzeige_P*((JP_Anzeige=TRUE)+NOT(Filter_Aktiv)&gt;0)*(11-JP_Farbe)))),IF(COUNTIF(Feiertage,DATE(Planungsjahr,1,U55))&gt;0,"h","w")),"")</f>
      </c>
      <c r="Y56" s="181"/>
      <c r="Z56" s="223">
        <f>IF(ISNUMBER(Z55),IFERROR(11-1/(1/SUMPRODUCT(MAX((JP_StartSel=DATE(Planungsjahr,2,Z55))*Anzeige_S*((JP_Anzeige=TRUE)+NOT(Filter_Aktiv)&gt;0)*(11-JP_Farbe)))),IF(COUNTIF(Feiertage,DATE(Planungsjahr,2,Z55))&gt;0,"h",IF(COUNTIFS(U_Von,"&lt;="&amp;DATE(Planungsjahr,2,Z55),U_Bis,"&gt;="&amp;DATE(Planungsjahr,2,Z55))&gt;0,"u",""))),"")</f>
      </c>
      <c r="AA56" s="224">
        <f>IF(ISNUMBER(Z55),IFERROR(21-1/(1/SUMPRODUCT(MAX((JP_StartInhalt=DATE(Planungsjahr,2,Z55))*Anzeige_I*((JP_Anzeige=TRUE)+NOT(Filter_Aktiv)&gt;0)*(11-JP_Farbe)))),IF(COUNTIF(Feiertage,DATE(Planungsjahr,2,Z55))&gt;0,"h",IF(COUNTIFS(U_Von,"&lt;="&amp;DATE(Planungsjahr,2,Z55),U_Bis,"&gt;="&amp;DATE(Planungsjahr,2,Z55))&gt;0,"u",""))),"")</f>
      </c>
      <c r="AB56" s="225">
        <f>IF(ISNUMBER(Z55),IFERROR(31-1/(1/SUMPRODUCT(MAX((JP_PAL=DATE(Planungsjahr,2,Z55))*Anzeige_P*((JP_Anzeige=TRUE)+NOT(Filter_Aktiv)&gt;0)*(11-JP_Farbe)))),IF(COUNTIF(Feiertage,DATE(Planungsjahr,2,Z55))&gt;0,"h",IF(COUNTIFS(U_Von,"&lt;="&amp;DATE(Planungsjahr,2,Z55),U_Bis,"&gt;="&amp;DATE(Planungsjahr,2,Z55))&gt;0,"u",""))),"")</f>
      </c>
      <c r="AC56" s="223">
        <f>IF(ISNUMBER(AC55),IFERROR(11-1/(1/SUMPRODUCT(MAX((JP_StartSel=DATE(Planungsjahr,2,AC55))*Anzeige_S*((JP_Anzeige=TRUE)+NOT(Filter_Aktiv)&gt;0)*(11-JP_Farbe)))),IF(COUNTIF(Feiertage,DATE(Planungsjahr,2,AC55))&gt;0,"h",IF(COUNTIFS(U_Von,"&lt;="&amp;DATE(Planungsjahr,2,AC55),U_Bis,"&gt;="&amp;DATE(Planungsjahr,2,AC55))&gt;0,"u",""))),"")</f>
      </c>
      <c r="AD56" s="224">
        <f>IF(ISNUMBER(AC55),IFERROR(21-1/(1/SUMPRODUCT(MAX((JP_StartInhalt=DATE(Planungsjahr,2,AC55))*Anzeige_I*((JP_Anzeige=TRUE)+NOT(Filter_Aktiv)&gt;0)*(11-JP_Farbe)))),IF(COUNTIF(Feiertage,DATE(Planungsjahr,2,AC55))&gt;0,"h",IF(COUNTIFS(U_Von,"&lt;="&amp;DATE(Planungsjahr,2,AC55),U_Bis,"&gt;="&amp;DATE(Planungsjahr,2,AC55))&gt;0,"u",""))),"")</f>
      </c>
      <c r="AE56" s="225">
        <f>IF(ISNUMBER(AC55),IFERROR(31-1/(1/SUMPRODUCT(MAX((JP_PAL=DATE(Planungsjahr,2,AC55))*Anzeige_P*((JP_Anzeige=TRUE)+NOT(Filter_Aktiv)&gt;0)*(11-JP_Farbe)))),IF(COUNTIF(Feiertage,DATE(Planungsjahr,2,AC55))&gt;0,"h",IF(COUNTIFS(U_Von,"&lt;="&amp;DATE(Planungsjahr,2,AC55),U_Bis,"&gt;="&amp;DATE(Planungsjahr,2,AC55))&gt;0,"u",""))),"")</f>
      </c>
      <c r="AF56" s="223">
        <f>IF(ISNUMBER(AF55),IFERROR(11-1/(1/SUMPRODUCT(MAX((JP_StartSel=DATE(Planungsjahr,2,AF55))*Anzeige_S*((JP_Anzeige=TRUE)+NOT(Filter_Aktiv)&gt;0)*(11-JP_Farbe)))),IF(COUNTIF(Feiertage,DATE(Planungsjahr,2,AF55))&gt;0,"h",IF(COUNTIFS(U_Von,"&lt;="&amp;DATE(Planungsjahr,2,AF55),U_Bis,"&gt;="&amp;DATE(Planungsjahr,2,AF55))&gt;0,"u",""))),"")</f>
      </c>
      <c r="AG56" s="224">
        <f>IF(ISNUMBER(AF55),IFERROR(21-1/(1/SUMPRODUCT(MAX((JP_StartInhalt=DATE(Planungsjahr,2,AF55))*Anzeige_I*((JP_Anzeige=TRUE)+NOT(Filter_Aktiv)&gt;0)*(11-JP_Farbe)))),IF(COUNTIF(Feiertage,DATE(Planungsjahr,2,AF55))&gt;0,"h",IF(COUNTIFS(U_Von,"&lt;="&amp;DATE(Planungsjahr,2,AF55),U_Bis,"&gt;="&amp;DATE(Planungsjahr,2,AF55))&gt;0,"u",""))),"")</f>
      </c>
      <c r="AH56" s="225">
        <f>IF(ISNUMBER(AF55),IFERROR(31-1/(1/SUMPRODUCT(MAX((JP_PAL=DATE(Planungsjahr,2,AF55))*Anzeige_P*((JP_Anzeige=TRUE)+NOT(Filter_Aktiv)&gt;0)*(11-JP_Farbe)))),IF(COUNTIF(Feiertage,DATE(Planungsjahr,2,AF55))&gt;0,"h",IF(COUNTIFS(U_Von,"&lt;="&amp;DATE(Planungsjahr,2,AF55),U_Bis,"&gt;="&amp;DATE(Planungsjahr,2,AF55))&gt;0,"u",""))),"")</f>
      </c>
      <c r="AI56" s="223">
        <f>IF(ISNUMBER(AI55),IFERROR(11-1/(1/SUMPRODUCT(MAX((JP_StartSel=DATE(Planungsjahr,2,AI55))*Anzeige_S*((JP_Anzeige=TRUE)+NOT(Filter_Aktiv)&gt;0)*(11-JP_Farbe)))),IF(COUNTIF(Feiertage,DATE(Planungsjahr,2,AI55))&gt;0,"h",IF(COUNTIFS(U_Von,"&lt;="&amp;DATE(Planungsjahr,2,AI55),U_Bis,"&gt;="&amp;DATE(Planungsjahr,2,AI55))&gt;0,"u",""))),"")</f>
      </c>
      <c r="AJ56" s="224">
        <f>IF(ISNUMBER(AI55),IFERROR(21-1/(1/SUMPRODUCT(MAX((JP_StartInhalt=DATE(Planungsjahr,2,AI55))*Anzeige_I*((JP_Anzeige=TRUE)+NOT(Filter_Aktiv)&gt;0)*(11-JP_Farbe)))),IF(COUNTIF(Feiertage,DATE(Planungsjahr,2,AI55))&gt;0,"h",IF(COUNTIFS(U_Von,"&lt;="&amp;DATE(Planungsjahr,2,AI55),U_Bis,"&gt;="&amp;DATE(Planungsjahr,2,AI55))&gt;0,"u",""))),"")</f>
      </c>
      <c r="AK56" s="225">
        <f>IF(ISNUMBER(AI55),IFERROR(31-1/(1/SUMPRODUCT(MAX((JP_PAL=DATE(Planungsjahr,2,AI55))*Anzeige_P*((JP_Anzeige=TRUE)+NOT(Filter_Aktiv)&gt;0)*(11-JP_Farbe)))),IF(COUNTIF(Feiertage,DATE(Planungsjahr,2,AI55))&gt;0,"h",IF(COUNTIFS(U_Von,"&lt;="&amp;DATE(Planungsjahr,2,AI55),U_Bis,"&gt;="&amp;DATE(Planungsjahr,2,AI55))&gt;0,"u",""))),"")</f>
      </c>
      <c r="AL56" s="223">
        <f>IF(ISNUMBER(AL55),IFERROR(11-1/(1/SUMPRODUCT(MAX((JP_StartSel=DATE(Planungsjahr,2,AL55))*Anzeige_S*((JP_Anzeige=TRUE)+NOT(Filter_Aktiv)&gt;0)*(11-JP_Farbe)))),IF(COUNTIF(Feiertage,DATE(Planungsjahr,2,AL55))&gt;0,"h",IF(COUNTIFS(U_Von,"&lt;="&amp;DATE(Planungsjahr,2,AL55),U_Bis,"&gt;="&amp;DATE(Planungsjahr,2,AL55))&gt;0,"u",""))),"")</f>
      </c>
      <c r="AM56" s="224">
        <f>IF(ISNUMBER(AL55),IFERROR(21-1/(1/SUMPRODUCT(MAX((JP_StartInhalt=DATE(Planungsjahr,2,AL55))*Anzeige_I*((JP_Anzeige=TRUE)+NOT(Filter_Aktiv)&gt;0)*(11-JP_Farbe)))),IF(COUNTIF(Feiertage,DATE(Planungsjahr,2,AL55))&gt;0,"h",IF(COUNTIFS(U_Von,"&lt;="&amp;DATE(Planungsjahr,2,AL55),U_Bis,"&gt;="&amp;DATE(Planungsjahr,2,AL55))&gt;0,"u",""))),"")</f>
      </c>
      <c r="AN56" s="225">
        <f>IF(ISNUMBER(AL55),IFERROR(31-1/(1/SUMPRODUCT(MAX((JP_PAL=DATE(Planungsjahr,2,AL55))*Anzeige_P*((JP_Anzeige=TRUE)+NOT(Filter_Aktiv)&gt;0)*(11-JP_Farbe)))),IF(COUNTIF(Feiertage,DATE(Planungsjahr,2,AL55))&gt;0,"h",IF(COUNTIFS(U_Von,"&lt;="&amp;DATE(Planungsjahr,2,AL55),U_Bis,"&gt;="&amp;DATE(Planungsjahr,2,AL55))&gt;0,"u",""))),"")</f>
      </c>
      <c r="AO56" s="223">
        <f>IF(ISNUMBER(AO55),IFERROR(11-1/(1/SUMPRODUCT(MAX((JP_StartSel=DATE(Planungsjahr,2,AO55))*Anzeige_S*((JP_Anzeige=TRUE)+NOT(Filter_Aktiv)&gt;0)*(11-JP_Farbe)))),IF(COUNTIF(Feiertage,DATE(Planungsjahr,2,AO55))&gt;0,"h","w")),"")</f>
      </c>
      <c r="AP56" s="224">
        <f>IF(ISNUMBER(AO55),IFERROR(21-1/(1/SUMPRODUCT(MAX((JP_StartInhalt=DATE(Planungsjahr,2,AO55))*Anzeige_I*((JP_Anzeige=TRUE)+NOT(Filter_Aktiv)&gt;0)*(11-JP_Farbe)))),IF(COUNTIF(Feiertage,DATE(Planungsjahr,2,AO55))&gt;0,"h","w")),"")</f>
      </c>
      <c r="AQ56" s="225">
        <f>IF(ISNUMBER(AO55),IFERROR(31-1/(1/SUMPRODUCT(MAX((JP_PAL=DATE(Planungsjahr,2,AO55))*Anzeige_P*((JP_Anzeige=TRUE)+NOT(Filter_Aktiv)&gt;0)*(11-JP_Farbe)))),IF(COUNTIF(Feiertage,DATE(Planungsjahr,2,AO55))&gt;0,"h","w")),"")</f>
      </c>
      <c r="AR56" s="223">
        <f>IF(ISNUMBER(AR55),IFERROR(11-1/(1/SUMPRODUCT(MAX((JP_StartSel=DATE(Planungsjahr,2,AR55))*Anzeige_S*((JP_Anzeige=TRUE)+NOT(Filter_Aktiv)&gt;0)*(11-JP_Farbe)))),IF(COUNTIF(Feiertage,DATE(Planungsjahr,2,AR55))&gt;0,"h","w")),"")</f>
      </c>
      <c r="AS56" s="224">
        <f>IF(ISNUMBER(AR55),IFERROR(21-1/(1/SUMPRODUCT(MAX((JP_StartInhalt=DATE(Planungsjahr,2,AR55))*Anzeige_I*((JP_Anzeige=TRUE)+NOT(Filter_Aktiv)&gt;0)*(11-JP_Farbe)))),IF(COUNTIF(Feiertage,DATE(Planungsjahr,2,AR55))&gt;0,"h","w")),"")</f>
      </c>
      <c r="AT56" s="225">
        <f>IF(ISNUMBER(AR55),IFERROR(31-1/(1/SUMPRODUCT(MAX((JP_PAL=DATE(Planungsjahr,2,AR55))*Anzeige_P*((JP_Anzeige=TRUE)+NOT(Filter_Aktiv)&gt;0)*(11-JP_Farbe)))),IF(COUNTIF(Feiertage,DATE(Planungsjahr,2,AR55))&gt;0,"h","w")),"")</f>
      </c>
      <c r="AV56" s="181"/>
      <c r="AW56" s="223">
        <f>IF(ISNUMBER(AW55),IFERROR(11-1/(1/SUMPRODUCT(MAX((JP_StartSel=DATE(Planungsjahr,3,AW55))*Anzeige_S*((JP_Anzeige=TRUE)+NOT(Filter_Aktiv)&gt;0)*(11-JP_Farbe)))),IF(COUNTIF(Feiertage,DATE(Planungsjahr,3,AW55))&gt;0,"h",IF(COUNTIFS(U_Von,"&lt;="&amp;DATE(Planungsjahr,3,AW55),U_Bis,"&gt;="&amp;DATE(Planungsjahr,3,AW55))&gt;0,"u",""))),"")</f>
      </c>
      <c r="AX56" s="224">
        <f>IF(ISNUMBER(AW55),IFERROR(21-1/(1/SUMPRODUCT(MAX((JP_StartInhalt=DATE(Planungsjahr,3,AW55))*Anzeige_I*((JP_Anzeige=TRUE)+NOT(Filter_Aktiv)&gt;0)*(11-JP_Farbe)))),IF(COUNTIF(Feiertage,DATE(Planungsjahr,3,AW55))&gt;0,"h",IF(COUNTIFS(U_Von,"&lt;="&amp;DATE(Planungsjahr,3,AW55),U_Bis,"&gt;="&amp;DATE(Planungsjahr,3,AW55))&gt;0,"u",""))),"")</f>
      </c>
      <c r="AY56" s="225">
        <f>IF(ISNUMBER(AW55),IFERROR(31-1/(1/SUMPRODUCT(MAX((JP_PAL=DATE(Planungsjahr,3,AW55))*Anzeige_P*((JP_Anzeige=TRUE)+NOT(Filter_Aktiv)&gt;0)*(11-JP_Farbe)))),IF(COUNTIF(Feiertage,DATE(Planungsjahr,3,AW55))&gt;0,"h",IF(COUNTIFS(U_Von,"&lt;="&amp;DATE(Planungsjahr,3,AW55),U_Bis,"&gt;="&amp;DATE(Planungsjahr,3,AW55))&gt;0,"u",""))),"")</f>
      </c>
      <c r="AZ56" s="223">
        <f>IF(ISNUMBER(AZ55),IFERROR(11-1/(1/SUMPRODUCT(MAX((JP_StartSel=DATE(Planungsjahr,3,AZ55))*Anzeige_S*((JP_Anzeige=TRUE)+NOT(Filter_Aktiv)&gt;0)*(11-JP_Farbe)))),IF(COUNTIF(Feiertage,DATE(Planungsjahr,3,AZ55))&gt;0,"h",IF(COUNTIFS(U_Von,"&lt;="&amp;DATE(Planungsjahr,3,AZ55),U_Bis,"&gt;="&amp;DATE(Planungsjahr,3,AZ55))&gt;0,"u",""))),"")</f>
      </c>
      <c r="BA56" s="224">
        <f>IF(ISNUMBER(AZ55),IFERROR(21-1/(1/SUMPRODUCT(MAX((JP_StartInhalt=DATE(Planungsjahr,3,AZ55))*Anzeige_I*((JP_Anzeige=TRUE)+NOT(Filter_Aktiv)&gt;0)*(11-JP_Farbe)))),IF(COUNTIF(Feiertage,DATE(Planungsjahr,3,AZ55))&gt;0,"h",IF(COUNTIFS(U_Von,"&lt;="&amp;DATE(Planungsjahr,3,AZ55),U_Bis,"&gt;="&amp;DATE(Planungsjahr,3,AZ55))&gt;0,"u",""))),"")</f>
      </c>
      <c r="BB56" s="225">
        <f>IF(ISNUMBER(AZ55),IFERROR(31-1/(1/SUMPRODUCT(MAX((JP_PAL=DATE(Planungsjahr,3,AZ55))*Anzeige_P*((JP_Anzeige=TRUE)+NOT(Filter_Aktiv)&gt;0)*(11-JP_Farbe)))),IF(COUNTIF(Feiertage,DATE(Planungsjahr,3,AZ55))&gt;0,"h",IF(COUNTIFS(U_Von,"&lt;="&amp;DATE(Planungsjahr,3,AZ55),U_Bis,"&gt;="&amp;DATE(Planungsjahr,3,AZ55))&gt;0,"u",""))),"")</f>
      </c>
      <c r="BC56" s="223">
        <f>IF(ISNUMBER(BC55),IFERROR(11-1/(1/SUMPRODUCT(MAX((JP_StartSel=DATE(Planungsjahr,3,BC55))*Anzeige_S*((JP_Anzeige=TRUE)+NOT(Filter_Aktiv)&gt;0)*(11-JP_Farbe)))),IF(COUNTIF(Feiertage,DATE(Planungsjahr,3,BC55))&gt;0,"h",IF(COUNTIFS(U_Von,"&lt;="&amp;DATE(Planungsjahr,3,BC55),U_Bis,"&gt;="&amp;DATE(Planungsjahr,3,BC55))&gt;0,"u",""))),"")</f>
      </c>
      <c r="BD56" s="224">
        <f>IF(ISNUMBER(BC55),IFERROR(21-1/(1/SUMPRODUCT(MAX((JP_StartInhalt=DATE(Planungsjahr,3,BC55))*Anzeige_I*((JP_Anzeige=TRUE)+NOT(Filter_Aktiv)&gt;0)*(11-JP_Farbe)))),IF(COUNTIF(Feiertage,DATE(Planungsjahr,3,BC55))&gt;0,"h",IF(COUNTIFS(U_Von,"&lt;="&amp;DATE(Planungsjahr,3,BC55),U_Bis,"&gt;="&amp;DATE(Planungsjahr,3,BC55))&gt;0,"u",""))),"")</f>
      </c>
      <c r="BE56" s="225">
        <f>IF(ISNUMBER(BC55),IFERROR(31-1/(1/SUMPRODUCT(MAX((JP_PAL=DATE(Planungsjahr,3,BC55))*Anzeige_P*((JP_Anzeige=TRUE)+NOT(Filter_Aktiv)&gt;0)*(11-JP_Farbe)))),IF(COUNTIF(Feiertage,DATE(Planungsjahr,3,BC55))&gt;0,"h",IF(COUNTIFS(U_Von,"&lt;="&amp;DATE(Planungsjahr,3,BC55),U_Bis,"&gt;="&amp;DATE(Planungsjahr,3,BC55))&gt;0,"u",""))),"")</f>
      </c>
      <c r="BF56" s="223">
        <f>IF(ISNUMBER(BF55),IFERROR(11-1/(1/SUMPRODUCT(MAX((JP_StartSel=DATE(Planungsjahr,3,BF55))*Anzeige_S*((JP_Anzeige=TRUE)+NOT(Filter_Aktiv)&gt;0)*(11-JP_Farbe)))),IF(COUNTIF(Feiertage,DATE(Planungsjahr,3,BF55))&gt;0,"h",IF(COUNTIFS(U_Von,"&lt;="&amp;DATE(Planungsjahr,3,BF55),U_Bis,"&gt;="&amp;DATE(Planungsjahr,3,BF55))&gt;0,"u",""))),"")</f>
      </c>
      <c r="BG56" s="224">
        <f>IF(ISNUMBER(BF55),IFERROR(21-1/(1/SUMPRODUCT(MAX((JP_StartInhalt=DATE(Planungsjahr,3,BF55))*Anzeige_I*((JP_Anzeige=TRUE)+NOT(Filter_Aktiv)&gt;0)*(11-JP_Farbe)))),IF(COUNTIF(Feiertage,DATE(Planungsjahr,3,BF55))&gt;0,"h",IF(COUNTIFS(U_Von,"&lt;="&amp;DATE(Planungsjahr,3,BF55),U_Bis,"&gt;="&amp;DATE(Planungsjahr,3,BF55))&gt;0,"u",""))),"")</f>
      </c>
      <c r="BH56" s="225">
        <f>IF(ISNUMBER(BF55),IFERROR(31-1/(1/SUMPRODUCT(MAX((JP_PAL=DATE(Planungsjahr,3,BF55))*Anzeige_P*((JP_Anzeige=TRUE)+NOT(Filter_Aktiv)&gt;0)*(11-JP_Farbe)))),IF(COUNTIF(Feiertage,DATE(Planungsjahr,3,BF55))&gt;0,"h",IF(COUNTIFS(U_Von,"&lt;="&amp;DATE(Planungsjahr,3,BF55),U_Bis,"&gt;="&amp;DATE(Planungsjahr,3,BF55))&gt;0,"u",""))),"")</f>
      </c>
      <c r="BI56" s="223">
        <f>IF(ISNUMBER(BI55),IFERROR(11-1/(1/SUMPRODUCT(MAX((JP_StartSel=DATE(Planungsjahr,3,BI55))*Anzeige_S*((JP_Anzeige=TRUE)+NOT(Filter_Aktiv)&gt;0)*(11-JP_Farbe)))),IF(COUNTIF(Feiertage,DATE(Planungsjahr,3,BI55))&gt;0,"h",IF(COUNTIFS(U_Von,"&lt;="&amp;DATE(Planungsjahr,3,BI55),U_Bis,"&gt;="&amp;DATE(Planungsjahr,3,BI55))&gt;0,"u",""))),"")</f>
      </c>
      <c r="BJ56" s="224">
        <f>IF(ISNUMBER(BI55),IFERROR(21-1/(1/SUMPRODUCT(MAX((JP_StartInhalt=DATE(Planungsjahr,3,BI55))*Anzeige_I*((JP_Anzeige=TRUE)+NOT(Filter_Aktiv)&gt;0)*(11-JP_Farbe)))),IF(COUNTIF(Feiertage,DATE(Planungsjahr,3,BI55))&gt;0,"h",IF(COUNTIFS(U_Von,"&lt;="&amp;DATE(Planungsjahr,3,BI55),U_Bis,"&gt;="&amp;DATE(Planungsjahr,3,BI55))&gt;0,"u",""))),"")</f>
      </c>
      <c r="BK56" s="225">
        <f>IF(ISNUMBER(BI55),IFERROR(31-1/(1/SUMPRODUCT(MAX((JP_PAL=DATE(Planungsjahr,3,BI55))*Anzeige_P*((JP_Anzeige=TRUE)+NOT(Filter_Aktiv)&gt;0)*(11-JP_Farbe)))),IF(COUNTIF(Feiertage,DATE(Planungsjahr,3,BI55))&gt;0,"h",IF(COUNTIFS(U_Von,"&lt;="&amp;DATE(Planungsjahr,3,BI55),U_Bis,"&gt;="&amp;DATE(Planungsjahr,3,BI55))&gt;0,"u",""))),"")</f>
      </c>
      <c r="BL56" s="223">
        <f>IF(ISNUMBER(BL55),IFERROR(11-1/(1/SUMPRODUCT(MAX((JP_StartSel=DATE(Planungsjahr,3,BL55))*Anzeige_S*((JP_Anzeige=TRUE)+NOT(Filter_Aktiv)&gt;0)*(11-JP_Farbe)))),IF(COUNTIF(Feiertage,DATE(Planungsjahr,3,BL55))&gt;0,"h","w")),"")</f>
      </c>
      <c r="BM56" s="224">
        <f>IF(ISNUMBER(BL55),IFERROR(21-1/(1/SUMPRODUCT(MAX((JP_StartInhalt=DATE(Planungsjahr,3,BL55))*Anzeige_I*((JP_Anzeige=TRUE)+NOT(Filter_Aktiv)&gt;0)*(11-JP_Farbe)))),IF(COUNTIF(Feiertage,DATE(Planungsjahr,3,BL55))&gt;0,"h","w")),"")</f>
      </c>
      <c r="BN56" s="225">
        <f>IF(ISNUMBER(BL55),IFERROR(31-1/(1/SUMPRODUCT(MAX((JP_PAL=DATE(Planungsjahr,3,BL55))*Anzeige_P*((JP_Anzeige=TRUE)+NOT(Filter_Aktiv)&gt;0)*(11-JP_Farbe)))),IF(COUNTIF(Feiertage,DATE(Planungsjahr,3,BL55))&gt;0,"h","w")),"")</f>
      </c>
      <c r="BO56" s="223">
        <f>IF(ISNUMBER(BO55),IFERROR(11-1/(1/SUMPRODUCT(MAX((JP_StartSel=DATE(Planungsjahr,3,BO55))*Anzeige_S*((JP_Anzeige=TRUE)+NOT(Filter_Aktiv)&gt;0)*(11-JP_Farbe)))),IF(COUNTIF(Feiertage,DATE(Planungsjahr,3,BO55))&gt;0,"h","w")),"")</f>
      </c>
      <c r="BP56" s="224">
        <f>IF(ISNUMBER(BO55),IFERROR(21-1/(1/SUMPRODUCT(MAX((JP_StartInhalt=DATE(Planungsjahr,3,BO55))*Anzeige_I*((JP_Anzeige=TRUE)+NOT(Filter_Aktiv)&gt;0)*(11-JP_Farbe)))),IF(COUNTIF(Feiertage,DATE(Planungsjahr,3,BO55))&gt;0,"h","w")),"")</f>
      </c>
      <c r="BQ56" s="225">
        <f>IF(ISNUMBER(BO55),IFERROR(31-1/(1/SUMPRODUCT(MAX((JP_PAL=DATE(Planungsjahr,3,BO55))*Anzeige_P*((JP_Anzeige=TRUE)+NOT(Filter_Aktiv)&gt;0)*(11-JP_Farbe)))),IF(COUNTIF(Feiertage,DATE(Planungsjahr,3,BO55))&gt;0,"h","w")),"")</f>
      </c>
      <c r="BS56" s="181"/>
      <c r="BT56" s="223">
        <f>IF(ISNUMBER(BT55),IFERROR(11-1/(1/SUMPRODUCT(MAX((JP_StartSel=DATE(Planungsjahr,4,BT55))*Anzeige_S*((JP_Anzeige=TRUE)+NOT(Filter_Aktiv)&gt;0)*(11-JP_Farbe)))),IF(COUNTIF(Feiertage,DATE(Planungsjahr,4,BT55))&gt;0,"h",IF(COUNTIFS(U_Von,"&lt;="&amp;DATE(Planungsjahr,4,BT55),U_Bis,"&gt;="&amp;DATE(Planungsjahr,4,BT55))&gt;0,"u",""))),"")</f>
      </c>
      <c r="BU56" s="224">
        <f>IF(ISNUMBER(BT55),IFERROR(21-1/(1/SUMPRODUCT(MAX((JP_StartInhalt=DATE(Planungsjahr,4,BT55))*Anzeige_I*((JP_Anzeige=TRUE)+NOT(Filter_Aktiv)&gt;0)*(11-JP_Farbe)))),IF(COUNTIF(Feiertage,DATE(Planungsjahr,4,BT55))&gt;0,"h",IF(COUNTIFS(U_Von,"&lt;="&amp;DATE(Planungsjahr,4,BT55),U_Bis,"&gt;="&amp;DATE(Planungsjahr,4,BT55))&gt;0,"u",""))),"")</f>
      </c>
      <c r="BV56" s="225">
        <f>IF(ISNUMBER(BT55),IFERROR(31-1/(1/SUMPRODUCT(MAX((JP_PAL=DATE(Planungsjahr,4,BT55))*Anzeige_P*((JP_Anzeige=TRUE)+NOT(Filter_Aktiv)&gt;0)*(11-JP_Farbe)))),IF(COUNTIF(Feiertage,DATE(Planungsjahr,4,BT55))&gt;0,"h",IF(COUNTIFS(U_Von,"&lt;="&amp;DATE(Planungsjahr,4,BT55),U_Bis,"&gt;="&amp;DATE(Planungsjahr,4,BT55))&gt;0,"u",""))),"")</f>
      </c>
      <c r="BW56" s="223">
        <f>IF(ISNUMBER(BW55),IFERROR(11-1/(1/SUMPRODUCT(MAX((JP_StartSel=DATE(Planungsjahr,4,BW55))*Anzeige_S*((JP_Anzeige=TRUE)+NOT(Filter_Aktiv)&gt;0)*(11-JP_Farbe)))),IF(COUNTIF(Feiertage,DATE(Planungsjahr,4,BW55))&gt;0,"h",IF(COUNTIFS(U_Von,"&lt;="&amp;DATE(Planungsjahr,4,BW55),U_Bis,"&gt;="&amp;DATE(Planungsjahr,4,BW55))&gt;0,"u",""))),"")</f>
      </c>
      <c r="BX56" s="224">
        <f>IF(ISNUMBER(BW55),IFERROR(21-1/(1/SUMPRODUCT(MAX((JP_StartInhalt=DATE(Planungsjahr,4,BW55))*Anzeige_I*((JP_Anzeige=TRUE)+NOT(Filter_Aktiv)&gt;0)*(11-JP_Farbe)))),IF(COUNTIF(Feiertage,DATE(Planungsjahr,4,BW55))&gt;0,"h",IF(COUNTIFS(U_Von,"&lt;="&amp;DATE(Planungsjahr,4,BW55),U_Bis,"&gt;="&amp;DATE(Planungsjahr,4,BW55))&gt;0,"u",""))),"")</f>
      </c>
      <c r="BY56" s="225">
        <f>IF(ISNUMBER(BW55),IFERROR(31-1/(1/SUMPRODUCT(MAX((JP_PAL=DATE(Planungsjahr,4,BW55))*Anzeige_P*((JP_Anzeige=TRUE)+NOT(Filter_Aktiv)&gt;0)*(11-JP_Farbe)))),IF(COUNTIF(Feiertage,DATE(Planungsjahr,4,BW55))&gt;0,"h",IF(COUNTIFS(U_Von,"&lt;="&amp;DATE(Planungsjahr,4,BW55),U_Bis,"&gt;="&amp;DATE(Planungsjahr,4,BW55))&gt;0,"u",""))),"")</f>
      </c>
      <c r="BZ56" s="223">
        <f>IF(ISNUMBER(BZ55),IFERROR(11-1/(1/SUMPRODUCT(MAX((JP_StartSel=DATE(Planungsjahr,4,BZ55))*Anzeige_S*((JP_Anzeige=TRUE)+NOT(Filter_Aktiv)&gt;0)*(11-JP_Farbe)))),IF(COUNTIF(Feiertage,DATE(Planungsjahr,4,BZ55))&gt;0,"h",IF(COUNTIFS(U_Von,"&lt;="&amp;DATE(Planungsjahr,4,BZ55),U_Bis,"&gt;="&amp;DATE(Planungsjahr,4,BZ55))&gt;0,"u",""))),"")</f>
      </c>
      <c r="CA56" s="224">
        <f>IF(ISNUMBER(BZ55),IFERROR(21-1/(1/SUMPRODUCT(MAX((JP_StartInhalt=DATE(Planungsjahr,4,BZ55))*Anzeige_I*((JP_Anzeige=TRUE)+NOT(Filter_Aktiv)&gt;0)*(11-JP_Farbe)))),IF(COUNTIF(Feiertage,DATE(Planungsjahr,4,BZ55))&gt;0,"h",IF(COUNTIFS(U_Von,"&lt;="&amp;DATE(Planungsjahr,4,BZ55),U_Bis,"&gt;="&amp;DATE(Planungsjahr,4,BZ55))&gt;0,"u",""))),"")</f>
      </c>
      <c r="CB56" s="225">
        <f>IF(ISNUMBER(BZ55),IFERROR(31-1/(1/SUMPRODUCT(MAX((JP_PAL=DATE(Planungsjahr,4,BZ55))*Anzeige_P*((JP_Anzeige=TRUE)+NOT(Filter_Aktiv)&gt;0)*(11-JP_Farbe)))),IF(COUNTIF(Feiertage,DATE(Planungsjahr,4,BZ55))&gt;0,"h",IF(COUNTIFS(U_Von,"&lt;="&amp;DATE(Planungsjahr,4,BZ55),U_Bis,"&gt;="&amp;DATE(Planungsjahr,4,BZ55))&gt;0,"u",""))),"")</f>
      </c>
      <c r="CC56" s="223">
        <f>IF(ISNUMBER(CC55),IFERROR(11-1/(1/SUMPRODUCT(MAX((JP_StartSel=DATE(Planungsjahr,4,CC55))*Anzeige_S*((JP_Anzeige=TRUE)+NOT(Filter_Aktiv)&gt;0)*(11-JP_Farbe)))),IF(COUNTIF(Feiertage,DATE(Planungsjahr,4,CC55))&gt;0,"h",IF(COUNTIFS(U_Von,"&lt;="&amp;DATE(Planungsjahr,4,CC55),U_Bis,"&gt;="&amp;DATE(Planungsjahr,4,CC55))&gt;0,"u",""))),"")</f>
      </c>
      <c r="CD56" s="224">
        <f>IF(ISNUMBER(CC55),IFERROR(21-1/(1/SUMPRODUCT(MAX((JP_StartInhalt=DATE(Planungsjahr,4,CC55))*Anzeige_I*((JP_Anzeige=TRUE)+NOT(Filter_Aktiv)&gt;0)*(11-JP_Farbe)))),IF(COUNTIF(Feiertage,DATE(Planungsjahr,4,CC55))&gt;0,"h",IF(COUNTIFS(U_Von,"&lt;="&amp;DATE(Planungsjahr,4,CC55),U_Bis,"&gt;="&amp;DATE(Planungsjahr,4,CC55))&gt;0,"u",""))),"")</f>
      </c>
      <c r="CE56" s="225">
        <f>IF(ISNUMBER(CC55),IFERROR(31-1/(1/SUMPRODUCT(MAX((JP_PAL=DATE(Planungsjahr,4,CC55))*Anzeige_P*((JP_Anzeige=TRUE)+NOT(Filter_Aktiv)&gt;0)*(11-JP_Farbe)))),IF(COUNTIF(Feiertage,DATE(Planungsjahr,4,CC55))&gt;0,"h",IF(COUNTIFS(U_Von,"&lt;="&amp;DATE(Planungsjahr,4,CC55),U_Bis,"&gt;="&amp;DATE(Planungsjahr,4,CC55))&gt;0,"u",""))),"")</f>
      </c>
      <c r="CF56" s="223">
        <f>IF(ISNUMBER(CF55),IFERROR(11-1/(1/SUMPRODUCT(MAX((JP_StartSel=DATE(Planungsjahr,4,CF55))*Anzeige_S*((JP_Anzeige=TRUE)+NOT(Filter_Aktiv)&gt;0)*(11-JP_Farbe)))),IF(COUNTIF(Feiertage,DATE(Planungsjahr,4,CF55))&gt;0,"h",IF(COUNTIFS(U_Von,"&lt;="&amp;DATE(Planungsjahr,4,CF55),U_Bis,"&gt;="&amp;DATE(Planungsjahr,4,CF55))&gt;0,"u",""))),"")</f>
      </c>
      <c r="CG56" s="224">
        <f>IF(ISNUMBER(CF55),IFERROR(21-1/(1/SUMPRODUCT(MAX((JP_StartInhalt=DATE(Planungsjahr,4,CF55))*Anzeige_I*((JP_Anzeige=TRUE)+NOT(Filter_Aktiv)&gt;0)*(11-JP_Farbe)))),IF(COUNTIF(Feiertage,DATE(Planungsjahr,4,CF55))&gt;0,"h",IF(COUNTIFS(U_Von,"&lt;="&amp;DATE(Planungsjahr,4,CF55),U_Bis,"&gt;="&amp;DATE(Planungsjahr,4,CF55))&gt;0,"u",""))),"")</f>
      </c>
      <c r="CH56" s="225">
        <f>IF(ISNUMBER(CF55),IFERROR(31-1/(1/SUMPRODUCT(MAX((JP_PAL=DATE(Planungsjahr,4,CF55))*Anzeige_P*((JP_Anzeige=TRUE)+NOT(Filter_Aktiv)&gt;0)*(11-JP_Farbe)))),IF(COUNTIF(Feiertage,DATE(Planungsjahr,4,CF55))&gt;0,"h",IF(COUNTIFS(U_Von,"&lt;="&amp;DATE(Planungsjahr,4,CF55),U_Bis,"&gt;="&amp;DATE(Planungsjahr,4,CF55))&gt;0,"u",""))),"")</f>
      </c>
      <c r="CI56" s="223">
        <f>IF(ISNUMBER(CI55),IFERROR(11-1/(1/SUMPRODUCT(MAX((JP_StartSel=DATE(Planungsjahr,4,CI55))*Anzeige_S*((JP_Anzeige=TRUE)+NOT(Filter_Aktiv)&gt;0)*(11-JP_Farbe)))),IF(COUNTIF(Feiertage,DATE(Planungsjahr,4,CI55))&gt;0,"h","w")),"")</f>
      </c>
      <c r="CJ56" s="224">
        <f>IF(ISNUMBER(CI55),IFERROR(21-1/(1/SUMPRODUCT(MAX((JP_StartInhalt=DATE(Planungsjahr,4,CI55))*Anzeige_I*((JP_Anzeige=TRUE)+NOT(Filter_Aktiv)&gt;0)*(11-JP_Farbe)))),IF(COUNTIF(Feiertage,DATE(Planungsjahr,4,CI55))&gt;0,"h","w")),"")</f>
      </c>
      <c r="CK56" s="225">
        <f>IF(ISNUMBER(CI55),IFERROR(31-1/(1/SUMPRODUCT(MAX((JP_PAL=DATE(Planungsjahr,4,CI55))*Anzeige_P*((JP_Anzeige=TRUE)+NOT(Filter_Aktiv)&gt;0)*(11-JP_Farbe)))),IF(COUNTIF(Feiertage,DATE(Planungsjahr,4,CI55))&gt;0,"h","w")),"")</f>
      </c>
      <c r="CL56" s="223">
        <f>IF(ISNUMBER(CL55),IFERROR(11-1/(1/SUMPRODUCT(MAX((JP_StartSel=DATE(Planungsjahr,4,CL55))*Anzeige_S*((JP_Anzeige=TRUE)+NOT(Filter_Aktiv)&gt;0)*(11-JP_Farbe)))),IF(COUNTIF(Feiertage,DATE(Planungsjahr,4,CL55))&gt;0,"h","w")),"")</f>
      </c>
      <c r="CM56" s="224">
        <f>IF(ISNUMBER(CL55),IFERROR(21-1/(1/SUMPRODUCT(MAX((JP_StartInhalt=DATE(Planungsjahr,4,CL55))*Anzeige_I*((JP_Anzeige=TRUE)+NOT(Filter_Aktiv)&gt;0)*(11-JP_Farbe)))),IF(COUNTIF(Feiertage,DATE(Planungsjahr,4,CL55))&gt;0,"h","w")),"")</f>
      </c>
      <c r="CN56" s="225">
        <f>IF(ISNUMBER(CL55),IFERROR(31-1/(1/SUMPRODUCT(MAX((JP_PAL=DATE(Planungsjahr,4,CL55))*Anzeige_P*((JP_Anzeige=TRUE)+NOT(Filter_Aktiv)&gt;0)*(11-JP_Farbe)))),IF(COUNTIF(Feiertage,DATE(Planungsjahr,4,CL55))&gt;0,"h","w")),"")</f>
      </c>
    </row>
    <row r="57" spans="2:92" ht="21.95" customHeight="1" x14ac:dyDescent="0.25">
      <c r="B57" s="184" t="str">
        <f t="array" ref="B57">_xlfn.TEXTJOIN("  ·  ",TRUE,IF(MONTH(Feiertage)=1,TEXT(DAY(Feiertage),"00")&amp;"."&amp;TEXT(MONTH(Feiertage),"00")&amp;". "&amp;Feiertage_Name,""),IF(ISNUMBER(U_Von)*ISNUMBER(U_Bis)*(U_Von&lt;=DATE(Planungsjahr,1+1,0))*(U_Bis&gt;=DATE(Planungsjahr,1,1)),"Urlaub "&amp;TEXT(DAY(U_Von),"00")&amp;"."&amp;TEXT(MONTH(U_Von),"00")&amp;".–"&amp;TEXT(DAY(U_Bis),"00")&amp;"."&amp;TEXT(MONTH(U_Bis),"00")&amp;"."&amp;IF(U_Wer="",""," "&amp;U_Wer),""))</f>
      </c>
      <c r="C57" s="184"/>
      <c r="D57" s="184"/>
      <c r="E57" s="184"/>
      <c r="F57" s="184"/>
      <c r="G57" s="184"/>
      <c r="H57" s="184"/>
      <c r="I57" s="184"/>
      <c r="J57" s="184"/>
      <c r="K57" s="184"/>
      <c r="L57" s="184"/>
      <c r="M57" s="184"/>
      <c r="N57" s="184"/>
      <c r="O57" s="184"/>
      <c r="P57" s="184"/>
      <c r="Q57" s="184"/>
      <c r="R57" s="184"/>
      <c r="S57" s="184"/>
      <c r="T57" s="184"/>
      <c r="U57" s="184"/>
      <c r="V57" s="184"/>
      <c r="W57" s="184"/>
      <c r="Y57" s="184" t="str">
        <f t="array" ref="Y57">_xlfn.TEXTJOIN("  ·  ",TRUE,IF(MONTH(Feiertage)=2,TEXT(DAY(Feiertage),"00")&amp;"."&amp;TEXT(MONTH(Feiertage),"00")&amp;". "&amp;Feiertage_Name,""),IF(ISNUMBER(U_Von)*ISNUMBER(U_Bis)*(U_Von&lt;=DATE(Planungsjahr,2+1,0))*(U_Bis&gt;=DATE(Planungsjahr,2,1)),"Urlaub "&amp;TEXT(DAY(U_Von),"00")&amp;"."&amp;TEXT(MONTH(U_Von),"00")&amp;".–"&amp;TEXT(DAY(U_Bis),"00")&amp;"."&amp;TEXT(MONTH(U_Bis),"00")&amp;"."&amp;IF(U_Wer="",""," "&amp;U_Wer),""))</f>
      </c>
      <c r="Z57" s="184"/>
      <c r="AA57" s="184"/>
      <c r="AB57" s="184"/>
      <c r="AC57" s="184"/>
      <c r="AD57" s="184"/>
      <c r="AE57" s="184"/>
      <c r="AF57" s="184"/>
      <c r="AG57" s="184"/>
      <c r="AH57" s="184"/>
      <c r="AI57" s="184"/>
      <c r="AJ57" s="184"/>
      <c r="AK57" s="184"/>
      <c r="AL57" s="184"/>
      <c r="AM57" s="184"/>
      <c r="AN57" s="184"/>
      <c r="AO57" s="184"/>
      <c r="AP57" s="184"/>
      <c r="AQ57" s="184"/>
      <c r="AR57" s="184"/>
      <c r="AS57" s="184"/>
      <c r="AT57" s="184"/>
      <c r="AV57" s="184" t="str">
        <f t="array" ref="AV57">_xlfn.TEXTJOIN("  ·  ",TRUE,IF(MONTH(Feiertage)=3,TEXT(DAY(Feiertage),"00")&amp;"."&amp;TEXT(MONTH(Feiertage),"00")&amp;". "&amp;Feiertage_Name,""),IF(ISNUMBER(U_Von)*ISNUMBER(U_Bis)*(U_Von&lt;=DATE(Planungsjahr,3+1,0))*(U_Bis&gt;=DATE(Planungsjahr,3,1)),"Urlaub "&amp;TEXT(DAY(U_Von),"00")&amp;"."&amp;TEXT(MONTH(U_Von),"00")&amp;".–"&amp;TEXT(DAY(U_Bis),"00")&amp;"."&amp;TEXT(MONTH(U_Bis),"00")&amp;"."&amp;IF(U_Wer="",""," "&amp;U_Wer),""))</f>
      </c>
      <c r="AW57" s="184"/>
      <c r="AX57" s="184"/>
      <c r="AY57" s="184"/>
      <c r="AZ57" s="184"/>
      <c r="BA57" s="184"/>
      <c r="BB57" s="184"/>
      <c r="BC57" s="184"/>
      <c r="BD57" s="184"/>
      <c r="BE57" s="184"/>
      <c r="BF57" s="184"/>
      <c r="BG57" s="184"/>
      <c r="BH57" s="184"/>
      <c r="BI57" s="184"/>
      <c r="BJ57" s="184"/>
      <c r="BK57" s="184"/>
      <c r="BL57" s="184"/>
      <c r="BM57" s="184"/>
      <c r="BN57" s="184"/>
      <c r="BO57" s="184"/>
      <c r="BP57" s="184"/>
      <c r="BQ57" s="184"/>
      <c r="BS57" s="184" t="str">
        <f t="array" ref="BS57">_xlfn.TEXTJOIN("  ·  ",TRUE,IF(MONTH(Feiertage)=4,TEXT(DAY(Feiertage),"00")&amp;"."&amp;TEXT(MONTH(Feiertage),"00")&amp;". "&amp;Feiertage_Name,""),IF(ISNUMBER(U_Von)*ISNUMBER(U_Bis)*(U_Von&lt;=DATE(Planungsjahr,4+1,0))*(U_Bis&gt;=DATE(Planungsjahr,4,1)),"Urlaub "&amp;TEXT(DAY(U_Von),"00")&amp;"."&amp;TEXT(MONTH(U_Von),"00")&amp;".–"&amp;TEXT(DAY(U_Bis),"00")&amp;"."&amp;TEXT(MONTH(U_Bis),"00")&amp;"."&amp;IF(U_Wer="",""," "&amp;U_Wer),""))</f>
      </c>
      <c r="BT57" s="184"/>
      <c r="BU57" s="184"/>
      <c r="BV57" s="184"/>
      <c r="BW57" s="184"/>
      <c r="BX57" s="184"/>
      <c r="BY57" s="184"/>
      <c r="BZ57" s="184"/>
      <c r="CA57" s="184"/>
      <c r="CB57" s="184"/>
      <c r="CC57" s="184"/>
      <c r="CD57" s="184"/>
      <c r="CE57" s="184"/>
      <c r="CF57" s="184"/>
      <c r="CG57" s="184"/>
      <c r="CH57" s="184"/>
      <c r="CI57" s="184"/>
      <c r="CJ57" s="184"/>
      <c r="CK57" s="184"/>
      <c r="CL57" s="184"/>
      <c r="CM57" s="184"/>
      <c r="CN57" s="184"/>
    </row>
    <row r="58" x14ac:dyDescent="0.25" ht="11.5" customHeight="1">
      <c r="B58" s="226">
        <f>Hilfsdaten!$D$24</f>
      </c>
      <c r="C58" s="227" t="str">
        <f>Hilfsdaten!$C$24</f>
      </c>
      <c r="D58" s="215"/>
      <c r="E58" s="215"/>
      <c r="F58" s="215"/>
      <c r="G58" s="215"/>
      <c r="H58" s="215"/>
      <c r="I58" s="215"/>
      <c r="J58" s="215"/>
      <c r="K58" s="215"/>
      <c r="L58" s="215"/>
      <c r="M58" s="215"/>
      <c r="N58" s="215"/>
      <c r="O58" s="215"/>
      <c r="P58" s="215"/>
      <c r="Q58" s="215"/>
      <c r="R58" s="215"/>
      <c r="S58" s="215"/>
      <c r="T58" s="215"/>
      <c r="U58" s="215"/>
      <c r="V58" s="215"/>
      <c r="W58" s="215"/>
      <c r="Y58" s="226">
        <f>Hilfsdaten!$D$27</f>
      </c>
      <c r="Z58" s="227" t="str">
        <f>Hilfsdaten!$C$27</f>
      </c>
      <c r="AA58" s="215"/>
      <c r="AB58" s="215"/>
      <c r="AC58" s="215"/>
      <c r="AD58" s="215"/>
      <c r="AE58" s="215"/>
      <c r="AF58" s="215"/>
      <c r="AG58" s="215"/>
      <c r="AH58" s="215"/>
      <c r="AI58" s="215"/>
      <c r="AJ58" s="215"/>
      <c r="AK58" s="215"/>
      <c r="AL58" s="215"/>
      <c r="AM58" s="215"/>
      <c r="AN58" s="215"/>
      <c r="AO58" s="215"/>
      <c r="AP58" s="215"/>
      <c r="AQ58" s="215"/>
      <c r="AR58" s="215"/>
      <c r="AS58" s="215"/>
      <c r="AT58" s="215"/>
      <c r="AV58" s="226">
        <f>Hilfsdaten!$D$30</f>
      </c>
      <c r="AW58" s="227" t="str">
        <f>Hilfsdaten!$C$30</f>
      </c>
      <c r="AX58" s="215"/>
      <c r="AY58" s="215"/>
      <c r="AZ58" s="215"/>
      <c r="BA58" s="215"/>
      <c r="BB58" s="215"/>
      <c r="BC58" s="215"/>
      <c r="BD58" s="215"/>
      <c r="BE58" s="215"/>
      <c r="BF58" s="215"/>
      <c r="BG58" s="215"/>
      <c r="BH58" s="215"/>
      <c r="BI58" s="215"/>
      <c r="BJ58" s="215"/>
      <c r="BK58" s="215"/>
      <c r="BL58" s="215"/>
      <c r="BM58" s="215"/>
      <c r="BN58" s="215"/>
      <c r="BO58" s="215"/>
      <c r="BP58" s="215"/>
      <c r="BQ58" s="215"/>
      <c r="BS58" s="226">
        <f>Hilfsdaten!$D$33</f>
      </c>
      <c r="BT58" s="227" t="str">
        <f>Hilfsdaten!$C$33</f>
      </c>
      <c r="BU58" s="215"/>
      <c r="BV58" s="215"/>
      <c r="BW58" s="215"/>
      <c r="BX58" s="215"/>
      <c r="BY58" s="215"/>
      <c r="BZ58" s="215"/>
      <c r="CA58" s="215"/>
      <c r="CB58" s="215"/>
      <c r="CC58" s="215"/>
      <c r="CD58" s="215"/>
      <c r="CE58" s="215"/>
      <c r="CF58" s="215"/>
      <c r="CG58" s="215"/>
      <c r="CH58" s="215"/>
      <c r="CI58" s="215"/>
      <c r="CJ58" s="215"/>
      <c r="CK58" s="215"/>
      <c r="CL58" s="215"/>
      <c r="CM58" s="215"/>
      <c r="CN58" s="215"/>
    </row>
    <row r="59" ht="11.5" customHeight="1">
      <c r="B59" s="226">
        <f>Hilfsdaten!$D$25</f>
      </c>
      <c r="C59" s="227" t="str">
        <f>Hilfsdaten!$C$25</f>
      </c>
      <c r="D59" s="217"/>
      <c r="E59" s="217"/>
      <c r="F59" s="217"/>
      <c r="G59" s="217"/>
      <c r="H59" s="217"/>
      <c r="I59" s="217"/>
      <c r="J59" s="217"/>
      <c r="K59" s="217"/>
      <c r="L59" s="217"/>
      <c r="M59" s="217"/>
      <c r="N59" s="217"/>
      <c r="O59" s="217"/>
      <c r="P59" s="217"/>
      <c r="Q59" s="217"/>
      <c r="R59" s="217"/>
      <c r="S59" s="217"/>
      <c r="T59" s="217"/>
      <c r="U59" s="217"/>
      <c r="V59" s="217"/>
      <c r="W59" s="217"/>
      <c r="Y59" s="226">
        <f>Hilfsdaten!$D$28</f>
      </c>
      <c r="Z59" s="227" t="str">
        <f>Hilfsdaten!$C$28</f>
      </c>
      <c r="AA59" s="217"/>
      <c r="AB59" s="217"/>
      <c r="AC59" s="217"/>
      <c r="AD59" s="217"/>
      <c r="AE59" s="217"/>
      <c r="AF59" s="217"/>
      <c r="AG59" s="217"/>
      <c r="AH59" s="217"/>
      <c r="AI59" s="217"/>
      <c r="AJ59" s="217"/>
      <c r="AK59" s="217"/>
      <c r="AL59" s="217"/>
      <c r="AM59" s="217"/>
      <c r="AN59" s="217"/>
      <c r="AO59" s="217"/>
      <c r="AP59" s="217"/>
      <c r="AQ59" s="217"/>
      <c r="AR59" s="217"/>
      <c r="AS59" s="217"/>
      <c r="AT59" s="217"/>
      <c r="AV59" s="226">
        <f>Hilfsdaten!$D$31</f>
      </c>
      <c r="AW59" s="227" t="str">
        <f>Hilfsdaten!$C$31</f>
      </c>
      <c r="AX59" s="217"/>
      <c r="AY59" s="217"/>
      <c r="AZ59" s="217"/>
      <c r="BA59" s="217"/>
      <c r="BB59" s="217"/>
      <c r="BC59" s="217"/>
      <c r="BD59" s="217"/>
      <c r="BE59" s="217"/>
      <c r="BF59" s="217"/>
      <c r="BG59" s="217"/>
      <c r="BH59" s="217"/>
      <c r="BI59" s="217"/>
      <c r="BJ59" s="217"/>
      <c r="BK59" s="217"/>
      <c r="BL59" s="217"/>
      <c r="BM59" s="217"/>
      <c r="BN59" s="217"/>
      <c r="BO59" s="217"/>
      <c r="BP59" s="217"/>
      <c r="BQ59" s="217"/>
      <c r="BS59" s="226">
        <f>Hilfsdaten!$D$34</f>
      </c>
      <c r="BT59" s="227" t="str">
        <f>Hilfsdaten!$C$34</f>
      </c>
      <c r="BU59" s="217"/>
      <c r="BV59" s="217"/>
      <c r="BW59" s="217"/>
      <c r="BX59" s="217"/>
      <c r="BY59" s="217"/>
      <c r="BZ59" s="217"/>
      <c r="CA59" s="217"/>
      <c r="CB59" s="217"/>
      <c r="CC59" s="217"/>
      <c r="CD59" s="217"/>
      <c r="CE59" s="217"/>
      <c r="CF59" s="217"/>
      <c r="CG59" s="217"/>
      <c r="CH59" s="217"/>
      <c r="CI59" s="217"/>
      <c r="CJ59" s="217"/>
      <c r="CK59" s="217"/>
      <c r="CL59" s="217"/>
      <c r="CM59" s="217"/>
      <c r="CN59" s="217"/>
    </row>
    <row r="60" ht="11.5" customHeight="1">
      <c r="B60" s="226">
        <f>Hilfsdaten!$D$26</f>
      </c>
      <c r="C60" s="227" t="str">
        <f>Hilfsdaten!$C$26</f>
      </c>
      <c r="D60" s="219"/>
      <c r="E60" s="219"/>
      <c r="F60" s="219"/>
      <c r="G60" s="219"/>
      <c r="H60" s="219"/>
      <c r="I60" s="219"/>
      <c r="J60" s="219"/>
      <c r="K60" s="219"/>
      <c r="L60" s="219"/>
      <c r="M60" s="219"/>
      <c r="N60" s="219"/>
      <c r="O60" s="219"/>
      <c r="P60" s="219"/>
      <c r="Q60" s="219"/>
      <c r="R60" s="219"/>
      <c r="S60" s="219"/>
      <c r="T60" s="219"/>
      <c r="U60" s="219"/>
      <c r="V60" s="219"/>
      <c r="W60" s="219"/>
      <c r="Y60" s="226">
        <f>Hilfsdaten!$D$29</f>
      </c>
      <c r="Z60" s="227" t="str">
        <f>Hilfsdaten!$C$29</f>
      </c>
      <c r="AA60" s="219"/>
      <c r="AB60" s="219"/>
      <c r="AC60" s="219"/>
      <c r="AD60" s="219"/>
      <c r="AE60" s="219"/>
      <c r="AF60" s="219"/>
      <c r="AG60" s="219"/>
      <c r="AH60" s="219"/>
      <c r="AI60" s="219"/>
      <c r="AJ60" s="219"/>
      <c r="AK60" s="219"/>
      <c r="AL60" s="219"/>
      <c r="AM60" s="219"/>
      <c r="AN60" s="219"/>
      <c r="AO60" s="219"/>
      <c r="AP60" s="219"/>
      <c r="AQ60" s="219"/>
      <c r="AR60" s="219"/>
      <c r="AS60" s="219"/>
      <c r="AT60" s="219"/>
      <c r="AV60" s="226">
        <f>Hilfsdaten!$D$32</f>
      </c>
      <c r="AW60" s="227" t="str">
        <f>Hilfsdaten!$C$32</f>
      </c>
      <c r="AX60" s="219"/>
      <c r="AY60" s="219"/>
      <c r="AZ60" s="219"/>
      <c r="BA60" s="219"/>
      <c r="BB60" s="219"/>
      <c r="BC60" s="219"/>
      <c r="BD60" s="219"/>
      <c r="BE60" s="219"/>
      <c r="BF60" s="219"/>
      <c r="BG60" s="219"/>
      <c r="BH60" s="219"/>
      <c r="BI60" s="219"/>
      <c r="BJ60" s="219"/>
      <c r="BK60" s="219"/>
      <c r="BL60" s="219"/>
      <c r="BM60" s="219"/>
      <c r="BN60" s="219"/>
      <c r="BO60" s="219"/>
      <c r="BP60" s="219"/>
      <c r="BQ60" s="219"/>
      <c r="BS60" s="226">
        <f>Hilfsdaten!$D$35</f>
      </c>
      <c r="BT60" s="227" t="str">
        <f>Hilfsdaten!$C$35</f>
      </c>
      <c r="BU60" s="219"/>
      <c r="BV60" s="219"/>
      <c r="BW60" s="219"/>
      <c r="BX60" s="219"/>
      <c r="BY60" s="219"/>
      <c r="BZ60" s="219"/>
      <c r="CA60" s="219"/>
      <c r="CB60" s="219"/>
      <c r="CC60" s="219"/>
      <c r="CD60" s="219"/>
      <c r="CE60" s="219"/>
      <c r="CF60" s="219"/>
      <c r="CG60" s="219"/>
      <c r="CH60" s="219"/>
      <c r="CI60" s="219"/>
      <c r="CJ60" s="219"/>
      <c r="CK60" s="219"/>
      <c r="CL60" s="219"/>
      <c r="CM60" s="219"/>
      <c r="CN60" s="219"/>
    </row>
    <row r="61" spans="2:92" ht="20.100000000000001" customHeight="1" x14ac:dyDescent="0.25">
      <c r="B61" s="172" t="str">
        <f>"Mai "&amp;Planungsjahr</f>
        <v>Mai 2027</v>
      </c>
      <c r="C61" s="173"/>
      <c r="D61" s="173"/>
      <c r="E61" s="173"/>
      <c r="F61" s="173"/>
      <c r="G61" s="173"/>
      <c r="H61" s="173"/>
      <c r="I61" s="173"/>
      <c r="J61" s="173"/>
      <c r="K61" s="173"/>
      <c r="L61" s="173"/>
      <c r="M61" s="173"/>
      <c r="N61" s="173"/>
      <c r="O61" s="173"/>
      <c r="P61" s="173"/>
      <c r="Q61" s="173"/>
      <c r="R61" s="173"/>
      <c r="S61" s="173"/>
      <c r="T61" s="173"/>
      <c r="U61" s="173"/>
      <c r="V61" s="173"/>
      <c r="W61" s="174"/>
      <c r="Y61" s="172" t="str">
        <f>"Juni "&amp;Planungsjahr</f>
        <v>Juni 2027</v>
      </c>
      <c r="Z61" s="173"/>
      <c r="AA61" s="173"/>
      <c r="AB61" s="173"/>
      <c r="AC61" s="173"/>
      <c r="AD61" s="173"/>
      <c r="AE61" s="173"/>
      <c r="AF61" s="173"/>
      <c r="AG61" s="173"/>
      <c r="AH61" s="173"/>
      <c r="AI61" s="173"/>
      <c r="AJ61" s="173"/>
      <c r="AK61" s="173"/>
      <c r="AL61" s="173"/>
      <c r="AM61" s="173"/>
      <c r="AN61" s="173"/>
      <c r="AO61" s="173"/>
      <c r="AP61" s="173"/>
      <c r="AQ61" s="173"/>
      <c r="AR61" s="173"/>
      <c r="AS61" s="173"/>
      <c r="AT61" s="174"/>
      <c r="AV61" s="172" t="str">
        <f>"Juli "&amp;Planungsjahr</f>
        <v>Juli 2027</v>
      </c>
      <c r="AW61" s="173"/>
      <c r="AX61" s="173"/>
      <c r="AY61" s="173"/>
      <c r="AZ61" s="173"/>
      <c r="BA61" s="173"/>
      <c r="BB61" s="173"/>
      <c r="BC61" s="173"/>
      <c r="BD61" s="173"/>
      <c r="BE61" s="173"/>
      <c r="BF61" s="173"/>
      <c r="BG61" s="173"/>
      <c r="BH61" s="173"/>
      <c r="BI61" s="173"/>
      <c r="BJ61" s="173"/>
      <c r="BK61" s="173"/>
      <c r="BL61" s="173"/>
      <c r="BM61" s="173"/>
      <c r="BN61" s="173"/>
      <c r="BO61" s="173"/>
      <c r="BP61" s="173"/>
      <c r="BQ61" s="174"/>
      <c r="BS61" s="172" t="str">
        <f>"August "&amp;Planungsjahr</f>
        <v>August 2027</v>
      </c>
      <c r="BT61" s="173"/>
      <c r="BU61" s="173"/>
      <c r="BV61" s="173"/>
      <c r="BW61" s="173"/>
      <c r="BX61" s="173"/>
      <c r="BY61" s="173"/>
      <c r="BZ61" s="173"/>
      <c r="CA61" s="173"/>
      <c r="CB61" s="173"/>
      <c r="CC61" s="173"/>
      <c r="CD61" s="173"/>
      <c r="CE61" s="173"/>
      <c r="CF61" s="173"/>
      <c r="CG61" s="173"/>
      <c r="CH61" s="173"/>
      <c r="CI61" s="173"/>
      <c r="CJ61" s="173"/>
      <c r="CK61" s="173"/>
      <c r="CL61" s="173"/>
      <c r="CM61" s="173"/>
      <c r="CN61" s="174"/>
    </row>
    <row r="62" spans="2:92" ht="14.1" customHeight="1" x14ac:dyDescent="0.25">
      <c r="B62" s="175" t="s">
        <v>72</v>
      </c>
      <c r="C62" s="191" t="s">
        <v>73</v>
      </c>
      <c r="D62" s="191"/>
      <c r="E62" s="191"/>
      <c r="F62" s="191" t="s">
        <v>74</v>
      </c>
      <c r="G62" s="191"/>
      <c r="H62" s="191"/>
      <c r="I62" s="191" t="s">
        <v>75</v>
      </c>
      <c r="J62" s="191"/>
      <c r="K62" s="191"/>
      <c r="L62" s="191" t="s">
        <v>76</v>
      </c>
      <c r="M62" s="191"/>
      <c r="N62" s="191"/>
      <c r="O62" s="191" t="s">
        <v>77</v>
      </c>
      <c r="P62" s="191"/>
      <c r="Q62" s="191"/>
      <c r="R62" s="191" t="s">
        <v>78</v>
      </c>
      <c r="S62" s="191"/>
      <c r="T62" s="191"/>
      <c r="U62" s="191" t="s">
        <v>79</v>
      </c>
      <c r="V62" s="191"/>
      <c r="W62" s="193"/>
      <c r="Y62" s="175" t="s">
        <v>72</v>
      </c>
      <c r="Z62" s="191" t="s">
        <v>73</v>
      </c>
      <c r="AA62" s="191"/>
      <c r="AB62" s="191"/>
      <c r="AC62" s="191" t="s">
        <v>74</v>
      </c>
      <c r="AD62" s="191"/>
      <c r="AE62" s="191"/>
      <c r="AF62" s="191" t="s">
        <v>75</v>
      </c>
      <c r="AG62" s="191"/>
      <c r="AH62" s="191"/>
      <c r="AI62" s="191" t="s">
        <v>76</v>
      </c>
      <c r="AJ62" s="191"/>
      <c r="AK62" s="191"/>
      <c r="AL62" s="191" t="s">
        <v>77</v>
      </c>
      <c r="AM62" s="191"/>
      <c r="AN62" s="191"/>
      <c r="AO62" s="191" t="s">
        <v>78</v>
      </c>
      <c r="AP62" s="191"/>
      <c r="AQ62" s="191"/>
      <c r="AR62" s="191" t="s">
        <v>79</v>
      </c>
      <c r="AS62" s="191"/>
      <c r="AT62" s="193"/>
      <c r="AV62" s="175" t="s">
        <v>72</v>
      </c>
      <c r="AW62" s="191" t="s">
        <v>73</v>
      </c>
      <c r="AX62" s="191"/>
      <c r="AY62" s="191"/>
      <c r="AZ62" s="191" t="s">
        <v>74</v>
      </c>
      <c r="BA62" s="191"/>
      <c r="BB62" s="191"/>
      <c r="BC62" s="191" t="s">
        <v>75</v>
      </c>
      <c r="BD62" s="191"/>
      <c r="BE62" s="191"/>
      <c r="BF62" s="191" t="s">
        <v>76</v>
      </c>
      <c r="BG62" s="191"/>
      <c r="BH62" s="191"/>
      <c r="BI62" s="191" t="s">
        <v>77</v>
      </c>
      <c r="BJ62" s="191"/>
      <c r="BK62" s="191"/>
      <c r="BL62" s="191" t="s">
        <v>78</v>
      </c>
      <c r="BM62" s="191"/>
      <c r="BN62" s="191"/>
      <c r="BO62" s="191" t="s">
        <v>79</v>
      </c>
      <c r="BP62" s="191"/>
      <c r="BQ62" s="193"/>
      <c r="BS62" s="175" t="s">
        <v>72</v>
      </c>
      <c r="BT62" s="191" t="s">
        <v>73</v>
      </c>
      <c r="BU62" s="191"/>
      <c r="BV62" s="191"/>
      <c r="BW62" s="191" t="s">
        <v>74</v>
      </c>
      <c r="BX62" s="191"/>
      <c r="BY62" s="191"/>
      <c r="BZ62" s="191" t="s">
        <v>75</v>
      </c>
      <c r="CA62" s="191"/>
      <c r="CB62" s="191"/>
      <c r="CC62" s="191" t="s">
        <v>76</v>
      </c>
      <c r="CD62" s="191"/>
      <c r="CE62" s="191"/>
      <c r="CF62" s="191" t="s">
        <v>77</v>
      </c>
      <c r="CG62" s="191"/>
      <c r="CH62" s="191"/>
      <c r="CI62" s="191" t="s">
        <v>78</v>
      </c>
      <c r="CJ62" s="191"/>
      <c r="CK62" s="191"/>
      <c r="CL62" s="191" t="s">
        <v>79</v>
      </c>
      <c r="CM62" s="191"/>
      <c r="CN62" s="193"/>
    </row>
    <row r="63" spans="2:92" ht="15.95" customHeight="1" x14ac:dyDescent="0.25">
      <c r="B63" s="177">
        <f>IF(OR(ISNUMBER(C63),ISNUMBER(U63)),_xlfn.ISOWEEKNUM(DATE(Planungsjahr,5,1)-WEEKDAY(DATE(Planungsjahr,5,1),2)+1),"")</f>
        <v>17</v>
      </c>
      <c r="C63" s="188" t="str">
        <f>IF(MONTH(DATE(Planungsjahr,5,1)-WEEKDAY(DATE(Planungsjahr,5,1),2)+1)=5,DAY(DATE(Planungsjahr,5,1)-WEEKDAY(DATE(Planungsjahr,5,1),2)+1),"")</f>
        <v/>
      </c>
      <c r="D63" s="188"/>
      <c r="E63" s="188"/>
      <c r="F63" s="188" t="str">
        <f>IF(MONTH(DATE(Planungsjahr,5,1)-WEEKDAY(DATE(Planungsjahr,5,1),2)+2)=5,DAY(DATE(Planungsjahr,5,1)-WEEKDAY(DATE(Planungsjahr,5,1),2)+2),"")</f>
        <v/>
      </c>
      <c r="G63" s="188"/>
      <c r="H63" s="188"/>
      <c r="I63" s="188" t="str">
        <f>IF(MONTH(DATE(Planungsjahr,5,1)-WEEKDAY(DATE(Planungsjahr,5,1),2)+3)=5,DAY(DATE(Planungsjahr,5,1)-WEEKDAY(DATE(Planungsjahr,5,1),2)+3),"")</f>
        <v/>
      </c>
      <c r="J63" s="188"/>
      <c r="K63" s="188"/>
      <c r="L63" s="188" t="str">
        <f>IF(MONTH(DATE(Planungsjahr,5,1)-WEEKDAY(DATE(Planungsjahr,5,1),2)+4)=5,DAY(DATE(Planungsjahr,5,1)-WEEKDAY(DATE(Planungsjahr,5,1),2)+4),"")</f>
        <v/>
      </c>
      <c r="M63" s="188"/>
      <c r="N63" s="188"/>
      <c r="O63" s="188" t="str">
        <f>IF(MONTH(DATE(Planungsjahr,5,1)-WEEKDAY(DATE(Planungsjahr,5,1),2)+5)=5,DAY(DATE(Planungsjahr,5,1)-WEEKDAY(DATE(Planungsjahr,5,1),2)+5),"")</f>
        <v/>
      </c>
      <c r="P63" s="188"/>
      <c r="Q63" s="188"/>
      <c r="R63" s="188">
        <f>IF(MONTH(DATE(Planungsjahr,5,1)-WEEKDAY(DATE(Planungsjahr,5,1),2)+6)=5,DAY(DATE(Planungsjahr,5,1)-WEEKDAY(DATE(Planungsjahr,5,1),2)+6),"")</f>
        <v>1</v>
      </c>
      <c r="S63" s="188"/>
      <c r="T63" s="188"/>
      <c r="U63" s="188">
        <f>IF(MONTH(DATE(Planungsjahr,5,1)-WEEKDAY(DATE(Planungsjahr,5,1),2)+7)=5,DAY(DATE(Planungsjahr,5,1)-WEEKDAY(DATE(Planungsjahr,5,1),2)+7),"")</f>
        <v>2</v>
      </c>
      <c r="V63" s="188"/>
      <c r="W63" s="190"/>
      <c r="Y63" s="177">
        <f>IF(OR(ISNUMBER(Z63),ISNUMBER(AR63)),_xlfn.ISOWEEKNUM(DATE(Planungsjahr,6,1)-WEEKDAY(DATE(Planungsjahr,6,1),2)+1),"")</f>
        <v>22</v>
      </c>
      <c r="Z63" s="188" t="str">
        <f>IF(MONTH(DATE(Planungsjahr,6,1)-WEEKDAY(DATE(Planungsjahr,6,1),2)+1)=6,DAY(DATE(Planungsjahr,6,1)-WEEKDAY(DATE(Planungsjahr,6,1),2)+1),"")</f>
        <v/>
      </c>
      <c r="AA63" s="188"/>
      <c r="AB63" s="188"/>
      <c r="AC63" s="188">
        <f>IF(MONTH(DATE(Planungsjahr,6,1)-WEEKDAY(DATE(Planungsjahr,6,1),2)+2)=6,DAY(DATE(Planungsjahr,6,1)-WEEKDAY(DATE(Planungsjahr,6,1),2)+2),"")</f>
        <v>1</v>
      </c>
      <c r="AD63" s="188"/>
      <c r="AE63" s="188"/>
      <c r="AF63" s="188">
        <f>IF(MONTH(DATE(Planungsjahr,6,1)-WEEKDAY(DATE(Planungsjahr,6,1),2)+3)=6,DAY(DATE(Planungsjahr,6,1)-WEEKDAY(DATE(Planungsjahr,6,1),2)+3),"")</f>
        <v>2</v>
      </c>
      <c r="AG63" s="188"/>
      <c r="AH63" s="188"/>
      <c r="AI63" s="188">
        <f>IF(MONTH(DATE(Planungsjahr,6,1)-WEEKDAY(DATE(Planungsjahr,6,1),2)+4)=6,DAY(DATE(Planungsjahr,6,1)-WEEKDAY(DATE(Planungsjahr,6,1),2)+4),"")</f>
        <v>3</v>
      </c>
      <c r="AJ63" s="188"/>
      <c r="AK63" s="188"/>
      <c r="AL63" s="188">
        <f>IF(MONTH(DATE(Planungsjahr,6,1)-WEEKDAY(DATE(Planungsjahr,6,1),2)+5)=6,DAY(DATE(Planungsjahr,6,1)-WEEKDAY(DATE(Planungsjahr,6,1),2)+5),"")</f>
        <v>4</v>
      </c>
      <c r="AM63" s="188"/>
      <c r="AN63" s="188"/>
      <c r="AO63" s="188">
        <f>IF(MONTH(DATE(Planungsjahr,6,1)-WEEKDAY(DATE(Planungsjahr,6,1),2)+6)=6,DAY(DATE(Planungsjahr,6,1)-WEEKDAY(DATE(Planungsjahr,6,1),2)+6),"")</f>
        <v>5</v>
      </c>
      <c r="AP63" s="188"/>
      <c r="AQ63" s="188"/>
      <c r="AR63" s="188">
        <f>IF(MONTH(DATE(Planungsjahr,6,1)-WEEKDAY(DATE(Planungsjahr,6,1),2)+7)=6,DAY(DATE(Planungsjahr,6,1)-WEEKDAY(DATE(Planungsjahr,6,1),2)+7),"")</f>
        <v>6</v>
      </c>
      <c r="AS63" s="188"/>
      <c r="AT63" s="190"/>
      <c r="AV63" s="177">
        <f>IF(OR(ISNUMBER(AW63),ISNUMBER(BO63)),_xlfn.ISOWEEKNUM(DATE(Planungsjahr,7,1)-WEEKDAY(DATE(Planungsjahr,7,1),2)+1),"")</f>
        <v>26</v>
      </c>
      <c r="AW63" s="188" t="str">
        <f>IF(MONTH(DATE(Planungsjahr,7,1)-WEEKDAY(DATE(Planungsjahr,7,1),2)+1)=7,DAY(DATE(Planungsjahr,7,1)-WEEKDAY(DATE(Planungsjahr,7,1),2)+1),"")</f>
        <v/>
      </c>
      <c r="AX63" s="188"/>
      <c r="AY63" s="188"/>
      <c r="AZ63" s="188" t="str">
        <f>IF(MONTH(DATE(Planungsjahr,7,1)-WEEKDAY(DATE(Planungsjahr,7,1),2)+2)=7,DAY(DATE(Planungsjahr,7,1)-WEEKDAY(DATE(Planungsjahr,7,1),2)+2),"")</f>
        <v/>
      </c>
      <c r="BA63" s="188"/>
      <c r="BB63" s="188"/>
      <c r="BC63" s="188" t="str">
        <f>IF(MONTH(DATE(Planungsjahr,7,1)-WEEKDAY(DATE(Planungsjahr,7,1),2)+3)=7,DAY(DATE(Planungsjahr,7,1)-WEEKDAY(DATE(Planungsjahr,7,1),2)+3),"")</f>
        <v/>
      </c>
      <c r="BD63" s="188"/>
      <c r="BE63" s="188"/>
      <c r="BF63" s="188">
        <f>IF(MONTH(DATE(Planungsjahr,7,1)-WEEKDAY(DATE(Planungsjahr,7,1),2)+4)=7,DAY(DATE(Planungsjahr,7,1)-WEEKDAY(DATE(Planungsjahr,7,1),2)+4),"")</f>
        <v>1</v>
      </c>
      <c r="BG63" s="188"/>
      <c r="BH63" s="188"/>
      <c r="BI63" s="188">
        <f>IF(MONTH(DATE(Planungsjahr,7,1)-WEEKDAY(DATE(Planungsjahr,7,1),2)+5)=7,DAY(DATE(Planungsjahr,7,1)-WEEKDAY(DATE(Planungsjahr,7,1),2)+5),"")</f>
        <v>2</v>
      </c>
      <c r="BJ63" s="188"/>
      <c r="BK63" s="188"/>
      <c r="BL63" s="188">
        <f>IF(MONTH(DATE(Planungsjahr,7,1)-WEEKDAY(DATE(Planungsjahr,7,1),2)+6)=7,DAY(DATE(Planungsjahr,7,1)-WEEKDAY(DATE(Planungsjahr,7,1),2)+6),"")</f>
        <v>3</v>
      </c>
      <c r="BM63" s="188"/>
      <c r="BN63" s="188"/>
      <c r="BO63" s="188">
        <f>IF(MONTH(DATE(Planungsjahr,7,1)-WEEKDAY(DATE(Planungsjahr,7,1),2)+7)=7,DAY(DATE(Planungsjahr,7,1)-WEEKDAY(DATE(Planungsjahr,7,1),2)+7),"")</f>
        <v>4</v>
      </c>
      <c r="BP63" s="188"/>
      <c r="BQ63" s="190"/>
      <c r="BS63" s="177">
        <f>IF(OR(ISNUMBER(BT63),ISNUMBER(CL63)),_xlfn.ISOWEEKNUM(DATE(Planungsjahr,8,1)-WEEKDAY(DATE(Planungsjahr,8,1),2)+1),"")</f>
        <v>30</v>
      </c>
      <c r="BT63" s="188" t="str">
        <f>IF(MONTH(DATE(Planungsjahr,8,1)-WEEKDAY(DATE(Planungsjahr,8,1),2)+1)=8,DAY(DATE(Planungsjahr,8,1)-WEEKDAY(DATE(Planungsjahr,8,1),2)+1),"")</f>
        <v/>
      </c>
      <c r="BU63" s="188"/>
      <c r="BV63" s="188"/>
      <c r="BW63" s="188" t="str">
        <f>IF(MONTH(DATE(Planungsjahr,8,1)-WEEKDAY(DATE(Planungsjahr,8,1),2)+2)=8,DAY(DATE(Planungsjahr,8,1)-WEEKDAY(DATE(Planungsjahr,8,1),2)+2),"")</f>
        <v/>
      </c>
      <c r="BX63" s="188"/>
      <c r="BY63" s="188"/>
      <c r="BZ63" s="188" t="str">
        <f>IF(MONTH(DATE(Planungsjahr,8,1)-WEEKDAY(DATE(Planungsjahr,8,1),2)+3)=8,DAY(DATE(Planungsjahr,8,1)-WEEKDAY(DATE(Planungsjahr,8,1),2)+3),"")</f>
        <v/>
      </c>
      <c r="CA63" s="188"/>
      <c r="CB63" s="188"/>
      <c r="CC63" s="188" t="str">
        <f>IF(MONTH(DATE(Planungsjahr,8,1)-WEEKDAY(DATE(Planungsjahr,8,1),2)+4)=8,DAY(DATE(Planungsjahr,8,1)-WEEKDAY(DATE(Planungsjahr,8,1),2)+4),"")</f>
        <v/>
      </c>
      <c r="CD63" s="188"/>
      <c r="CE63" s="188"/>
      <c r="CF63" s="188" t="str">
        <f>IF(MONTH(DATE(Planungsjahr,8,1)-WEEKDAY(DATE(Planungsjahr,8,1),2)+5)=8,DAY(DATE(Planungsjahr,8,1)-WEEKDAY(DATE(Planungsjahr,8,1),2)+5),"")</f>
        <v/>
      </c>
      <c r="CG63" s="188"/>
      <c r="CH63" s="188"/>
      <c r="CI63" s="188" t="str">
        <f>IF(MONTH(DATE(Planungsjahr,8,1)-WEEKDAY(DATE(Planungsjahr,8,1),2)+6)=8,DAY(DATE(Planungsjahr,8,1)-WEEKDAY(DATE(Planungsjahr,8,1),2)+6),"")</f>
        <v/>
      </c>
      <c r="CJ63" s="188"/>
      <c r="CK63" s="188"/>
      <c r="CL63" s="188">
        <f>IF(MONTH(DATE(Planungsjahr,8,1)-WEEKDAY(DATE(Planungsjahr,8,1),2)+7)=8,DAY(DATE(Planungsjahr,8,1)-WEEKDAY(DATE(Planungsjahr,8,1),2)+7),"")</f>
        <v>1</v>
      </c>
      <c r="CM63" s="188"/>
      <c r="CN63" s="190"/>
    </row>
    <row r="64" spans="2:92" ht="10.5" customHeight="1" x14ac:dyDescent="0.25">
      <c r="B64" s="179"/>
      <c r="C64" s="223">
        <f>IF(ISNUMBER(C63),IFERROR(11-1/(1/SUMPRODUCT(MAX((JP_StartSel=DATE(Planungsjahr,5,C63))*Anzeige_S*((JP_Anzeige=TRUE)+NOT(Filter_Aktiv)&gt;0)*(11-JP_Farbe)))),IF(COUNTIF(Feiertage,DATE(Planungsjahr,5,C63))&gt;0,"h",IF(COUNTIFS(U_Von,"&lt;="&amp;DATE(Planungsjahr,5,C63),U_Bis,"&gt;="&amp;DATE(Planungsjahr,5,C63))&gt;0,"u",""))),"")</f>
      </c>
      <c r="D64" s="224">
        <f>IF(ISNUMBER(C63),IFERROR(21-1/(1/SUMPRODUCT(MAX((JP_StartInhalt=DATE(Planungsjahr,5,C63))*Anzeige_I*((JP_Anzeige=TRUE)+NOT(Filter_Aktiv)&gt;0)*(11-JP_Farbe)))),IF(COUNTIF(Feiertage,DATE(Planungsjahr,5,C63))&gt;0,"h",IF(COUNTIFS(U_Von,"&lt;="&amp;DATE(Planungsjahr,5,C63),U_Bis,"&gt;="&amp;DATE(Planungsjahr,5,C63))&gt;0,"u",""))),"")</f>
      </c>
      <c r="E64" s="225">
        <f>IF(ISNUMBER(C63),IFERROR(31-1/(1/SUMPRODUCT(MAX((JP_PAL=DATE(Planungsjahr,5,C63))*Anzeige_P*((JP_Anzeige=TRUE)+NOT(Filter_Aktiv)&gt;0)*(11-JP_Farbe)))),IF(COUNTIF(Feiertage,DATE(Planungsjahr,5,C63))&gt;0,"h",IF(COUNTIFS(U_Von,"&lt;="&amp;DATE(Planungsjahr,5,C63),U_Bis,"&gt;="&amp;DATE(Planungsjahr,5,C63))&gt;0,"u",""))),"")</f>
      </c>
      <c r="F64" s="223">
        <f>IF(ISNUMBER(F63),IFERROR(11-1/(1/SUMPRODUCT(MAX((JP_StartSel=DATE(Planungsjahr,5,F63))*Anzeige_S*((JP_Anzeige=TRUE)+NOT(Filter_Aktiv)&gt;0)*(11-JP_Farbe)))),IF(COUNTIF(Feiertage,DATE(Planungsjahr,5,F63))&gt;0,"h",IF(COUNTIFS(U_Von,"&lt;="&amp;DATE(Planungsjahr,5,F63),U_Bis,"&gt;="&amp;DATE(Planungsjahr,5,F63))&gt;0,"u",""))),"")</f>
      </c>
      <c r="G64" s="224">
        <f>IF(ISNUMBER(F63),IFERROR(21-1/(1/SUMPRODUCT(MAX((JP_StartInhalt=DATE(Planungsjahr,5,F63))*Anzeige_I*((JP_Anzeige=TRUE)+NOT(Filter_Aktiv)&gt;0)*(11-JP_Farbe)))),IF(COUNTIF(Feiertage,DATE(Planungsjahr,5,F63))&gt;0,"h",IF(COUNTIFS(U_Von,"&lt;="&amp;DATE(Planungsjahr,5,F63),U_Bis,"&gt;="&amp;DATE(Planungsjahr,5,F63))&gt;0,"u",""))),"")</f>
      </c>
      <c r="H64" s="225">
        <f>IF(ISNUMBER(F63),IFERROR(31-1/(1/SUMPRODUCT(MAX((JP_PAL=DATE(Planungsjahr,5,F63))*Anzeige_P*((JP_Anzeige=TRUE)+NOT(Filter_Aktiv)&gt;0)*(11-JP_Farbe)))),IF(COUNTIF(Feiertage,DATE(Planungsjahr,5,F63))&gt;0,"h",IF(COUNTIFS(U_Von,"&lt;="&amp;DATE(Planungsjahr,5,F63),U_Bis,"&gt;="&amp;DATE(Planungsjahr,5,F63))&gt;0,"u",""))),"")</f>
      </c>
      <c r="I64" s="223">
        <f>IF(ISNUMBER(I63),IFERROR(11-1/(1/SUMPRODUCT(MAX((JP_StartSel=DATE(Planungsjahr,5,I63))*Anzeige_S*((JP_Anzeige=TRUE)+NOT(Filter_Aktiv)&gt;0)*(11-JP_Farbe)))),IF(COUNTIF(Feiertage,DATE(Planungsjahr,5,I63))&gt;0,"h",IF(COUNTIFS(U_Von,"&lt;="&amp;DATE(Planungsjahr,5,I63),U_Bis,"&gt;="&amp;DATE(Planungsjahr,5,I63))&gt;0,"u",""))),"")</f>
      </c>
      <c r="J64" s="224">
        <f>IF(ISNUMBER(I63),IFERROR(21-1/(1/SUMPRODUCT(MAX((JP_StartInhalt=DATE(Planungsjahr,5,I63))*Anzeige_I*((JP_Anzeige=TRUE)+NOT(Filter_Aktiv)&gt;0)*(11-JP_Farbe)))),IF(COUNTIF(Feiertage,DATE(Planungsjahr,5,I63))&gt;0,"h",IF(COUNTIFS(U_Von,"&lt;="&amp;DATE(Planungsjahr,5,I63),U_Bis,"&gt;="&amp;DATE(Planungsjahr,5,I63))&gt;0,"u",""))),"")</f>
      </c>
      <c r="K64" s="225">
        <f>IF(ISNUMBER(I63),IFERROR(31-1/(1/SUMPRODUCT(MAX((JP_PAL=DATE(Planungsjahr,5,I63))*Anzeige_P*((JP_Anzeige=TRUE)+NOT(Filter_Aktiv)&gt;0)*(11-JP_Farbe)))),IF(COUNTIF(Feiertage,DATE(Planungsjahr,5,I63))&gt;0,"h",IF(COUNTIFS(U_Von,"&lt;="&amp;DATE(Planungsjahr,5,I63),U_Bis,"&gt;="&amp;DATE(Planungsjahr,5,I63))&gt;0,"u",""))),"")</f>
      </c>
      <c r="L64" s="223">
        <f>IF(ISNUMBER(L63),IFERROR(11-1/(1/SUMPRODUCT(MAX((JP_StartSel=DATE(Planungsjahr,5,L63))*Anzeige_S*((JP_Anzeige=TRUE)+NOT(Filter_Aktiv)&gt;0)*(11-JP_Farbe)))),IF(COUNTIF(Feiertage,DATE(Planungsjahr,5,L63))&gt;0,"h",IF(COUNTIFS(U_Von,"&lt;="&amp;DATE(Planungsjahr,5,L63),U_Bis,"&gt;="&amp;DATE(Planungsjahr,5,L63))&gt;0,"u",""))),"")</f>
      </c>
      <c r="M64" s="224">
        <f>IF(ISNUMBER(L63),IFERROR(21-1/(1/SUMPRODUCT(MAX((JP_StartInhalt=DATE(Planungsjahr,5,L63))*Anzeige_I*((JP_Anzeige=TRUE)+NOT(Filter_Aktiv)&gt;0)*(11-JP_Farbe)))),IF(COUNTIF(Feiertage,DATE(Planungsjahr,5,L63))&gt;0,"h",IF(COUNTIFS(U_Von,"&lt;="&amp;DATE(Planungsjahr,5,L63),U_Bis,"&gt;="&amp;DATE(Planungsjahr,5,L63))&gt;0,"u",""))),"")</f>
      </c>
      <c r="N64" s="225">
        <f>IF(ISNUMBER(L63),IFERROR(31-1/(1/SUMPRODUCT(MAX((JP_PAL=DATE(Planungsjahr,5,L63))*Anzeige_P*((JP_Anzeige=TRUE)+NOT(Filter_Aktiv)&gt;0)*(11-JP_Farbe)))),IF(COUNTIF(Feiertage,DATE(Planungsjahr,5,L63))&gt;0,"h",IF(COUNTIFS(U_Von,"&lt;="&amp;DATE(Planungsjahr,5,L63),U_Bis,"&gt;="&amp;DATE(Planungsjahr,5,L63))&gt;0,"u",""))),"")</f>
      </c>
      <c r="O64" s="223">
        <f>IF(ISNUMBER(O63),IFERROR(11-1/(1/SUMPRODUCT(MAX((JP_StartSel=DATE(Planungsjahr,5,O63))*Anzeige_S*((JP_Anzeige=TRUE)+NOT(Filter_Aktiv)&gt;0)*(11-JP_Farbe)))),IF(COUNTIF(Feiertage,DATE(Planungsjahr,5,O63))&gt;0,"h",IF(COUNTIFS(U_Von,"&lt;="&amp;DATE(Planungsjahr,5,O63),U_Bis,"&gt;="&amp;DATE(Planungsjahr,5,O63))&gt;0,"u",""))),"")</f>
      </c>
      <c r="P64" s="224">
        <f>IF(ISNUMBER(O63),IFERROR(21-1/(1/SUMPRODUCT(MAX((JP_StartInhalt=DATE(Planungsjahr,5,O63))*Anzeige_I*((JP_Anzeige=TRUE)+NOT(Filter_Aktiv)&gt;0)*(11-JP_Farbe)))),IF(COUNTIF(Feiertage,DATE(Planungsjahr,5,O63))&gt;0,"h",IF(COUNTIFS(U_Von,"&lt;="&amp;DATE(Planungsjahr,5,O63),U_Bis,"&gt;="&amp;DATE(Planungsjahr,5,O63))&gt;0,"u",""))),"")</f>
      </c>
      <c r="Q64" s="225">
        <f>IF(ISNUMBER(O63),IFERROR(31-1/(1/SUMPRODUCT(MAX((JP_PAL=DATE(Planungsjahr,5,O63))*Anzeige_P*((JP_Anzeige=TRUE)+NOT(Filter_Aktiv)&gt;0)*(11-JP_Farbe)))),IF(COUNTIF(Feiertage,DATE(Planungsjahr,5,O63))&gt;0,"h",IF(COUNTIFS(U_Von,"&lt;="&amp;DATE(Planungsjahr,5,O63),U_Bis,"&gt;="&amp;DATE(Planungsjahr,5,O63))&gt;0,"u",""))),"")</f>
      </c>
      <c r="R64" s="223">
        <f>IF(ISNUMBER(R63),IFERROR(11-1/(1/SUMPRODUCT(MAX((JP_StartSel=DATE(Planungsjahr,5,R63))*Anzeige_S*((JP_Anzeige=TRUE)+NOT(Filter_Aktiv)&gt;0)*(11-JP_Farbe)))),IF(COUNTIF(Feiertage,DATE(Planungsjahr,5,R63))&gt;0,"h","w")),"")</f>
      </c>
      <c r="S64" s="224">
        <f>IF(ISNUMBER(R63),IFERROR(21-1/(1/SUMPRODUCT(MAX((JP_StartInhalt=DATE(Planungsjahr,5,R63))*Anzeige_I*((JP_Anzeige=TRUE)+NOT(Filter_Aktiv)&gt;0)*(11-JP_Farbe)))),IF(COUNTIF(Feiertage,DATE(Planungsjahr,5,R63))&gt;0,"h","w")),"")</f>
      </c>
      <c r="T64" s="225">
        <f>IF(ISNUMBER(R63),IFERROR(31-1/(1/SUMPRODUCT(MAX((JP_PAL=DATE(Planungsjahr,5,R63))*Anzeige_P*((JP_Anzeige=TRUE)+NOT(Filter_Aktiv)&gt;0)*(11-JP_Farbe)))),IF(COUNTIF(Feiertage,DATE(Planungsjahr,5,R63))&gt;0,"h","w")),"")</f>
      </c>
      <c r="U64" s="223">
        <f>IF(ISNUMBER(U63),IFERROR(11-1/(1/SUMPRODUCT(MAX((JP_StartSel=DATE(Planungsjahr,5,U63))*Anzeige_S*((JP_Anzeige=TRUE)+NOT(Filter_Aktiv)&gt;0)*(11-JP_Farbe)))),IF(COUNTIF(Feiertage,DATE(Planungsjahr,5,U63))&gt;0,"h","w")),"")</f>
      </c>
      <c r="V64" s="224">
        <f>IF(ISNUMBER(U63),IFERROR(21-1/(1/SUMPRODUCT(MAX((JP_StartInhalt=DATE(Planungsjahr,5,U63))*Anzeige_I*((JP_Anzeige=TRUE)+NOT(Filter_Aktiv)&gt;0)*(11-JP_Farbe)))),IF(COUNTIF(Feiertage,DATE(Planungsjahr,5,U63))&gt;0,"h","w")),"")</f>
      </c>
      <c r="W64" s="225">
        <f>IF(ISNUMBER(U63),IFERROR(31-1/(1/SUMPRODUCT(MAX((JP_PAL=DATE(Planungsjahr,5,U63))*Anzeige_P*((JP_Anzeige=TRUE)+NOT(Filter_Aktiv)&gt;0)*(11-JP_Farbe)))),IF(COUNTIF(Feiertage,DATE(Planungsjahr,5,U63))&gt;0,"h","w")),"")</f>
      </c>
      <c r="Y64" s="179"/>
      <c r="Z64" s="223">
        <f>IF(ISNUMBER(Z63),IFERROR(11-1/(1/SUMPRODUCT(MAX((JP_StartSel=DATE(Planungsjahr,6,Z63))*Anzeige_S*((JP_Anzeige=TRUE)+NOT(Filter_Aktiv)&gt;0)*(11-JP_Farbe)))),IF(COUNTIF(Feiertage,DATE(Planungsjahr,6,Z63))&gt;0,"h",IF(COUNTIFS(U_Von,"&lt;="&amp;DATE(Planungsjahr,6,Z63),U_Bis,"&gt;="&amp;DATE(Planungsjahr,6,Z63))&gt;0,"u",""))),"")</f>
      </c>
      <c r="AA64" s="224">
        <f>IF(ISNUMBER(Z63),IFERROR(21-1/(1/SUMPRODUCT(MAX((JP_StartInhalt=DATE(Planungsjahr,6,Z63))*Anzeige_I*((JP_Anzeige=TRUE)+NOT(Filter_Aktiv)&gt;0)*(11-JP_Farbe)))),IF(COUNTIF(Feiertage,DATE(Planungsjahr,6,Z63))&gt;0,"h",IF(COUNTIFS(U_Von,"&lt;="&amp;DATE(Planungsjahr,6,Z63),U_Bis,"&gt;="&amp;DATE(Planungsjahr,6,Z63))&gt;0,"u",""))),"")</f>
      </c>
      <c r="AB64" s="225">
        <f>IF(ISNUMBER(Z63),IFERROR(31-1/(1/SUMPRODUCT(MAX((JP_PAL=DATE(Planungsjahr,6,Z63))*Anzeige_P*((JP_Anzeige=TRUE)+NOT(Filter_Aktiv)&gt;0)*(11-JP_Farbe)))),IF(COUNTIF(Feiertage,DATE(Planungsjahr,6,Z63))&gt;0,"h",IF(COUNTIFS(U_Von,"&lt;="&amp;DATE(Planungsjahr,6,Z63),U_Bis,"&gt;="&amp;DATE(Planungsjahr,6,Z63))&gt;0,"u",""))),"")</f>
      </c>
      <c r="AC64" s="223">
        <f>IF(ISNUMBER(AC63),IFERROR(11-1/(1/SUMPRODUCT(MAX((JP_StartSel=DATE(Planungsjahr,6,AC63))*Anzeige_S*((JP_Anzeige=TRUE)+NOT(Filter_Aktiv)&gt;0)*(11-JP_Farbe)))),IF(COUNTIF(Feiertage,DATE(Planungsjahr,6,AC63))&gt;0,"h",IF(COUNTIFS(U_Von,"&lt;="&amp;DATE(Planungsjahr,6,AC63),U_Bis,"&gt;="&amp;DATE(Planungsjahr,6,AC63))&gt;0,"u",""))),"")</f>
      </c>
      <c r="AD64" s="224">
        <f>IF(ISNUMBER(AC63),IFERROR(21-1/(1/SUMPRODUCT(MAX((JP_StartInhalt=DATE(Planungsjahr,6,AC63))*Anzeige_I*((JP_Anzeige=TRUE)+NOT(Filter_Aktiv)&gt;0)*(11-JP_Farbe)))),IF(COUNTIF(Feiertage,DATE(Planungsjahr,6,AC63))&gt;0,"h",IF(COUNTIFS(U_Von,"&lt;="&amp;DATE(Planungsjahr,6,AC63),U_Bis,"&gt;="&amp;DATE(Planungsjahr,6,AC63))&gt;0,"u",""))),"")</f>
      </c>
      <c r="AE64" s="225">
        <f>IF(ISNUMBER(AC63),IFERROR(31-1/(1/SUMPRODUCT(MAX((JP_PAL=DATE(Planungsjahr,6,AC63))*Anzeige_P*((JP_Anzeige=TRUE)+NOT(Filter_Aktiv)&gt;0)*(11-JP_Farbe)))),IF(COUNTIF(Feiertage,DATE(Planungsjahr,6,AC63))&gt;0,"h",IF(COUNTIFS(U_Von,"&lt;="&amp;DATE(Planungsjahr,6,AC63),U_Bis,"&gt;="&amp;DATE(Planungsjahr,6,AC63))&gt;0,"u",""))),"")</f>
      </c>
      <c r="AF64" s="223">
        <f>IF(ISNUMBER(AF63),IFERROR(11-1/(1/SUMPRODUCT(MAX((JP_StartSel=DATE(Planungsjahr,6,AF63))*Anzeige_S*((JP_Anzeige=TRUE)+NOT(Filter_Aktiv)&gt;0)*(11-JP_Farbe)))),IF(COUNTIF(Feiertage,DATE(Planungsjahr,6,AF63))&gt;0,"h",IF(COUNTIFS(U_Von,"&lt;="&amp;DATE(Planungsjahr,6,AF63),U_Bis,"&gt;="&amp;DATE(Planungsjahr,6,AF63))&gt;0,"u",""))),"")</f>
      </c>
      <c r="AG64" s="224">
        <f>IF(ISNUMBER(AF63),IFERROR(21-1/(1/SUMPRODUCT(MAX((JP_StartInhalt=DATE(Planungsjahr,6,AF63))*Anzeige_I*((JP_Anzeige=TRUE)+NOT(Filter_Aktiv)&gt;0)*(11-JP_Farbe)))),IF(COUNTIF(Feiertage,DATE(Planungsjahr,6,AF63))&gt;0,"h",IF(COUNTIFS(U_Von,"&lt;="&amp;DATE(Planungsjahr,6,AF63),U_Bis,"&gt;="&amp;DATE(Planungsjahr,6,AF63))&gt;0,"u",""))),"")</f>
      </c>
      <c r="AH64" s="225">
        <f>IF(ISNUMBER(AF63),IFERROR(31-1/(1/SUMPRODUCT(MAX((JP_PAL=DATE(Planungsjahr,6,AF63))*Anzeige_P*((JP_Anzeige=TRUE)+NOT(Filter_Aktiv)&gt;0)*(11-JP_Farbe)))),IF(COUNTIF(Feiertage,DATE(Planungsjahr,6,AF63))&gt;0,"h",IF(COUNTIFS(U_Von,"&lt;="&amp;DATE(Planungsjahr,6,AF63),U_Bis,"&gt;="&amp;DATE(Planungsjahr,6,AF63))&gt;0,"u",""))),"")</f>
      </c>
      <c r="AI64" s="223">
        <f>IF(ISNUMBER(AI63),IFERROR(11-1/(1/SUMPRODUCT(MAX((JP_StartSel=DATE(Planungsjahr,6,AI63))*Anzeige_S*((JP_Anzeige=TRUE)+NOT(Filter_Aktiv)&gt;0)*(11-JP_Farbe)))),IF(COUNTIF(Feiertage,DATE(Planungsjahr,6,AI63))&gt;0,"h",IF(COUNTIFS(U_Von,"&lt;="&amp;DATE(Planungsjahr,6,AI63),U_Bis,"&gt;="&amp;DATE(Planungsjahr,6,AI63))&gt;0,"u",""))),"")</f>
      </c>
      <c r="AJ64" s="224">
        <f>IF(ISNUMBER(AI63),IFERROR(21-1/(1/SUMPRODUCT(MAX((JP_StartInhalt=DATE(Planungsjahr,6,AI63))*Anzeige_I*((JP_Anzeige=TRUE)+NOT(Filter_Aktiv)&gt;0)*(11-JP_Farbe)))),IF(COUNTIF(Feiertage,DATE(Planungsjahr,6,AI63))&gt;0,"h",IF(COUNTIFS(U_Von,"&lt;="&amp;DATE(Planungsjahr,6,AI63),U_Bis,"&gt;="&amp;DATE(Planungsjahr,6,AI63))&gt;0,"u",""))),"")</f>
      </c>
      <c r="AK64" s="225">
        <f>IF(ISNUMBER(AI63),IFERROR(31-1/(1/SUMPRODUCT(MAX((JP_PAL=DATE(Planungsjahr,6,AI63))*Anzeige_P*((JP_Anzeige=TRUE)+NOT(Filter_Aktiv)&gt;0)*(11-JP_Farbe)))),IF(COUNTIF(Feiertage,DATE(Planungsjahr,6,AI63))&gt;0,"h",IF(COUNTIFS(U_Von,"&lt;="&amp;DATE(Planungsjahr,6,AI63),U_Bis,"&gt;="&amp;DATE(Planungsjahr,6,AI63))&gt;0,"u",""))),"")</f>
      </c>
      <c r="AL64" s="223">
        <f>IF(ISNUMBER(AL63),IFERROR(11-1/(1/SUMPRODUCT(MAX((JP_StartSel=DATE(Planungsjahr,6,AL63))*Anzeige_S*((JP_Anzeige=TRUE)+NOT(Filter_Aktiv)&gt;0)*(11-JP_Farbe)))),IF(COUNTIF(Feiertage,DATE(Planungsjahr,6,AL63))&gt;0,"h",IF(COUNTIFS(U_Von,"&lt;="&amp;DATE(Planungsjahr,6,AL63),U_Bis,"&gt;="&amp;DATE(Planungsjahr,6,AL63))&gt;0,"u",""))),"")</f>
      </c>
      <c r="AM64" s="224">
        <f>IF(ISNUMBER(AL63),IFERROR(21-1/(1/SUMPRODUCT(MAX((JP_StartInhalt=DATE(Planungsjahr,6,AL63))*Anzeige_I*((JP_Anzeige=TRUE)+NOT(Filter_Aktiv)&gt;0)*(11-JP_Farbe)))),IF(COUNTIF(Feiertage,DATE(Planungsjahr,6,AL63))&gt;0,"h",IF(COUNTIFS(U_Von,"&lt;="&amp;DATE(Planungsjahr,6,AL63),U_Bis,"&gt;="&amp;DATE(Planungsjahr,6,AL63))&gt;0,"u",""))),"")</f>
      </c>
      <c r="AN64" s="225">
        <f>IF(ISNUMBER(AL63),IFERROR(31-1/(1/SUMPRODUCT(MAX((JP_PAL=DATE(Planungsjahr,6,AL63))*Anzeige_P*((JP_Anzeige=TRUE)+NOT(Filter_Aktiv)&gt;0)*(11-JP_Farbe)))),IF(COUNTIF(Feiertage,DATE(Planungsjahr,6,AL63))&gt;0,"h",IF(COUNTIFS(U_Von,"&lt;="&amp;DATE(Planungsjahr,6,AL63),U_Bis,"&gt;="&amp;DATE(Planungsjahr,6,AL63))&gt;0,"u",""))),"")</f>
      </c>
      <c r="AO64" s="223">
        <f>IF(ISNUMBER(AO63),IFERROR(11-1/(1/SUMPRODUCT(MAX((JP_StartSel=DATE(Planungsjahr,6,AO63))*Anzeige_S*((JP_Anzeige=TRUE)+NOT(Filter_Aktiv)&gt;0)*(11-JP_Farbe)))),IF(COUNTIF(Feiertage,DATE(Planungsjahr,6,AO63))&gt;0,"h","w")),"")</f>
      </c>
      <c r="AP64" s="224">
        <f>IF(ISNUMBER(AO63),IFERROR(21-1/(1/SUMPRODUCT(MAX((JP_StartInhalt=DATE(Planungsjahr,6,AO63))*Anzeige_I*((JP_Anzeige=TRUE)+NOT(Filter_Aktiv)&gt;0)*(11-JP_Farbe)))),IF(COUNTIF(Feiertage,DATE(Planungsjahr,6,AO63))&gt;0,"h","w")),"")</f>
      </c>
      <c r="AQ64" s="225">
        <f>IF(ISNUMBER(AO63),IFERROR(31-1/(1/SUMPRODUCT(MAX((JP_PAL=DATE(Planungsjahr,6,AO63))*Anzeige_P*((JP_Anzeige=TRUE)+NOT(Filter_Aktiv)&gt;0)*(11-JP_Farbe)))),IF(COUNTIF(Feiertage,DATE(Planungsjahr,6,AO63))&gt;0,"h","w")),"")</f>
      </c>
      <c r="AR64" s="223">
        <f>IF(ISNUMBER(AR63),IFERROR(11-1/(1/SUMPRODUCT(MAX((JP_StartSel=DATE(Planungsjahr,6,AR63))*Anzeige_S*((JP_Anzeige=TRUE)+NOT(Filter_Aktiv)&gt;0)*(11-JP_Farbe)))),IF(COUNTIF(Feiertage,DATE(Planungsjahr,6,AR63))&gt;0,"h","w")),"")</f>
      </c>
      <c r="AS64" s="224">
        <f>IF(ISNUMBER(AR63),IFERROR(21-1/(1/SUMPRODUCT(MAX((JP_StartInhalt=DATE(Planungsjahr,6,AR63))*Anzeige_I*((JP_Anzeige=TRUE)+NOT(Filter_Aktiv)&gt;0)*(11-JP_Farbe)))),IF(COUNTIF(Feiertage,DATE(Planungsjahr,6,AR63))&gt;0,"h","w")),"")</f>
      </c>
      <c r="AT64" s="225">
        <f>IF(ISNUMBER(AR63),IFERROR(31-1/(1/SUMPRODUCT(MAX((JP_PAL=DATE(Planungsjahr,6,AR63))*Anzeige_P*((JP_Anzeige=TRUE)+NOT(Filter_Aktiv)&gt;0)*(11-JP_Farbe)))),IF(COUNTIF(Feiertage,DATE(Planungsjahr,6,AR63))&gt;0,"h","w")),"")</f>
      </c>
      <c r="AV64" s="179"/>
      <c r="AW64" s="223">
        <f>IF(ISNUMBER(AW63),IFERROR(11-1/(1/SUMPRODUCT(MAX((JP_StartSel=DATE(Planungsjahr,7,AW63))*Anzeige_S*((JP_Anzeige=TRUE)+NOT(Filter_Aktiv)&gt;0)*(11-JP_Farbe)))),IF(COUNTIF(Feiertage,DATE(Planungsjahr,7,AW63))&gt;0,"h",IF(COUNTIFS(U_Von,"&lt;="&amp;DATE(Planungsjahr,7,AW63),U_Bis,"&gt;="&amp;DATE(Planungsjahr,7,AW63))&gt;0,"u",""))),"")</f>
      </c>
      <c r="AX64" s="224">
        <f>IF(ISNUMBER(AW63),IFERROR(21-1/(1/SUMPRODUCT(MAX((JP_StartInhalt=DATE(Planungsjahr,7,AW63))*Anzeige_I*((JP_Anzeige=TRUE)+NOT(Filter_Aktiv)&gt;0)*(11-JP_Farbe)))),IF(COUNTIF(Feiertage,DATE(Planungsjahr,7,AW63))&gt;0,"h",IF(COUNTIFS(U_Von,"&lt;="&amp;DATE(Planungsjahr,7,AW63),U_Bis,"&gt;="&amp;DATE(Planungsjahr,7,AW63))&gt;0,"u",""))),"")</f>
      </c>
      <c r="AY64" s="225">
        <f>IF(ISNUMBER(AW63),IFERROR(31-1/(1/SUMPRODUCT(MAX((JP_PAL=DATE(Planungsjahr,7,AW63))*Anzeige_P*((JP_Anzeige=TRUE)+NOT(Filter_Aktiv)&gt;0)*(11-JP_Farbe)))),IF(COUNTIF(Feiertage,DATE(Planungsjahr,7,AW63))&gt;0,"h",IF(COUNTIFS(U_Von,"&lt;="&amp;DATE(Planungsjahr,7,AW63),U_Bis,"&gt;="&amp;DATE(Planungsjahr,7,AW63))&gt;0,"u",""))),"")</f>
      </c>
      <c r="AZ64" s="223">
        <f>IF(ISNUMBER(AZ63),IFERROR(11-1/(1/SUMPRODUCT(MAX((JP_StartSel=DATE(Planungsjahr,7,AZ63))*Anzeige_S*((JP_Anzeige=TRUE)+NOT(Filter_Aktiv)&gt;0)*(11-JP_Farbe)))),IF(COUNTIF(Feiertage,DATE(Planungsjahr,7,AZ63))&gt;0,"h",IF(COUNTIFS(U_Von,"&lt;="&amp;DATE(Planungsjahr,7,AZ63),U_Bis,"&gt;="&amp;DATE(Planungsjahr,7,AZ63))&gt;0,"u",""))),"")</f>
      </c>
      <c r="BA64" s="224">
        <f>IF(ISNUMBER(AZ63),IFERROR(21-1/(1/SUMPRODUCT(MAX((JP_StartInhalt=DATE(Planungsjahr,7,AZ63))*Anzeige_I*((JP_Anzeige=TRUE)+NOT(Filter_Aktiv)&gt;0)*(11-JP_Farbe)))),IF(COUNTIF(Feiertage,DATE(Planungsjahr,7,AZ63))&gt;0,"h",IF(COUNTIFS(U_Von,"&lt;="&amp;DATE(Planungsjahr,7,AZ63),U_Bis,"&gt;="&amp;DATE(Planungsjahr,7,AZ63))&gt;0,"u",""))),"")</f>
      </c>
      <c r="BB64" s="225">
        <f>IF(ISNUMBER(AZ63),IFERROR(31-1/(1/SUMPRODUCT(MAX((JP_PAL=DATE(Planungsjahr,7,AZ63))*Anzeige_P*((JP_Anzeige=TRUE)+NOT(Filter_Aktiv)&gt;0)*(11-JP_Farbe)))),IF(COUNTIF(Feiertage,DATE(Planungsjahr,7,AZ63))&gt;0,"h",IF(COUNTIFS(U_Von,"&lt;="&amp;DATE(Planungsjahr,7,AZ63),U_Bis,"&gt;="&amp;DATE(Planungsjahr,7,AZ63))&gt;0,"u",""))),"")</f>
      </c>
      <c r="BC64" s="223">
        <f>IF(ISNUMBER(BC63),IFERROR(11-1/(1/SUMPRODUCT(MAX((JP_StartSel=DATE(Planungsjahr,7,BC63))*Anzeige_S*((JP_Anzeige=TRUE)+NOT(Filter_Aktiv)&gt;0)*(11-JP_Farbe)))),IF(COUNTIF(Feiertage,DATE(Planungsjahr,7,BC63))&gt;0,"h",IF(COUNTIFS(U_Von,"&lt;="&amp;DATE(Planungsjahr,7,BC63),U_Bis,"&gt;="&amp;DATE(Planungsjahr,7,BC63))&gt;0,"u",""))),"")</f>
      </c>
      <c r="BD64" s="224">
        <f>IF(ISNUMBER(BC63),IFERROR(21-1/(1/SUMPRODUCT(MAX((JP_StartInhalt=DATE(Planungsjahr,7,BC63))*Anzeige_I*((JP_Anzeige=TRUE)+NOT(Filter_Aktiv)&gt;0)*(11-JP_Farbe)))),IF(COUNTIF(Feiertage,DATE(Planungsjahr,7,BC63))&gt;0,"h",IF(COUNTIFS(U_Von,"&lt;="&amp;DATE(Planungsjahr,7,BC63),U_Bis,"&gt;="&amp;DATE(Planungsjahr,7,BC63))&gt;0,"u",""))),"")</f>
      </c>
      <c r="BE64" s="225">
        <f>IF(ISNUMBER(BC63),IFERROR(31-1/(1/SUMPRODUCT(MAX((JP_PAL=DATE(Planungsjahr,7,BC63))*Anzeige_P*((JP_Anzeige=TRUE)+NOT(Filter_Aktiv)&gt;0)*(11-JP_Farbe)))),IF(COUNTIF(Feiertage,DATE(Planungsjahr,7,BC63))&gt;0,"h",IF(COUNTIFS(U_Von,"&lt;="&amp;DATE(Planungsjahr,7,BC63),U_Bis,"&gt;="&amp;DATE(Planungsjahr,7,BC63))&gt;0,"u",""))),"")</f>
      </c>
      <c r="BF64" s="223">
        <f>IF(ISNUMBER(BF63),IFERROR(11-1/(1/SUMPRODUCT(MAX((JP_StartSel=DATE(Planungsjahr,7,BF63))*Anzeige_S*((JP_Anzeige=TRUE)+NOT(Filter_Aktiv)&gt;0)*(11-JP_Farbe)))),IF(COUNTIF(Feiertage,DATE(Planungsjahr,7,BF63))&gt;0,"h",IF(COUNTIFS(U_Von,"&lt;="&amp;DATE(Planungsjahr,7,BF63),U_Bis,"&gt;="&amp;DATE(Planungsjahr,7,BF63))&gt;0,"u",""))),"")</f>
      </c>
      <c r="BG64" s="224">
        <f>IF(ISNUMBER(BF63),IFERROR(21-1/(1/SUMPRODUCT(MAX((JP_StartInhalt=DATE(Planungsjahr,7,BF63))*Anzeige_I*((JP_Anzeige=TRUE)+NOT(Filter_Aktiv)&gt;0)*(11-JP_Farbe)))),IF(COUNTIF(Feiertage,DATE(Planungsjahr,7,BF63))&gt;0,"h",IF(COUNTIFS(U_Von,"&lt;="&amp;DATE(Planungsjahr,7,BF63),U_Bis,"&gt;="&amp;DATE(Planungsjahr,7,BF63))&gt;0,"u",""))),"")</f>
      </c>
      <c r="BH64" s="225">
        <f>IF(ISNUMBER(BF63),IFERROR(31-1/(1/SUMPRODUCT(MAX((JP_PAL=DATE(Planungsjahr,7,BF63))*Anzeige_P*((JP_Anzeige=TRUE)+NOT(Filter_Aktiv)&gt;0)*(11-JP_Farbe)))),IF(COUNTIF(Feiertage,DATE(Planungsjahr,7,BF63))&gt;0,"h",IF(COUNTIFS(U_Von,"&lt;="&amp;DATE(Planungsjahr,7,BF63),U_Bis,"&gt;="&amp;DATE(Planungsjahr,7,BF63))&gt;0,"u",""))),"")</f>
      </c>
      <c r="BI64" s="223">
        <f>IF(ISNUMBER(BI63),IFERROR(11-1/(1/SUMPRODUCT(MAX((JP_StartSel=DATE(Planungsjahr,7,BI63))*Anzeige_S*((JP_Anzeige=TRUE)+NOT(Filter_Aktiv)&gt;0)*(11-JP_Farbe)))),IF(COUNTIF(Feiertage,DATE(Planungsjahr,7,BI63))&gt;0,"h",IF(COUNTIFS(U_Von,"&lt;="&amp;DATE(Planungsjahr,7,BI63),U_Bis,"&gt;="&amp;DATE(Planungsjahr,7,BI63))&gt;0,"u",""))),"")</f>
      </c>
      <c r="BJ64" s="224">
        <f>IF(ISNUMBER(BI63),IFERROR(21-1/(1/SUMPRODUCT(MAX((JP_StartInhalt=DATE(Planungsjahr,7,BI63))*Anzeige_I*((JP_Anzeige=TRUE)+NOT(Filter_Aktiv)&gt;0)*(11-JP_Farbe)))),IF(COUNTIF(Feiertage,DATE(Planungsjahr,7,BI63))&gt;0,"h",IF(COUNTIFS(U_Von,"&lt;="&amp;DATE(Planungsjahr,7,BI63),U_Bis,"&gt;="&amp;DATE(Planungsjahr,7,BI63))&gt;0,"u",""))),"")</f>
      </c>
      <c r="BK64" s="225">
        <f>IF(ISNUMBER(BI63),IFERROR(31-1/(1/SUMPRODUCT(MAX((JP_PAL=DATE(Planungsjahr,7,BI63))*Anzeige_P*((JP_Anzeige=TRUE)+NOT(Filter_Aktiv)&gt;0)*(11-JP_Farbe)))),IF(COUNTIF(Feiertage,DATE(Planungsjahr,7,BI63))&gt;0,"h",IF(COUNTIFS(U_Von,"&lt;="&amp;DATE(Planungsjahr,7,BI63),U_Bis,"&gt;="&amp;DATE(Planungsjahr,7,BI63))&gt;0,"u",""))),"")</f>
      </c>
      <c r="BL64" s="223">
        <f>IF(ISNUMBER(BL63),IFERROR(11-1/(1/SUMPRODUCT(MAX((JP_StartSel=DATE(Planungsjahr,7,BL63))*Anzeige_S*((JP_Anzeige=TRUE)+NOT(Filter_Aktiv)&gt;0)*(11-JP_Farbe)))),IF(COUNTIF(Feiertage,DATE(Planungsjahr,7,BL63))&gt;0,"h","w")),"")</f>
      </c>
      <c r="BM64" s="224">
        <f>IF(ISNUMBER(BL63),IFERROR(21-1/(1/SUMPRODUCT(MAX((JP_StartInhalt=DATE(Planungsjahr,7,BL63))*Anzeige_I*((JP_Anzeige=TRUE)+NOT(Filter_Aktiv)&gt;0)*(11-JP_Farbe)))),IF(COUNTIF(Feiertage,DATE(Planungsjahr,7,BL63))&gt;0,"h","w")),"")</f>
      </c>
      <c r="BN64" s="225">
        <f>IF(ISNUMBER(BL63),IFERROR(31-1/(1/SUMPRODUCT(MAX((JP_PAL=DATE(Planungsjahr,7,BL63))*Anzeige_P*((JP_Anzeige=TRUE)+NOT(Filter_Aktiv)&gt;0)*(11-JP_Farbe)))),IF(COUNTIF(Feiertage,DATE(Planungsjahr,7,BL63))&gt;0,"h","w")),"")</f>
      </c>
      <c r="BO64" s="223">
        <f>IF(ISNUMBER(BO63),IFERROR(11-1/(1/SUMPRODUCT(MAX((JP_StartSel=DATE(Planungsjahr,7,BO63))*Anzeige_S*((JP_Anzeige=TRUE)+NOT(Filter_Aktiv)&gt;0)*(11-JP_Farbe)))),IF(COUNTIF(Feiertage,DATE(Planungsjahr,7,BO63))&gt;0,"h","w")),"")</f>
      </c>
      <c r="BP64" s="224">
        <f>IF(ISNUMBER(BO63),IFERROR(21-1/(1/SUMPRODUCT(MAX((JP_StartInhalt=DATE(Planungsjahr,7,BO63))*Anzeige_I*((JP_Anzeige=TRUE)+NOT(Filter_Aktiv)&gt;0)*(11-JP_Farbe)))),IF(COUNTIF(Feiertage,DATE(Planungsjahr,7,BO63))&gt;0,"h","w")),"")</f>
      </c>
      <c r="BQ64" s="225">
        <f>IF(ISNUMBER(BO63),IFERROR(31-1/(1/SUMPRODUCT(MAX((JP_PAL=DATE(Planungsjahr,7,BO63))*Anzeige_P*((JP_Anzeige=TRUE)+NOT(Filter_Aktiv)&gt;0)*(11-JP_Farbe)))),IF(COUNTIF(Feiertage,DATE(Planungsjahr,7,BO63))&gt;0,"h","w")),"")</f>
      </c>
      <c r="BS64" s="179"/>
      <c r="BT64" s="223">
        <f>IF(ISNUMBER(BT63),IFERROR(11-1/(1/SUMPRODUCT(MAX((JP_StartSel=DATE(Planungsjahr,8,BT63))*Anzeige_S*((JP_Anzeige=TRUE)+NOT(Filter_Aktiv)&gt;0)*(11-JP_Farbe)))),IF(COUNTIF(Feiertage,DATE(Planungsjahr,8,BT63))&gt;0,"h",IF(COUNTIFS(U_Von,"&lt;="&amp;DATE(Planungsjahr,8,BT63),U_Bis,"&gt;="&amp;DATE(Planungsjahr,8,BT63))&gt;0,"u",""))),"")</f>
      </c>
      <c r="BU64" s="224">
        <f>IF(ISNUMBER(BT63),IFERROR(21-1/(1/SUMPRODUCT(MAX((JP_StartInhalt=DATE(Planungsjahr,8,BT63))*Anzeige_I*((JP_Anzeige=TRUE)+NOT(Filter_Aktiv)&gt;0)*(11-JP_Farbe)))),IF(COUNTIF(Feiertage,DATE(Planungsjahr,8,BT63))&gt;0,"h",IF(COUNTIFS(U_Von,"&lt;="&amp;DATE(Planungsjahr,8,BT63),U_Bis,"&gt;="&amp;DATE(Planungsjahr,8,BT63))&gt;0,"u",""))),"")</f>
      </c>
      <c r="BV64" s="225">
        <f>IF(ISNUMBER(BT63),IFERROR(31-1/(1/SUMPRODUCT(MAX((JP_PAL=DATE(Planungsjahr,8,BT63))*Anzeige_P*((JP_Anzeige=TRUE)+NOT(Filter_Aktiv)&gt;0)*(11-JP_Farbe)))),IF(COUNTIF(Feiertage,DATE(Planungsjahr,8,BT63))&gt;0,"h",IF(COUNTIFS(U_Von,"&lt;="&amp;DATE(Planungsjahr,8,BT63),U_Bis,"&gt;="&amp;DATE(Planungsjahr,8,BT63))&gt;0,"u",""))),"")</f>
      </c>
      <c r="BW64" s="223">
        <f>IF(ISNUMBER(BW63),IFERROR(11-1/(1/SUMPRODUCT(MAX((JP_StartSel=DATE(Planungsjahr,8,BW63))*Anzeige_S*((JP_Anzeige=TRUE)+NOT(Filter_Aktiv)&gt;0)*(11-JP_Farbe)))),IF(COUNTIF(Feiertage,DATE(Planungsjahr,8,BW63))&gt;0,"h",IF(COUNTIFS(U_Von,"&lt;="&amp;DATE(Planungsjahr,8,BW63),U_Bis,"&gt;="&amp;DATE(Planungsjahr,8,BW63))&gt;0,"u",""))),"")</f>
      </c>
      <c r="BX64" s="224">
        <f>IF(ISNUMBER(BW63),IFERROR(21-1/(1/SUMPRODUCT(MAX((JP_StartInhalt=DATE(Planungsjahr,8,BW63))*Anzeige_I*((JP_Anzeige=TRUE)+NOT(Filter_Aktiv)&gt;0)*(11-JP_Farbe)))),IF(COUNTIF(Feiertage,DATE(Planungsjahr,8,BW63))&gt;0,"h",IF(COUNTIFS(U_Von,"&lt;="&amp;DATE(Planungsjahr,8,BW63),U_Bis,"&gt;="&amp;DATE(Planungsjahr,8,BW63))&gt;0,"u",""))),"")</f>
      </c>
      <c r="BY64" s="225">
        <f>IF(ISNUMBER(BW63),IFERROR(31-1/(1/SUMPRODUCT(MAX((JP_PAL=DATE(Planungsjahr,8,BW63))*Anzeige_P*((JP_Anzeige=TRUE)+NOT(Filter_Aktiv)&gt;0)*(11-JP_Farbe)))),IF(COUNTIF(Feiertage,DATE(Planungsjahr,8,BW63))&gt;0,"h",IF(COUNTIFS(U_Von,"&lt;="&amp;DATE(Planungsjahr,8,BW63),U_Bis,"&gt;="&amp;DATE(Planungsjahr,8,BW63))&gt;0,"u",""))),"")</f>
      </c>
      <c r="BZ64" s="223">
        <f>IF(ISNUMBER(BZ63),IFERROR(11-1/(1/SUMPRODUCT(MAX((JP_StartSel=DATE(Planungsjahr,8,BZ63))*Anzeige_S*((JP_Anzeige=TRUE)+NOT(Filter_Aktiv)&gt;0)*(11-JP_Farbe)))),IF(COUNTIF(Feiertage,DATE(Planungsjahr,8,BZ63))&gt;0,"h",IF(COUNTIFS(U_Von,"&lt;="&amp;DATE(Planungsjahr,8,BZ63),U_Bis,"&gt;="&amp;DATE(Planungsjahr,8,BZ63))&gt;0,"u",""))),"")</f>
      </c>
      <c r="CA64" s="224">
        <f>IF(ISNUMBER(BZ63),IFERROR(21-1/(1/SUMPRODUCT(MAX((JP_StartInhalt=DATE(Planungsjahr,8,BZ63))*Anzeige_I*((JP_Anzeige=TRUE)+NOT(Filter_Aktiv)&gt;0)*(11-JP_Farbe)))),IF(COUNTIF(Feiertage,DATE(Planungsjahr,8,BZ63))&gt;0,"h",IF(COUNTIFS(U_Von,"&lt;="&amp;DATE(Planungsjahr,8,BZ63),U_Bis,"&gt;="&amp;DATE(Planungsjahr,8,BZ63))&gt;0,"u",""))),"")</f>
      </c>
      <c r="CB64" s="225">
        <f>IF(ISNUMBER(BZ63),IFERROR(31-1/(1/SUMPRODUCT(MAX((JP_PAL=DATE(Planungsjahr,8,BZ63))*Anzeige_P*((JP_Anzeige=TRUE)+NOT(Filter_Aktiv)&gt;0)*(11-JP_Farbe)))),IF(COUNTIF(Feiertage,DATE(Planungsjahr,8,BZ63))&gt;0,"h",IF(COUNTIFS(U_Von,"&lt;="&amp;DATE(Planungsjahr,8,BZ63),U_Bis,"&gt;="&amp;DATE(Planungsjahr,8,BZ63))&gt;0,"u",""))),"")</f>
      </c>
      <c r="CC64" s="223">
        <f>IF(ISNUMBER(CC63),IFERROR(11-1/(1/SUMPRODUCT(MAX((JP_StartSel=DATE(Planungsjahr,8,CC63))*Anzeige_S*((JP_Anzeige=TRUE)+NOT(Filter_Aktiv)&gt;0)*(11-JP_Farbe)))),IF(COUNTIF(Feiertage,DATE(Planungsjahr,8,CC63))&gt;0,"h",IF(COUNTIFS(U_Von,"&lt;="&amp;DATE(Planungsjahr,8,CC63),U_Bis,"&gt;="&amp;DATE(Planungsjahr,8,CC63))&gt;0,"u",""))),"")</f>
      </c>
      <c r="CD64" s="224">
        <f>IF(ISNUMBER(CC63),IFERROR(21-1/(1/SUMPRODUCT(MAX((JP_StartInhalt=DATE(Planungsjahr,8,CC63))*Anzeige_I*((JP_Anzeige=TRUE)+NOT(Filter_Aktiv)&gt;0)*(11-JP_Farbe)))),IF(COUNTIF(Feiertage,DATE(Planungsjahr,8,CC63))&gt;0,"h",IF(COUNTIFS(U_Von,"&lt;="&amp;DATE(Planungsjahr,8,CC63),U_Bis,"&gt;="&amp;DATE(Planungsjahr,8,CC63))&gt;0,"u",""))),"")</f>
      </c>
      <c r="CE64" s="225">
        <f>IF(ISNUMBER(CC63),IFERROR(31-1/(1/SUMPRODUCT(MAX((JP_PAL=DATE(Planungsjahr,8,CC63))*Anzeige_P*((JP_Anzeige=TRUE)+NOT(Filter_Aktiv)&gt;0)*(11-JP_Farbe)))),IF(COUNTIF(Feiertage,DATE(Planungsjahr,8,CC63))&gt;0,"h",IF(COUNTIFS(U_Von,"&lt;="&amp;DATE(Planungsjahr,8,CC63),U_Bis,"&gt;="&amp;DATE(Planungsjahr,8,CC63))&gt;0,"u",""))),"")</f>
      </c>
      <c r="CF64" s="223">
        <f>IF(ISNUMBER(CF63),IFERROR(11-1/(1/SUMPRODUCT(MAX((JP_StartSel=DATE(Planungsjahr,8,CF63))*Anzeige_S*((JP_Anzeige=TRUE)+NOT(Filter_Aktiv)&gt;0)*(11-JP_Farbe)))),IF(COUNTIF(Feiertage,DATE(Planungsjahr,8,CF63))&gt;0,"h",IF(COUNTIFS(U_Von,"&lt;="&amp;DATE(Planungsjahr,8,CF63),U_Bis,"&gt;="&amp;DATE(Planungsjahr,8,CF63))&gt;0,"u",""))),"")</f>
      </c>
      <c r="CG64" s="224">
        <f>IF(ISNUMBER(CF63),IFERROR(21-1/(1/SUMPRODUCT(MAX((JP_StartInhalt=DATE(Planungsjahr,8,CF63))*Anzeige_I*((JP_Anzeige=TRUE)+NOT(Filter_Aktiv)&gt;0)*(11-JP_Farbe)))),IF(COUNTIF(Feiertage,DATE(Planungsjahr,8,CF63))&gt;0,"h",IF(COUNTIFS(U_Von,"&lt;="&amp;DATE(Planungsjahr,8,CF63),U_Bis,"&gt;="&amp;DATE(Planungsjahr,8,CF63))&gt;0,"u",""))),"")</f>
      </c>
      <c r="CH64" s="225">
        <f>IF(ISNUMBER(CF63),IFERROR(31-1/(1/SUMPRODUCT(MAX((JP_PAL=DATE(Planungsjahr,8,CF63))*Anzeige_P*((JP_Anzeige=TRUE)+NOT(Filter_Aktiv)&gt;0)*(11-JP_Farbe)))),IF(COUNTIF(Feiertage,DATE(Planungsjahr,8,CF63))&gt;0,"h",IF(COUNTIFS(U_Von,"&lt;="&amp;DATE(Planungsjahr,8,CF63),U_Bis,"&gt;="&amp;DATE(Planungsjahr,8,CF63))&gt;0,"u",""))),"")</f>
      </c>
      <c r="CI64" s="223">
        <f>IF(ISNUMBER(CI63),IFERROR(11-1/(1/SUMPRODUCT(MAX((JP_StartSel=DATE(Planungsjahr,8,CI63))*Anzeige_S*((JP_Anzeige=TRUE)+NOT(Filter_Aktiv)&gt;0)*(11-JP_Farbe)))),IF(COUNTIF(Feiertage,DATE(Planungsjahr,8,CI63))&gt;0,"h","w")),"")</f>
      </c>
      <c r="CJ64" s="224">
        <f>IF(ISNUMBER(CI63),IFERROR(21-1/(1/SUMPRODUCT(MAX((JP_StartInhalt=DATE(Planungsjahr,8,CI63))*Anzeige_I*((JP_Anzeige=TRUE)+NOT(Filter_Aktiv)&gt;0)*(11-JP_Farbe)))),IF(COUNTIF(Feiertage,DATE(Planungsjahr,8,CI63))&gt;0,"h","w")),"")</f>
      </c>
      <c r="CK64" s="225">
        <f>IF(ISNUMBER(CI63),IFERROR(31-1/(1/SUMPRODUCT(MAX((JP_PAL=DATE(Planungsjahr,8,CI63))*Anzeige_P*((JP_Anzeige=TRUE)+NOT(Filter_Aktiv)&gt;0)*(11-JP_Farbe)))),IF(COUNTIF(Feiertage,DATE(Planungsjahr,8,CI63))&gt;0,"h","w")),"")</f>
      </c>
      <c r="CL64" s="223">
        <f>IF(ISNUMBER(CL63),IFERROR(11-1/(1/SUMPRODUCT(MAX((JP_StartSel=DATE(Planungsjahr,8,CL63))*Anzeige_S*((JP_Anzeige=TRUE)+NOT(Filter_Aktiv)&gt;0)*(11-JP_Farbe)))),IF(COUNTIF(Feiertage,DATE(Planungsjahr,8,CL63))&gt;0,"h","w")),"")</f>
      </c>
      <c r="CM64" s="224">
        <f>IF(ISNUMBER(CL63),IFERROR(21-1/(1/SUMPRODUCT(MAX((JP_StartInhalt=DATE(Planungsjahr,8,CL63))*Anzeige_I*((JP_Anzeige=TRUE)+NOT(Filter_Aktiv)&gt;0)*(11-JP_Farbe)))),IF(COUNTIF(Feiertage,DATE(Planungsjahr,8,CL63))&gt;0,"h","w")),"")</f>
      </c>
      <c r="CN64" s="225">
        <f>IF(ISNUMBER(CL63),IFERROR(31-1/(1/SUMPRODUCT(MAX((JP_PAL=DATE(Planungsjahr,8,CL63))*Anzeige_P*((JP_Anzeige=TRUE)+NOT(Filter_Aktiv)&gt;0)*(11-JP_Farbe)))),IF(COUNTIF(Feiertage,DATE(Planungsjahr,8,CL63))&gt;0,"h","w")),"")</f>
      </c>
    </row>
    <row r="65" spans="2:92" ht="15.95" customHeight="1" x14ac:dyDescent="0.25">
      <c r="B65" s="177">
        <f>IF(OR(ISNUMBER(C65),ISNUMBER(U65)),_xlfn.ISOWEEKNUM(DATE(Planungsjahr,5,1)-WEEKDAY(DATE(Planungsjahr,5,1),2)+8),"")</f>
        <v>18</v>
      </c>
      <c r="C65" s="188">
        <f>IF(MONTH(DATE(Planungsjahr,5,1)-WEEKDAY(DATE(Planungsjahr,5,1),2)+8)=5,DAY(DATE(Planungsjahr,5,1)-WEEKDAY(DATE(Planungsjahr,5,1),2)+8),"")</f>
        <v>3</v>
      </c>
      <c r="D65" s="188"/>
      <c r="E65" s="188"/>
      <c r="F65" s="188">
        <f>IF(MONTH(DATE(Planungsjahr,5,1)-WEEKDAY(DATE(Planungsjahr,5,1),2)+9)=5,DAY(DATE(Planungsjahr,5,1)-WEEKDAY(DATE(Planungsjahr,5,1),2)+9),"")</f>
        <v>4</v>
      </c>
      <c r="G65" s="188"/>
      <c r="H65" s="188"/>
      <c r="I65" s="188">
        <f>IF(MONTH(DATE(Planungsjahr,5,1)-WEEKDAY(DATE(Planungsjahr,5,1),2)+10)=5,DAY(DATE(Planungsjahr,5,1)-WEEKDAY(DATE(Planungsjahr,5,1),2)+10),"")</f>
        <v>5</v>
      </c>
      <c r="J65" s="188"/>
      <c r="K65" s="188"/>
      <c r="L65" s="188">
        <f>IF(MONTH(DATE(Planungsjahr,5,1)-WEEKDAY(DATE(Planungsjahr,5,1),2)+11)=5,DAY(DATE(Planungsjahr,5,1)-WEEKDAY(DATE(Planungsjahr,5,1),2)+11),"")</f>
        <v>6</v>
      </c>
      <c r="M65" s="188"/>
      <c r="N65" s="188"/>
      <c r="O65" s="188">
        <f>IF(MONTH(DATE(Planungsjahr,5,1)-WEEKDAY(DATE(Planungsjahr,5,1),2)+12)=5,DAY(DATE(Planungsjahr,5,1)-WEEKDAY(DATE(Planungsjahr,5,1),2)+12),"")</f>
        <v>7</v>
      </c>
      <c r="P65" s="188"/>
      <c r="Q65" s="188"/>
      <c r="R65" s="188">
        <f>IF(MONTH(DATE(Planungsjahr,5,1)-WEEKDAY(DATE(Planungsjahr,5,1),2)+13)=5,DAY(DATE(Planungsjahr,5,1)-WEEKDAY(DATE(Planungsjahr,5,1),2)+13),"")</f>
        <v>8</v>
      </c>
      <c r="S65" s="188"/>
      <c r="T65" s="188"/>
      <c r="U65" s="188">
        <f>IF(MONTH(DATE(Planungsjahr,5,1)-WEEKDAY(DATE(Planungsjahr,5,1),2)+14)=5,DAY(DATE(Planungsjahr,5,1)-WEEKDAY(DATE(Planungsjahr,5,1),2)+14),"")</f>
        <v>9</v>
      </c>
      <c r="V65" s="188"/>
      <c r="W65" s="190"/>
      <c r="Y65" s="177">
        <f>IF(OR(ISNUMBER(Z65),ISNUMBER(AR65)),_xlfn.ISOWEEKNUM(DATE(Planungsjahr,6,1)-WEEKDAY(DATE(Planungsjahr,6,1),2)+8),"")</f>
        <v>23</v>
      </c>
      <c r="Z65" s="188">
        <f>IF(MONTH(DATE(Planungsjahr,6,1)-WEEKDAY(DATE(Planungsjahr,6,1),2)+8)=6,DAY(DATE(Planungsjahr,6,1)-WEEKDAY(DATE(Planungsjahr,6,1),2)+8),"")</f>
        <v>7</v>
      </c>
      <c r="AA65" s="188"/>
      <c r="AB65" s="188"/>
      <c r="AC65" s="188">
        <f>IF(MONTH(DATE(Planungsjahr,6,1)-WEEKDAY(DATE(Planungsjahr,6,1),2)+9)=6,DAY(DATE(Planungsjahr,6,1)-WEEKDAY(DATE(Planungsjahr,6,1),2)+9),"")</f>
        <v>8</v>
      </c>
      <c r="AD65" s="188"/>
      <c r="AE65" s="188"/>
      <c r="AF65" s="188">
        <f>IF(MONTH(DATE(Planungsjahr,6,1)-WEEKDAY(DATE(Planungsjahr,6,1),2)+10)=6,DAY(DATE(Planungsjahr,6,1)-WEEKDAY(DATE(Planungsjahr,6,1),2)+10),"")</f>
        <v>9</v>
      </c>
      <c r="AG65" s="188"/>
      <c r="AH65" s="188"/>
      <c r="AI65" s="188">
        <f>IF(MONTH(DATE(Planungsjahr,6,1)-WEEKDAY(DATE(Planungsjahr,6,1),2)+11)=6,DAY(DATE(Planungsjahr,6,1)-WEEKDAY(DATE(Planungsjahr,6,1),2)+11),"")</f>
        <v>10</v>
      </c>
      <c r="AJ65" s="188"/>
      <c r="AK65" s="188"/>
      <c r="AL65" s="188">
        <f>IF(MONTH(DATE(Planungsjahr,6,1)-WEEKDAY(DATE(Planungsjahr,6,1),2)+12)=6,DAY(DATE(Planungsjahr,6,1)-WEEKDAY(DATE(Planungsjahr,6,1),2)+12),"")</f>
        <v>11</v>
      </c>
      <c r="AM65" s="188"/>
      <c r="AN65" s="188"/>
      <c r="AO65" s="188">
        <f>IF(MONTH(DATE(Planungsjahr,6,1)-WEEKDAY(DATE(Planungsjahr,6,1),2)+13)=6,DAY(DATE(Planungsjahr,6,1)-WEEKDAY(DATE(Planungsjahr,6,1),2)+13),"")</f>
        <v>12</v>
      </c>
      <c r="AP65" s="188"/>
      <c r="AQ65" s="188"/>
      <c r="AR65" s="188">
        <f>IF(MONTH(DATE(Planungsjahr,6,1)-WEEKDAY(DATE(Planungsjahr,6,1),2)+14)=6,DAY(DATE(Planungsjahr,6,1)-WEEKDAY(DATE(Planungsjahr,6,1),2)+14),"")</f>
        <v>13</v>
      </c>
      <c r="AS65" s="188"/>
      <c r="AT65" s="190"/>
      <c r="AV65" s="177">
        <f>IF(OR(ISNUMBER(AW65),ISNUMBER(BO65)),_xlfn.ISOWEEKNUM(DATE(Planungsjahr,7,1)-WEEKDAY(DATE(Planungsjahr,7,1),2)+8),"")</f>
        <v>27</v>
      </c>
      <c r="AW65" s="188">
        <f>IF(MONTH(DATE(Planungsjahr,7,1)-WEEKDAY(DATE(Planungsjahr,7,1),2)+8)=7,DAY(DATE(Planungsjahr,7,1)-WEEKDAY(DATE(Planungsjahr,7,1),2)+8),"")</f>
        <v>5</v>
      </c>
      <c r="AX65" s="188"/>
      <c r="AY65" s="188"/>
      <c r="AZ65" s="188">
        <f>IF(MONTH(DATE(Planungsjahr,7,1)-WEEKDAY(DATE(Planungsjahr,7,1),2)+9)=7,DAY(DATE(Planungsjahr,7,1)-WEEKDAY(DATE(Planungsjahr,7,1),2)+9),"")</f>
        <v>6</v>
      </c>
      <c r="BA65" s="188"/>
      <c r="BB65" s="188"/>
      <c r="BC65" s="188">
        <f>IF(MONTH(DATE(Planungsjahr,7,1)-WEEKDAY(DATE(Planungsjahr,7,1),2)+10)=7,DAY(DATE(Planungsjahr,7,1)-WEEKDAY(DATE(Planungsjahr,7,1),2)+10),"")</f>
        <v>7</v>
      </c>
      <c r="BD65" s="188"/>
      <c r="BE65" s="188"/>
      <c r="BF65" s="188">
        <f>IF(MONTH(DATE(Planungsjahr,7,1)-WEEKDAY(DATE(Planungsjahr,7,1),2)+11)=7,DAY(DATE(Planungsjahr,7,1)-WEEKDAY(DATE(Planungsjahr,7,1),2)+11),"")</f>
        <v>8</v>
      </c>
      <c r="BG65" s="188"/>
      <c r="BH65" s="188"/>
      <c r="BI65" s="188">
        <f>IF(MONTH(DATE(Planungsjahr,7,1)-WEEKDAY(DATE(Planungsjahr,7,1),2)+12)=7,DAY(DATE(Planungsjahr,7,1)-WEEKDAY(DATE(Planungsjahr,7,1),2)+12),"")</f>
        <v>9</v>
      </c>
      <c r="BJ65" s="188"/>
      <c r="BK65" s="188"/>
      <c r="BL65" s="188">
        <f>IF(MONTH(DATE(Planungsjahr,7,1)-WEEKDAY(DATE(Planungsjahr,7,1),2)+13)=7,DAY(DATE(Planungsjahr,7,1)-WEEKDAY(DATE(Planungsjahr,7,1),2)+13),"")</f>
        <v>10</v>
      </c>
      <c r="BM65" s="188"/>
      <c r="BN65" s="188"/>
      <c r="BO65" s="188">
        <f>IF(MONTH(DATE(Planungsjahr,7,1)-WEEKDAY(DATE(Planungsjahr,7,1),2)+14)=7,DAY(DATE(Planungsjahr,7,1)-WEEKDAY(DATE(Planungsjahr,7,1),2)+14),"")</f>
        <v>11</v>
      </c>
      <c r="BP65" s="188"/>
      <c r="BQ65" s="190"/>
      <c r="BS65" s="177">
        <f>IF(OR(ISNUMBER(BT65),ISNUMBER(CL65)),_xlfn.ISOWEEKNUM(DATE(Planungsjahr,8,1)-WEEKDAY(DATE(Planungsjahr,8,1),2)+8),"")</f>
        <v>31</v>
      </c>
      <c r="BT65" s="188">
        <f>IF(MONTH(DATE(Planungsjahr,8,1)-WEEKDAY(DATE(Planungsjahr,8,1),2)+8)=8,DAY(DATE(Planungsjahr,8,1)-WEEKDAY(DATE(Planungsjahr,8,1),2)+8),"")</f>
        <v>2</v>
      </c>
      <c r="BU65" s="188"/>
      <c r="BV65" s="188"/>
      <c r="BW65" s="188">
        <f>IF(MONTH(DATE(Planungsjahr,8,1)-WEEKDAY(DATE(Planungsjahr,8,1),2)+9)=8,DAY(DATE(Planungsjahr,8,1)-WEEKDAY(DATE(Planungsjahr,8,1),2)+9),"")</f>
        <v>3</v>
      </c>
      <c r="BX65" s="188"/>
      <c r="BY65" s="188"/>
      <c r="BZ65" s="188">
        <f>IF(MONTH(DATE(Planungsjahr,8,1)-WEEKDAY(DATE(Planungsjahr,8,1),2)+10)=8,DAY(DATE(Planungsjahr,8,1)-WEEKDAY(DATE(Planungsjahr,8,1),2)+10),"")</f>
        <v>4</v>
      </c>
      <c r="CA65" s="188"/>
      <c r="CB65" s="188"/>
      <c r="CC65" s="188">
        <f>IF(MONTH(DATE(Planungsjahr,8,1)-WEEKDAY(DATE(Planungsjahr,8,1),2)+11)=8,DAY(DATE(Planungsjahr,8,1)-WEEKDAY(DATE(Planungsjahr,8,1),2)+11),"")</f>
        <v>5</v>
      </c>
      <c r="CD65" s="188"/>
      <c r="CE65" s="188"/>
      <c r="CF65" s="188">
        <f>IF(MONTH(DATE(Planungsjahr,8,1)-WEEKDAY(DATE(Planungsjahr,8,1),2)+12)=8,DAY(DATE(Planungsjahr,8,1)-WEEKDAY(DATE(Planungsjahr,8,1),2)+12),"")</f>
        <v>6</v>
      </c>
      <c r="CG65" s="188"/>
      <c r="CH65" s="188"/>
      <c r="CI65" s="188">
        <f>IF(MONTH(DATE(Planungsjahr,8,1)-WEEKDAY(DATE(Planungsjahr,8,1),2)+13)=8,DAY(DATE(Planungsjahr,8,1)-WEEKDAY(DATE(Planungsjahr,8,1),2)+13),"")</f>
        <v>7</v>
      </c>
      <c r="CJ65" s="188"/>
      <c r="CK65" s="188"/>
      <c r="CL65" s="188">
        <f>IF(MONTH(DATE(Planungsjahr,8,1)-WEEKDAY(DATE(Planungsjahr,8,1),2)+14)=8,DAY(DATE(Planungsjahr,8,1)-WEEKDAY(DATE(Planungsjahr,8,1),2)+14),"")</f>
        <v>8</v>
      </c>
      <c r="CM65" s="188"/>
      <c r="CN65" s="190"/>
    </row>
    <row r="66" spans="2:92" ht="10.5" customHeight="1" x14ac:dyDescent="0.25">
      <c r="B66" s="179"/>
      <c r="C66" s="223">
        <f>IF(ISNUMBER(C65),IFERROR(11-1/(1/SUMPRODUCT(MAX((JP_StartSel=DATE(Planungsjahr,5,C65))*Anzeige_S*((JP_Anzeige=TRUE)+NOT(Filter_Aktiv)&gt;0)*(11-JP_Farbe)))),IF(COUNTIF(Feiertage,DATE(Planungsjahr,5,C65))&gt;0,"h",IF(COUNTIFS(U_Von,"&lt;="&amp;DATE(Planungsjahr,5,C65),U_Bis,"&gt;="&amp;DATE(Planungsjahr,5,C65))&gt;0,"u",""))),"")</f>
      </c>
      <c r="D66" s="224">
        <f>IF(ISNUMBER(C65),IFERROR(21-1/(1/SUMPRODUCT(MAX((JP_StartInhalt=DATE(Planungsjahr,5,C65))*Anzeige_I*((JP_Anzeige=TRUE)+NOT(Filter_Aktiv)&gt;0)*(11-JP_Farbe)))),IF(COUNTIF(Feiertage,DATE(Planungsjahr,5,C65))&gt;0,"h",IF(COUNTIFS(U_Von,"&lt;="&amp;DATE(Planungsjahr,5,C65),U_Bis,"&gt;="&amp;DATE(Planungsjahr,5,C65))&gt;0,"u",""))),"")</f>
      </c>
      <c r="E66" s="225">
        <f>IF(ISNUMBER(C65),IFERROR(31-1/(1/SUMPRODUCT(MAX((JP_PAL=DATE(Planungsjahr,5,C65))*Anzeige_P*((JP_Anzeige=TRUE)+NOT(Filter_Aktiv)&gt;0)*(11-JP_Farbe)))),IF(COUNTIF(Feiertage,DATE(Planungsjahr,5,C65))&gt;0,"h",IF(COUNTIFS(U_Von,"&lt;="&amp;DATE(Planungsjahr,5,C65),U_Bis,"&gt;="&amp;DATE(Planungsjahr,5,C65))&gt;0,"u",""))),"")</f>
      </c>
      <c r="F66" s="223">
        <f>IF(ISNUMBER(F65),IFERROR(11-1/(1/SUMPRODUCT(MAX((JP_StartSel=DATE(Planungsjahr,5,F65))*Anzeige_S*((JP_Anzeige=TRUE)+NOT(Filter_Aktiv)&gt;0)*(11-JP_Farbe)))),IF(COUNTIF(Feiertage,DATE(Planungsjahr,5,F65))&gt;0,"h",IF(COUNTIFS(U_Von,"&lt;="&amp;DATE(Planungsjahr,5,F65),U_Bis,"&gt;="&amp;DATE(Planungsjahr,5,F65))&gt;0,"u",""))),"")</f>
      </c>
      <c r="G66" s="224">
        <f>IF(ISNUMBER(F65),IFERROR(21-1/(1/SUMPRODUCT(MAX((JP_StartInhalt=DATE(Planungsjahr,5,F65))*Anzeige_I*((JP_Anzeige=TRUE)+NOT(Filter_Aktiv)&gt;0)*(11-JP_Farbe)))),IF(COUNTIF(Feiertage,DATE(Planungsjahr,5,F65))&gt;0,"h",IF(COUNTIFS(U_Von,"&lt;="&amp;DATE(Planungsjahr,5,F65),U_Bis,"&gt;="&amp;DATE(Planungsjahr,5,F65))&gt;0,"u",""))),"")</f>
      </c>
      <c r="H66" s="225">
        <f>IF(ISNUMBER(F65),IFERROR(31-1/(1/SUMPRODUCT(MAX((JP_PAL=DATE(Planungsjahr,5,F65))*Anzeige_P*((JP_Anzeige=TRUE)+NOT(Filter_Aktiv)&gt;0)*(11-JP_Farbe)))),IF(COUNTIF(Feiertage,DATE(Planungsjahr,5,F65))&gt;0,"h",IF(COUNTIFS(U_Von,"&lt;="&amp;DATE(Planungsjahr,5,F65),U_Bis,"&gt;="&amp;DATE(Planungsjahr,5,F65))&gt;0,"u",""))),"")</f>
      </c>
      <c r="I66" s="223">
        <f>IF(ISNUMBER(I65),IFERROR(11-1/(1/SUMPRODUCT(MAX((JP_StartSel=DATE(Planungsjahr,5,I65))*Anzeige_S*((JP_Anzeige=TRUE)+NOT(Filter_Aktiv)&gt;0)*(11-JP_Farbe)))),IF(COUNTIF(Feiertage,DATE(Planungsjahr,5,I65))&gt;0,"h",IF(COUNTIFS(U_Von,"&lt;="&amp;DATE(Planungsjahr,5,I65),U_Bis,"&gt;="&amp;DATE(Planungsjahr,5,I65))&gt;0,"u",""))),"")</f>
      </c>
      <c r="J66" s="224">
        <f>IF(ISNUMBER(I65),IFERROR(21-1/(1/SUMPRODUCT(MAX((JP_StartInhalt=DATE(Planungsjahr,5,I65))*Anzeige_I*((JP_Anzeige=TRUE)+NOT(Filter_Aktiv)&gt;0)*(11-JP_Farbe)))),IF(COUNTIF(Feiertage,DATE(Planungsjahr,5,I65))&gt;0,"h",IF(COUNTIFS(U_Von,"&lt;="&amp;DATE(Planungsjahr,5,I65),U_Bis,"&gt;="&amp;DATE(Planungsjahr,5,I65))&gt;0,"u",""))),"")</f>
      </c>
      <c r="K66" s="225">
        <f>IF(ISNUMBER(I65),IFERROR(31-1/(1/SUMPRODUCT(MAX((JP_PAL=DATE(Planungsjahr,5,I65))*Anzeige_P*((JP_Anzeige=TRUE)+NOT(Filter_Aktiv)&gt;0)*(11-JP_Farbe)))),IF(COUNTIF(Feiertage,DATE(Planungsjahr,5,I65))&gt;0,"h",IF(COUNTIFS(U_Von,"&lt;="&amp;DATE(Planungsjahr,5,I65),U_Bis,"&gt;="&amp;DATE(Planungsjahr,5,I65))&gt;0,"u",""))),"")</f>
      </c>
      <c r="L66" s="223">
        <f>IF(ISNUMBER(L65),IFERROR(11-1/(1/SUMPRODUCT(MAX((JP_StartSel=DATE(Planungsjahr,5,L65))*Anzeige_S*((JP_Anzeige=TRUE)+NOT(Filter_Aktiv)&gt;0)*(11-JP_Farbe)))),IF(COUNTIF(Feiertage,DATE(Planungsjahr,5,L65))&gt;0,"h",IF(COUNTIFS(U_Von,"&lt;="&amp;DATE(Planungsjahr,5,L65),U_Bis,"&gt;="&amp;DATE(Planungsjahr,5,L65))&gt;0,"u",""))),"")</f>
      </c>
      <c r="M66" s="224">
        <f>IF(ISNUMBER(L65),IFERROR(21-1/(1/SUMPRODUCT(MAX((JP_StartInhalt=DATE(Planungsjahr,5,L65))*Anzeige_I*((JP_Anzeige=TRUE)+NOT(Filter_Aktiv)&gt;0)*(11-JP_Farbe)))),IF(COUNTIF(Feiertage,DATE(Planungsjahr,5,L65))&gt;0,"h",IF(COUNTIFS(U_Von,"&lt;="&amp;DATE(Planungsjahr,5,L65),U_Bis,"&gt;="&amp;DATE(Planungsjahr,5,L65))&gt;0,"u",""))),"")</f>
      </c>
      <c r="N66" s="225">
        <f>IF(ISNUMBER(L65),IFERROR(31-1/(1/SUMPRODUCT(MAX((JP_PAL=DATE(Planungsjahr,5,L65))*Anzeige_P*((JP_Anzeige=TRUE)+NOT(Filter_Aktiv)&gt;0)*(11-JP_Farbe)))),IF(COUNTIF(Feiertage,DATE(Planungsjahr,5,L65))&gt;0,"h",IF(COUNTIFS(U_Von,"&lt;="&amp;DATE(Planungsjahr,5,L65),U_Bis,"&gt;="&amp;DATE(Planungsjahr,5,L65))&gt;0,"u",""))),"")</f>
      </c>
      <c r="O66" s="223">
        <f>IF(ISNUMBER(O65),IFERROR(11-1/(1/SUMPRODUCT(MAX((JP_StartSel=DATE(Planungsjahr,5,O65))*Anzeige_S*((JP_Anzeige=TRUE)+NOT(Filter_Aktiv)&gt;0)*(11-JP_Farbe)))),IF(COUNTIF(Feiertage,DATE(Planungsjahr,5,O65))&gt;0,"h",IF(COUNTIFS(U_Von,"&lt;="&amp;DATE(Planungsjahr,5,O65),U_Bis,"&gt;="&amp;DATE(Planungsjahr,5,O65))&gt;0,"u",""))),"")</f>
      </c>
      <c r="P66" s="224">
        <f>IF(ISNUMBER(O65),IFERROR(21-1/(1/SUMPRODUCT(MAX((JP_StartInhalt=DATE(Planungsjahr,5,O65))*Anzeige_I*((JP_Anzeige=TRUE)+NOT(Filter_Aktiv)&gt;0)*(11-JP_Farbe)))),IF(COUNTIF(Feiertage,DATE(Planungsjahr,5,O65))&gt;0,"h",IF(COUNTIFS(U_Von,"&lt;="&amp;DATE(Planungsjahr,5,O65),U_Bis,"&gt;="&amp;DATE(Planungsjahr,5,O65))&gt;0,"u",""))),"")</f>
      </c>
      <c r="Q66" s="225">
        <f>IF(ISNUMBER(O65),IFERROR(31-1/(1/SUMPRODUCT(MAX((JP_PAL=DATE(Planungsjahr,5,O65))*Anzeige_P*((JP_Anzeige=TRUE)+NOT(Filter_Aktiv)&gt;0)*(11-JP_Farbe)))),IF(COUNTIF(Feiertage,DATE(Planungsjahr,5,O65))&gt;0,"h",IF(COUNTIFS(U_Von,"&lt;="&amp;DATE(Planungsjahr,5,O65),U_Bis,"&gt;="&amp;DATE(Planungsjahr,5,O65))&gt;0,"u",""))),"")</f>
      </c>
      <c r="R66" s="223">
        <f>IF(ISNUMBER(R65),IFERROR(11-1/(1/SUMPRODUCT(MAX((JP_StartSel=DATE(Planungsjahr,5,R65))*Anzeige_S*((JP_Anzeige=TRUE)+NOT(Filter_Aktiv)&gt;0)*(11-JP_Farbe)))),IF(COUNTIF(Feiertage,DATE(Planungsjahr,5,R65))&gt;0,"h","w")),"")</f>
      </c>
      <c r="S66" s="224">
        <f>IF(ISNUMBER(R65),IFERROR(21-1/(1/SUMPRODUCT(MAX((JP_StartInhalt=DATE(Planungsjahr,5,R65))*Anzeige_I*((JP_Anzeige=TRUE)+NOT(Filter_Aktiv)&gt;0)*(11-JP_Farbe)))),IF(COUNTIF(Feiertage,DATE(Planungsjahr,5,R65))&gt;0,"h","w")),"")</f>
      </c>
      <c r="T66" s="225">
        <f>IF(ISNUMBER(R65),IFERROR(31-1/(1/SUMPRODUCT(MAX((JP_PAL=DATE(Planungsjahr,5,R65))*Anzeige_P*((JP_Anzeige=TRUE)+NOT(Filter_Aktiv)&gt;0)*(11-JP_Farbe)))),IF(COUNTIF(Feiertage,DATE(Planungsjahr,5,R65))&gt;0,"h","w")),"")</f>
      </c>
      <c r="U66" s="223">
        <f>IF(ISNUMBER(U65),IFERROR(11-1/(1/SUMPRODUCT(MAX((JP_StartSel=DATE(Planungsjahr,5,U65))*Anzeige_S*((JP_Anzeige=TRUE)+NOT(Filter_Aktiv)&gt;0)*(11-JP_Farbe)))),IF(COUNTIF(Feiertage,DATE(Planungsjahr,5,U65))&gt;0,"h","w")),"")</f>
      </c>
      <c r="V66" s="224">
        <f>IF(ISNUMBER(U65),IFERROR(21-1/(1/SUMPRODUCT(MAX((JP_StartInhalt=DATE(Planungsjahr,5,U65))*Anzeige_I*((JP_Anzeige=TRUE)+NOT(Filter_Aktiv)&gt;0)*(11-JP_Farbe)))),IF(COUNTIF(Feiertage,DATE(Planungsjahr,5,U65))&gt;0,"h","w")),"")</f>
      </c>
      <c r="W66" s="225">
        <f>IF(ISNUMBER(U65),IFERROR(31-1/(1/SUMPRODUCT(MAX((JP_PAL=DATE(Planungsjahr,5,U65))*Anzeige_P*((JP_Anzeige=TRUE)+NOT(Filter_Aktiv)&gt;0)*(11-JP_Farbe)))),IF(COUNTIF(Feiertage,DATE(Planungsjahr,5,U65))&gt;0,"h","w")),"")</f>
      </c>
      <c r="Y66" s="179"/>
      <c r="Z66" s="223">
        <f>IF(ISNUMBER(Z65),IFERROR(11-1/(1/SUMPRODUCT(MAX((JP_StartSel=DATE(Planungsjahr,6,Z65))*Anzeige_S*((JP_Anzeige=TRUE)+NOT(Filter_Aktiv)&gt;0)*(11-JP_Farbe)))),IF(COUNTIF(Feiertage,DATE(Planungsjahr,6,Z65))&gt;0,"h",IF(COUNTIFS(U_Von,"&lt;="&amp;DATE(Planungsjahr,6,Z65),U_Bis,"&gt;="&amp;DATE(Planungsjahr,6,Z65))&gt;0,"u",""))),"")</f>
      </c>
      <c r="AA66" s="224">
        <f>IF(ISNUMBER(Z65),IFERROR(21-1/(1/SUMPRODUCT(MAX((JP_StartInhalt=DATE(Planungsjahr,6,Z65))*Anzeige_I*((JP_Anzeige=TRUE)+NOT(Filter_Aktiv)&gt;0)*(11-JP_Farbe)))),IF(COUNTIF(Feiertage,DATE(Planungsjahr,6,Z65))&gt;0,"h",IF(COUNTIFS(U_Von,"&lt;="&amp;DATE(Planungsjahr,6,Z65),U_Bis,"&gt;="&amp;DATE(Planungsjahr,6,Z65))&gt;0,"u",""))),"")</f>
      </c>
      <c r="AB66" s="225">
        <f>IF(ISNUMBER(Z65),IFERROR(31-1/(1/SUMPRODUCT(MAX((JP_PAL=DATE(Planungsjahr,6,Z65))*Anzeige_P*((JP_Anzeige=TRUE)+NOT(Filter_Aktiv)&gt;0)*(11-JP_Farbe)))),IF(COUNTIF(Feiertage,DATE(Planungsjahr,6,Z65))&gt;0,"h",IF(COUNTIFS(U_Von,"&lt;="&amp;DATE(Planungsjahr,6,Z65),U_Bis,"&gt;="&amp;DATE(Planungsjahr,6,Z65))&gt;0,"u",""))),"")</f>
      </c>
      <c r="AC66" s="223">
        <f>IF(ISNUMBER(AC65),IFERROR(11-1/(1/SUMPRODUCT(MAX((JP_StartSel=DATE(Planungsjahr,6,AC65))*Anzeige_S*((JP_Anzeige=TRUE)+NOT(Filter_Aktiv)&gt;0)*(11-JP_Farbe)))),IF(COUNTIF(Feiertage,DATE(Planungsjahr,6,AC65))&gt;0,"h",IF(COUNTIFS(U_Von,"&lt;="&amp;DATE(Planungsjahr,6,AC65),U_Bis,"&gt;="&amp;DATE(Planungsjahr,6,AC65))&gt;0,"u",""))),"")</f>
      </c>
      <c r="AD66" s="224">
        <f>IF(ISNUMBER(AC65),IFERROR(21-1/(1/SUMPRODUCT(MAX((JP_StartInhalt=DATE(Planungsjahr,6,AC65))*Anzeige_I*((JP_Anzeige=TRUE)+NOT(Filter_Aktiv)&gt;0)*(11-JP_Farbe)))),IF(COUNTIF(Feiertage,DATE(Planungsjahr,6,AC65))&gt;0,"h",IF(COUNTIFS(U_Von,"&lt;="&amp;DATE(Planungsjahr,6,AC65),U_Bis,"&gt;="&amp;DATE(Planungsjahr,6,AC65))&gt;0,"u",""))),"")</f>
      </c>
      <c r="AE66" s="225">
        <f>IF(ISNUMBER(AC65),IFERROR(31-1/(1/SUMPRODUCT(MAX((JP_PAL=DATE(Planungsjahr,6,AC65))*Anzeige_P*((JP_Anzeige=TRUE)+NOT(Filter_Aktiv)&gt;0)*(11-JP_Farbe)))),IF(COUNTIF(Feiertage,DATE(Planungsjahr,6,AC65))&gt;0,"h",IF(COUNTIFS(U_Von,"&lt;="&amp;DATE(Planungsjahr,6,AC65),U_Bis,"&gt;="&amp;DATE(Planungsjahr,6,AC65))&gt;0,"u",""))),"")</f>
      </c>
      <c r="AF66" s="223">
        <f>IF(ISNUMBER(AF65),IFERROR(11-1/(1/SUMPRODUCT(MAX((JP_StartSel=DATE(Planungsjahr,6,AF65))*Anzeige_S*((JP_Anzeige=TRUE)+NOT(Filter_Aktiv)&gt;0)*(11-JP_Farbe)))),IF(COUNTIF(Feiertage,DATE(Planungsjahr,6,AF65))&gt;0,"h",IF(COUNTIFS(U_Von,"&lt;="&amp;DATE(Planungsjahr,6,AF65),U_Bis,"&gt;="&amp;DATE(Planungsjahr,6,AF65))&gt;0,"u",""))),"")</f>
      </c>
      <c r="AG66" s="224">
        <f>IF(ISNUMBER(AF65),IFERROR(21-1/(1/SUMPRODUCT(MAX((JP_StartInhalt=DATE(Planungsjahr,6,AF65))*Anzeige_I*((JP_Anzeige=TRUE)+NOT(Filter_Aktiv)&gt;0)*(11-JP_Farbe)))),IF(COUNTIF(Feiertage,DATE(Planungsjahr,6,AF65))&gt;0,"h",IF(COUNTIFS(U_Von,"&lt;="&amp;DATE(Planungsjahr,6,AF65),U_Bis,"&gt;="&amp;DATE(Planungsjahr,6,AF65))&gt;0,"u",""))),"")</f>
      </c>
      <c r="AH66" s="225">
        <f>IF(ISNUMBER(AF65),IFERROR(31-1/(1/SUMPRODUCT(MAX((JP_PAL=DATE(Planungsjahr,6,AF65))*Anzeige_P*((JP_Anzeige=TRUE)+NOT(Filter_Aktiv)&gt;0)*(11-JP_Farbe)))),IF(COUNTIF(Feiertage,DATE(Planungsjahr,6,AF65))&gt;0,"h",IF(COUNTIFS(U_Von,"&lt;="&amp;DATE(Planungsjahr,6,AF65),U_Bis,"&gt;="&amp;DATE(Planungsjahr,6,AF65))&gt;0,"u",""))),"")</f>
      </c>
      <c r="AI66" s="223">
        <f>IF(ISNUMBER(AI65),IFERROR(11-1/(1/SUMPRODUCT(MAX((JP_StartSel=DATE(Planungsjahr,6,AI65))*Anzeige_S*((JP_Anzeige=TRUE)+NOT(Filter_Aktiv)&gt;0)*(11-JP_Farbe)))),IF(COUNTIF(Feiertage,DATE(Planungsjahr,6,AI65))&gt;0,"h",IF(COUNTIFS(U_Von,"&lt;="&amp;DATE(Planungsjahr,6,AI65),U_Bis,"&gt;="&amp;DATE(Planungsjahr,6,AI65))&gt;0,"u",""))),"")</f>
      </c>
      <c r="AJ66" s="224">
        <f>IF(ISNUMBER(AI65),IFERROR(21-1/(1/SUMPRODUCT(MAX((JP_StartInhalt=DATE(Planungsjahr,6,AI65))*Anzeige_I*((JP_Anzeige=TRUE)+NOT(Filter_Aktiv)&gt;0)*(11-JP_Farbe)))),IF(COUNTIF(Feiertage,DATE(Planungsjahr,6,AI65))&gt;0,"h",IF(COUNTIFS(U_Von,"&lt;="&amp;DATE(Planungsjahr,6,AI65),U_Bis,"&gt;="&amp;DATE(Planungsjahr,6,AI65))&gt;0,"u",""))),"")</f>
      </c>
      <c r="AK66" s="225">
        <f>IF(ISNUMBER(AI65),IFERROR(31-1/(1/SUMPRODUCT(MAX((JP_PAL=DATE(Planungsjahr,6,AI65))*Anzeige_P*((JP_Anzeige=TRUE)+NOT(Filter_Aktiv)&gt;0)*(11-JP_Farbe)))),IF(COUNTIF(Feiertage,DATE(Planungsjahr,6,AI65))&gt;0,"h",IF(COUNTIFS(U_Von,"&lt;="&amp;DATE(Planungsjahr,6,AI65),U_Bis,"&gt;="&amp;DATE(Planungsjahr,6,AI65))&gt;0,"u",""))),"")</f>
      </c>
      <c r="AL66" s="223">
        <f>IF(ISNUMBER(AL65),IFERROR(11-1/(1/SUMPRODUCT(MAX((JP_StartSel=DATE(Planungsjahr,6,AL65))*Anzeige_S*((JP_Anzeige=TRUE)+NOT(Filter_Aktiv)&gt;0)*(11-JP_Farbe)))),IF(COUNTIF(Feiertage,DATE(Planungsjahr,6,AL65))&gt;0,"h",IF(COUNTIFS(U_Von,"&lt;="&amp;DATE(Planungsjahr,6,AL65),U_Bis,"&gt;="&amp;DATE(Planungsjahr,6,AL65))&gt;0,"u",""))),"")</f>
      </c>
      <c r="AM66" s="224">
        <f>IF(ISNUMBER(AL65),IFERROR(21-1/(1/SUMPRODUCT(MAX((JP_StartInhalt=DATE(Planungsjahr,6,AL65))*Anzeige_I*((JP_Anzeige=TRUE)+NOT(Filter_Aktiv)&gt;0)*(11-JP_Farbe)))),IF(COUNTIF(Feiertage,DATE(Planungsjahr,6,AL65))&gt;0,"h",IF(COUNTIFS(U_Von,"&lt;="&amp;DATE(Planungsjahr,6,AL65),U_Bis,"&gt;="&amp;DATE(Planungsjahr,6,AL65))&gt;0,"u",""))),"")</f>
      </c>
      <c r="AN66" s="225">
        <f>IF(ISNUMBER(AL65),IFERROR(31-1/(1/SUMPRODUCT(MAX((JP_PAL=DATE(Planungsjahr,6,AL65))*Anzeige_P*((JP_Anzeige=TRUE)+NOT(Filter_Aktiv)&gt;0)*(11-JP_Farbe)))),IF(COUNTIF(Feiertage,DATE(Planungsjahr,6,AL65))&gt;0,"h",IF(COUNTIFS(U_Von,"&lt;="&amp;DATE(Planungsjahr,6,AL65),U_Bis,"&gt;="&amp;DATE(Planungsjahr,6,AL65))&gt;0,"u",""))),"")</f>
      </c>
      <c r="AO66" s="223">
        <f>IF(ISNUMBER(AO65),IFERROR(11-1/(1/SUMPRODUCT(MAX((JP_StartSel=DATE(Planungsjahr,6,AO65))*Anzeige_S*((JP_Anzeige=TRUE)+NOT(Filter_Aktiv)&gt;0)*(11-JP_Farbe)))),IF(COUNTIF(Feiertage,DATE(Planungsjahr,6,AO65))&gt;0,"h","w")),"")</f>
      </c>
      <c r="AP66" s="224">
        <f>IF(ISNUMBER(AO65),IFERROR(21-1/(1/SUMPRODUCT(MAX((JP_StartInhalt=DATE(Planungsjahr,6,AO65))*Anzeige_I*((JP_Anzeige=TRUE)+NOT(Filter_Aktiv)&gt;0)*(11-JP_Farbe)))),IF(COUNTIF(Feiertage,DATE(Planungsjahr,6,AO65))&gt;0,"h","w")),"")</f>
      </c>
      <c r="AQ66" s="225">
        <f>IF(ISNUMBER(AO65),IFERROR(31-1/(1/SUMPRODUCT(MAX((JP_PAL=DATE(Planungsjahr,6,AO65))*Anzeige_P*((JP_Anzeige=TRUE)+NOT(Filter_Aktiv)&gt;0)*(11-JP_Farbe)))),IF(COUNTIF(Feiertage,DATE(Planungsjahr,6,AO65))&gt;0,"h","w")),"")</f>
      </c>
      <c r="AR66" s="223">
        <f>IF(ISNUMBER(AR65),IFERROR(11-1/(1/SUMPRODUCT(MAX((JP_StartSel=DATE(Planungsjahr,6,AR65))*Anzeige_S*((JP_Anzeige=TRUE)+NOT(Filter_Aktiv)&gt;0)*(11-JP_Farbe)))),IF(COUNTIF(Feiertage,DATE(Planungsjahr,6,AR65))&gt;0,"h","w")),"")</f>
      </c>
      <c r="AS66" s="224">
        <f>IF(ISNUMBER(AR65),IFERROR(21-1/(1/SUMPRODUCT(MAX((JP_StartInhalt=DATE(Planungsjahr,6,AR65))*Anzeige_I*((JP_Anzeige=TRUE)+NOT(Filter_Aktiv)&gt;0)*(11-JP_Farbe)))),IF(COUNTIF(Feiertage,DATE(Planungsjahr,6,AR65))&gt;0,"h","w")),"")</f>
      </c>
      <c r="AT66" s="225">
        <f>IF(ISNUMBER(AR65),IFERROR(31-1/(1/SUMPRODUCT(MAX((JP_PAL=DATE(Planungsjahr,6,AR65))*Anzeige_P*((JP_Anzeige=TRUE)+NOT(Filter_Aktiv)&gt;0)*(11-JP_Farbe)))),IF(COUNTIF(Feiertage,DATE(Planungsjahr,6,AR65))&gt;0,"h","w")),"")</f>
      </c>
      <c r="AV66" s="179"/>
      <c r="AW66" s="223">
        <f>IF(ISNUMBER(AW65),IFERROR(11-1/(1/SUMPRODUCT(MAX((JP_StartSel=DATE(Planungsjahr,7,AW65))*Anzeige_S*((JP_Anzeige=TRUE)+NOT(Filter_Aktiv)&gt;0)*(11-JP_Farbe)))),IF(COUNTIF(Feiertage,DATE(Planungsjahr,7,AW65))&gt;0,"h",IF(COUNTIFS(U_Von,"&lt;="&amp;DATE(Planungsjahr,7,AW65),U_Bis,"&gt;="&amp;DATE(Planungsjahr,7,AW65))&gt;0,"u",""))),"")</f>
      </c>
      <c r="AX66" s="224">
        <f>IF(ISNUMBER(AW65),IFERROR(21-1/(1/SUMPRODUCT(MAX((JP_StartInhalt=DATE(Planungsjahr,7,AW65))*Anzeige_I*((JP_Anzeige=TRUE)+NOT(Filter_Aktiv)&gt;0)*(11-JP_Farbe)))),IF(COUNTIF(Feiertage,DATE(Planungsjahr,7,AW65))&gt;0,"h",IF(COUNTIFS(U_Von,"&lt;="&amp;DATE(Planungsjahr,7,AW65),U_Bis,"&gt;="&amp;DATE(Planungsjahr,7,AW65))&gt;0,"u",""))),"")</f>
      </c>
      <c r="AY66" s="225">
        <f>IF(ISNUMBER(AW65),IFERROR(31-1/(1/SUMPRODUCT(MAX((JP_PAL=DATE(Planungsjahr,7,AW65))*Anzeige_P*((JP_Anzeige=TRUE)+NOT(Filter_Aktiv)&gt;0)*(11-JP_Farbe)))),IF(COUNTIF(Feiertage,DATE(Planungsjahr,7,AW65))&gt;0,"h",IF(COUNTIFS(U_Von,"&lt;="&amp;DATE(Planungsjahr,7,AW65),U_Bis,"&gt;="&amp;DATE(Planungsjahr,7,AW65))&gt;0,"u",""))),"")</f>
      </c>
      <c r="AZ66" s="223">
        <f>IF(ISNUMBER(AZ65),IFERROR(11-1/(1/SUMPRODUCT(MAX((JP_StartSel=DATE(Planungsjahr,7,AZ65))*Anzeige_S*((JP_Anzeige=TRUE)+NOT(Filter_Aktiv)&gt;0)*(11-JP_Farbe)))),IF(COUNTIF(Feiertage,DATE(Planungsjahr,7,AZ65))&gt;0,"h",IF(COUNTIFS(U_Von,"&lt;="&amp;DATE(Planungsjahr,7,AZ65),U_Bis,"&gt;="&amp;DATE(Planungsjahr,7,AZ65))&gt;0,"u",""))),"")</f>
      </c>
      <c r="BA66" s="224">
        <f>IF(ISNUMBER(AZ65),IFERROR(21-1/(1/SUMPRODUCT(MAX((JP_StartInhalt=DATE(Planungsjahr,7,AZ65))*Anzeige_I*((JP_Anzeige=TRUE)+NOT(Filter_Aktiv)&gt;0)*(11-JP_Farbe)))),IF(COUNTIF(Feiertage,DATE(Planungsjahr,7,AZ65))&gt;0,"h",IF(COUNTIFS(U_Von,"&lt;="&amp;DATE(Planungsjahr,7,AZ65),U_Bis,"&gt;="&amp;DATE(Planungsjahr,7,AZ65))&gt;0,"u",""))),"")</f>
      </c>
      <c r="BB66" s="225">
        <f>IF(ISNUMBER(AZ65),IFERROR(31-1/(1/SUMPRODUCT(MAX((JP_PAL=DATE(Planungsjahr,7,AZ65))*Anzeige_P*((JP_Anzeige=TRUE)+NOT(Filter_Aktiv)&gt;0)*(11-JP_Farbe)))),IF(COUNTIF(Feiertage,DATE(Planungsjahr,7,AZ65))&gt;0,"h",IF(COUNTIFS(U_Von,"&lt;="&amp;DATE(Planungsjahr,7,AZ65),U_Bis,"&gt;="&amp;DATE(Planungsjahr,7,AZ65))&gt;0,"u",""))),"")</f>
      </c>
      <c r="BC66" s="223">
        <f>IF(ISNUMBER(BC65),IFERROR(11-1/(1/SUMPRODUCT(MAX((JP_StartSel=DATE(Planungsjahr,7,BC65))*Anzeige_S*((JP_Anzeige=TRUE)+NOT(Filter_Aktiv)&gt;0)*(11-JP_Farbe)))),IF(COUNTIF(Feiertage,DATE(Planungsjahr,7,BC65))&gt;0,"h",IF(COUNTIFS(U_Von,"&lt;="&amp;DATE(Planungsjahr,7,BC65),U_Bis,"&gt;="&amp;DATE(Planungsjahr,7,BC65))&gt;0,"u",""))),"")</f>
      </c>
      <c r="BD66" s="224">
        <f>IF(ISNUMBER(BC65),IFERROR(21-1/(1/SUMPRODUCT(MAX((JP_StartInhalt=DATE(Planungsjahr,7,BC65))*Anzeige_I*((JP_Anzeige=TRUE)+NOT(Filter_Aktiv)&gt;0)*(11-JP_Farbe)))),IF(COUNTIF(Feiertage,DATE(Planungsjahr,7,BC65))&gt;0,"h",IF(COUNTIFS(U_Von,"&lt;="&amp;DATE(Planungsjahr,7,BC65),U_Bis,"&gt;="&amp;DATE(Planungsjahr,7,BC65))&gt;0,"u",""))),"")</f>
      </c>
      <c r="BE66" s="225">
        <f>IF(ISNUMBER(BC65),IFERROR(31-1/(1/SUMPRODUCT(MAX((JP_PAL=DATE(Planungsjahr,7,BC65))*Anzeige_P*((JP_Anzeige=TRUE)+NOT(Filter_Aktiv)&gt;0)*(11-JP_Farbe)))),IF(COUNTIF(Feiertage,DATE(Planungsjahr,7,BC65))&gt;0,"h",IF(COUNTIFS(U_Von,"&lt;="&amp;DATE(Planungsjahr,7,BC65),U_Bis,"&gt;="&amp;DATE(Planungsjahr,7,BC65))&gt;0,"u",""))),"")</f>
      </c>
      <c r="BF66" s="223">
        <f>IF(ISNUMBER(BF65),IFERROR(11-1/(1/SUMPRODUCT(MAX((JP_StartSel=DATE(Planungsjahr,7,BF65))*Anzeige_S*((JP_Anzeige=TRUE)+NOT(Filter_Aktiv)&gt;0)*(11-JP_Farbe)))),IF(COUNTIF(Feiertage,DATE(Planungsjahr,7,BF65))&gt;0,"h",IF(COUNTIFS(U_Von,"&lt;="&amp;DATE(Planungsjahr,7,BF65),U_Bis,"&gt;="&amp;DATE(Planungsjahr,7,BF65))&gt;0,"u",""))),"")</f>
      </c>
      <c r="BG66" s="224">
        <f>IF(ISNUMBER(BF65),IFERROR(21-1/(1/SUMPRODUCT(MAX((JP_StartInhalt=DATE(Planungsjahr,7,BF65))*Anzeige_I*((JP_Anzeige=TRUE)+NOT(Filter_Aktiv)&gt;0)*(11-JP_Farbe)))),IF(COUNTIF(Feiertage,DATE(Planungsjahr,7,BF65))&gt;0,"h",IF(COUNTIFS(U_Von,"&lt;="&amp;DATE(Planungsjahr,7,BF65),U_Bis,"&gt;="&amp;DATE(Planungsjahr,7,BF65))&gt;0,"u",""))),"")</f>
      </c>
      <c r="BH66" s="225">
        <f>IF(ISNUMBER(BF65),IFERROR(31-1/(1/SUMPRODUCT(MAX((JP_PAL=DATE(Planungsjahr,7,BF65))*Anzeige_P*((JP_Anzeige=TRUE)+NOT(Filter_Aktiv)&gt;0)*(11-JP_Farbe)))),IF(COUNTIF(Feiertage,DATE(Planungsjahr,7,BF65))&gt;0,"h",IF(COUNTIFS(U_Von,"&lt;="&amp;DATE(Planungsjahr,7,BF65),U_Bis,"&gt;="&amp;DATE(Planungsjahr,7,BF65))&gt;0,"u",""))),"")</f>
      </c>
      <c r="BI66" s="223">
        <f>IF(ISNUMBER(BI65),IFERROR(11-1/(1/SUMPRODUCT(MAX((JP_StartSel=DATE(Planungsjahr,7,BI65))*Anzeige_S*((JP_Anzeige=TRUE)+NOT(Filter_Aktiv)&gt;0)*(11-JP_Farbe)))),IF(COUNTIF(Feiertage,DATE(Planungsjahr,7,BI65))&gt;0,"h",IF(COUNTIFS(U_Von,"&lt;="&amp;DATE(Planungsjahr,7,BI65),U_Bis,"&gt;="&amp;DATE(Planungsjahr,7,BI65))&gt;0,"u",""))),"")</f>
      </c>
      <c r="BJ66" s="224">
        <f>IF(ISNUMBER(BI65),IFERROR(21-1/(1/SUMPRODUCT(MAX((JP_StartInhalt=DATE(Planungsjahr,7,BI65))*Anzeige_I*((JP_Anzeige=TRUE)+NOT(Filter_Aktiv)&gt;0)*(11-JP_Farbe)))),IF(COUNTIF(Feiertage,DATE(Planungsjahr,7,BI65))&gt;0,"h",IF(COUNTIFS(U_Von,"&lt;="&amp;DATE(Planungsjahr,7,BI65),U_Bis,"&gt;="&amp;DATE(Planungsjahr,7,BI65))&gt;0,"u",""))),"")</f>
      </c>
      <c r="BK66" s="225">
        <f>IF(ISNUMBER(BI65),IFERROR(31-1/(1/SUMPRODUCT(MAX((JP_PAL=DATE(Planungsjahr,7,BI65))*Anzeige_P*((JP_Anzeige=TRUE)+NOT(Filter_Aktiv)&gt;0)*(11-JP_Farbe)))),IF(COUNTIF(Feiertage,DATE(Planungsjahr,7,BI65))&gt;0,"h",IF(COUNTIFS(U_Von,"&lt;="&amp;DATE(Planungsjahr,7,BI65),U_Bis,"&gt;="&amp;DATE(Planungsjahr,7,BI65))&gt;0,"u",""))),"")</f>
      </c>
      <c r="BL66" s="223">
        <f>IF(ISNUMBER(BL65),IFERROR(11-1/(1/SUMPRODUCT(MAX((JP_StartSel=DATE(Planungsjahr,7,BL65))*Anzeige_S*((JP_Anzeige=TRUE)+NOT(Filter_Aktiv)&gt;0)*(11-JP_Farbe)))),IF(COUNTIF(Feiertage,DATE(Planungsjahr,7,BL65))&gt;0,"h","w")),"")</f>
      </c>
      <c r="BM66" s="224">
        <f>IF(ISNUMBER(BL65),IFERROR(21-1/(1/SUMPRODUCT(MAX((JP_StartInhalt=DATE(Planungsjahr,7,BL65))*Anzeige_I*((JP_Anzeige=TRUE)+NOT(Filter_Aktiv)&gt;0)*(11-JP_Farbe)))),IF(COUNTIF(Feiertage,DATE(Planungsjahr,7,BL65))&gt;0,"h","w")),"")</f>
      </c>
      <c r="BN66" s="225">
        <f>IF(ISNUMBER(BL65),IFERROR(31-1/(1/SUMPRODUCT(MAX((JP_PAL=DATE(Planungsjahr,7,BL65))*Anzeige_P*((JP_Anzeige=TRUE)+NOT(Filter_Aktiv)&gt;0)*(11-JP_Farbe)))),IF(COUNTIF(Feiertage,DATE(Planungsjahr,7,BL65))&gt;0,"h","w")),"")</f>
      </c>
      <c r="BO66" s="223">
        <f>IF(ISNUMBER(BO65),IFERROR(11-1/(1/SUMPRODUCT(MAX((JP_StartSel=DATE(Planungsjahr,7,BO65))*Anzeige_S*((JP_Anzeige=TRUE)+NOT(Filter_Aktiv)&gt;0)*(11-JP_Farbe)))),IF(COUNTIF(Feiertage,DATE(Planungsjahr,7,BO65))&gt;0,"h","w")),"")</f>
      </c>
      <c r="BP66" s="224">
        <f>IF(ISNUMBER(BO65),IFERROR(21-1/(1/SUMPRODUCT(MAX((JP_StartInhalt=DATE(Planungsjahr,7,BO65))*Anzeige_I*((JP_Anzeige=TRUE)+NOT(Filter_Aktiv)&gt;0)*(11-JP_Farbe)))),IF(COUNTIF(Feiertage,DATE(Planungsjahr,7,BO65))&gt;0,"h","w")),"")</f>
      </c>
      <c r="BQ66" s="225">
        <f>IF(ISNUMBER(BO65),IFERROR(31-1/(1/SUMPRODUCT(MAX((JP_PAL=DATE(Planungsjahr,7,BO65))*Anzeige_P*((JP_Anzeige=TRUE)+NOT(Filter_Aktiv)&gt;0)*(11-JP_Farbe)))),IF(COUNTIF(Feiertage,DATE(Planungsjahr,7,BO65))&gt;0,"h","w")),"")</f>
      </c>
      <c r="BS66" s="179"/>
      <c r="BT66" s="223">
        <f>IF(ISNUMBER(BT65),IFERROR(11-1/(1/SUMPRODUCT(MAX((JP_StartSel=DATE(Planungsjahr,8,BT65))*Anzeige_S*((JP_Anzeige=TRUE)+NOT(Filter_Aktiv)&gt;0)*(11-JP_Farbe)))),IF(COUNTIF(Feiertage,DATE(Planungsjahr,8,BT65))&gt;0,"h",IF(COUNTIFS(U_Von,"&lt;="&amp;DATE(Planungsjahr,8,BT65),U_Bis,"&gt;="&amp;DATE(Planungsjahr,8,BT65))&gt;0,"u",""))),"")</f>
      </c>
      <c r="BU66" s="224">
        <f>IF(ISNUMBER(BT65),IFERROR(21-1/(1/SUMPRODUCT(MAX((JP_StartInhalt=DATE(Planungsjahr,8,BT65))*Anzeige_I*((JP_Anzeige=TRUE)+NOT(Filter_Aktiv)&gt;0)*(11-JP_Farbe)))),IF(COUNTIF(Feiertage,DATE(Planungsjahr,8,BT65))&gt;0,"h",IF(COUNTIFS(U_Von,"&lt;="&amp;DATE(Planungsjahr,8,BT65),U_Bis,"&gt;="&amp;DATE(Planungsjahr,8,BT65))&gt;0,"u",""))),"")</f>
      </c>
      <c r="BV66" s="225">
        <f>IF(ISNUMBER(BT65),IFERROR(31-1/(1/SUMPRODUCT(MAX((JP_PAL=DATE(Planungsjahr,8,BT65))*Anzeige_P*((JP_Anzeige=TRUE)+NOT(Filter_Aktiv)&gt;0)*(11-JP_Farbe)))),IF(COUNTIF(Feiertage,DATE(Planungsjahr,8,BT65))&gt;0,"h",IF(COUNTIFS(U_Von,"&lt;="&amp;DATE(Planungsjahr,8,BT65),U_Bis,"&gt;="&amp;DATE(Planungsjahr,8,BT65))&gt;0,"u",""))),"")</f>
      </c>
      <c r="BW66" s="223">
        <f>IF(ISNUMBER(BW65),IFERROR(11-1/(1/SUMPRODUCT(MAX((JP_StartSel=DATE(Planungsjahr,8,BW65))*Anzeige_S*((JP_Anzeige=TRUE)+NOT(Filter_Aktiv)&gt;0)*(11-JP_Farbe)))),IF(COUNTIF(Feiertage,DATE(Planungsjahr,8,BW65))&gt;0,"h",IF(COUNTIFS(U_Von,"&lt;="&amp;DATE(Planungsjahr,8,BW65),U_Bis,"&gt;="&amp;DATE(Planungsjahr,8,BW65))&gt;0,"u",""))),"")</f>
      </c>
      <c r="BX66" s="224">
        <f>IF(ISNUMBER(BW65),IFERROR(21-1/(1/SUMPRODUCT(MAX((JP_StartInhalt=DATE(Planungsjahr,8,BW65))*Anzeige_I*((JP_Anzeige=TRUE)+NOT(Filter_Aktiv)&gt;0)*(11-JP_Farbe)))),IF(COUNTIF(Feiertage,DATE(Planungsjahr,8,BW65))&gt;0,"h",IF(COUNTIFS(U_Von,"&lt;="&amp;DATE(Planungsjahr,8,BW65),U_Bis,"&gt;="&amp;DATE(Planungsjahr,8,BW65))&gt;0,"u",""))),"")</f>
      </c>
      <c r="BY66" s="225">
        <f>IF(ISNUMBER(BW65),IFERROR(31-1/(1/SUMPRODUCT(MAX((JP_PAL=DATE(Planungsjahr,8,BW65))*Anzeige_P*((JP_Anzeige=TRUE)+NOT(Filter_Aktiv)&gt;0)*(11-JP_Farbe)))),IF(COUNTIF(Feiertage,DATE(Planungsjahr,8,BW65))&gt;0,"h",IF(COUNTIFS(U_Von,"&lt;="&amp;DATE(Planungsjahr,8,BW65),U_Bis,"&gt;="&amp;DATE(Planungsjahr,8,BW65))&gt;0,"u",""))),"")</f>
      </c>
      <c r="BZ66" s="223">
        <f>IF(ISNUMBER(BZ65),IFERROR(11-1/(1/SUMPRODUCT(MAX((JP_StartSel=DATE(Planungsjahr,8,BZ65))*Anzeige_S*((JP_Anzeige=TRUE)+NOT(Filter_Aktiv)&gt;0)*(11-JP_Farbe)))),IF(COUNTIF(Feiertage,DATE(Planungsjahr,8,BZ65))&gt;0,"h",IF(COUNTIFS(U_Von,"&lt;="&amp;DATE(Planungsjahr,8,BZ65),U_Bis,"&gt;="&amp;DATE(Planungsjahr,8,BZ65))&gt;0,"u",""))),"")</f>
      </c>
      <c r="CA66" s="224">
        <f>IF(ISNUMBER(BZ65),IFERROR(21-1/(1/SUMPRODUCT(MAX((JP_StartInhalt=DATE(Planungsjahr,8,BZ65))*Anzeige_I*((JP_Anzeige=TRUE)+NOT(Filter_Aktiv)&gt;0)*(11-JP_Farbe)))),IF(COUNTIF(Feiertage,DATE(Planungsjahr,8,BZ65))&gt;0,"h",IF(COUNTIFS(U_Von,"&lt;="&amp;DATE(Planungsjahr,8,BZ65),U_Bis,"&gt;="&amp;DATE(Planungsjahr,8,BZ65))&gt;0,"u",""))),"")</f>
      </c>
      <c r="CB66" s="225">
        <f>IF(ISNUMBER(BZ65),IFERROR(31-1/(1/SUMPRODUCT(MAX((JP_PAL=DATE(Planungsjahr,8,BZ65))*Anzeige_P*((JP_Anzeige=TRUE)+NOT(Filter_Aktiv)&gt;0)*(11-JP_Farbe)))),IF(COUNTIF(Feiertage,DATE(Planungsjahr,8,BZ65))&gt;0,"h",IF(COUNTIFS(U_Von,"&lt;="&amp;DATE(Planungsjahr,8,BZ65),U_Bis,"&gt;="&amp;DATE(Planungsjahr,8,BZ65))&gt;0,"u",""))),"")</f>
      </c>
      <c r="CC66" s="223">
        <f>IF(ISNUMBER(CC65),IFERROR(11-1/(1/SUMPRODUCT(MAX((JP_StartSel=DATE(Planungsjahr,8,CC65))*Anzeige_S*((JP_Anzeige=TRUE)+NOT(Filter_Aktiv)&gt;0)*(11-JP_Farbe)))),IF(COUNTIF(Feiertage,DATE(Planungsjahr,8,CC65))&gt;0,"h",IF(COUNTIFS(U_Von,"&lt;="&amp;DATE(Planungsjahr,8,CC65),U_Bis,"&gt;="&amp;DATE(Planungsjahr,8,CC65))&gt;0,"u",""))),"")</f>
      </c>
      <c r="CD66" s="224">
        <f>IF(ISNUMBER(CC65),IFERROR(21-1/(1/SUMPRODUCT(MAX((JP_StartInhalt=DATE(Planungsjahr,8,CC65))*Anzeige_I*((JP_Anzeige=TRUE)+NOT(Filter_Aktiv)&gt;0)*(11-JP_Farbe)))),IF(COUNTIF(Feiertage,DATE(Planungsjahr,8,CC65))&gt;0,"h",IF(COUNTIFS(U_Von,"&lt;="&amp;DATE(Planungsjahr,8,CC65),U_Bis,"&gt;="&amp;DATE(Planungsjahr,8,CC65))&gt;0,"u",""))),"")</f>
      </c>
      <c r="CE66" s="225">
        <f>IF(ISNUMBER(CC65),IFERROR(31-1/(1/SUMPRODUCT(MAX((JP_PAL=DATE(Planungsjahr,8,CC65))*Anzeige_P*((JP_Anzeige=TRUE)+NOT(Filter_Aktiv)&gt;0)*(11-JP_Farbe)))),IF(COUNTIF(Feiertage,DATE(Planungsjahr,8,CC65))&gt;0,"h",IF(COUNTIFS(U_Von,"&lt;="&amp;DATE(Planungsjahr,8,CC65),U_Bis,"&gt;="&amp;DATE(Planungsjahr,8,CC65))&gt;0,"u",""))),"")</f>
      </c>
      <c r="CF66" s="223">
        <f>IF(ISNUMBER(CF65),IFERROR(11-1/(1/SUMPRODUCT(MAX((JP_StartSel=DATE(Planungsjahr,8,CF65))*Anzeige_S*((JP_Anzeige=TRUE)+NOT(Filter_Aktiv)&gt;0)*(11-JP_Farbe)))),IF(COUNTIF(Feiertage,DATE(Planungsjahr,8,CF65))&gt;0,"h",IF(COUNTIFS(U_Von,"&lt;="&amp;DATE(Planungsjahr,8,CF65),U_Bis,"&gt;="&amp;DATE(Planungsjahr,8,CF65))&gt;0,"u",""))),"")</f>
      </c>
      <c r="CG66" s="224">
        <f>IF(ISNUMBER(CF65),IFERROR(21-1/(1/SUMPRODUCT(MAX((JP_StartInhalt=DATE(Planungsjahr,8,CF65))*Anzeige_I*((JP_Anzeige=TRUE)+NOT(Filter_Aktiv)&gt;0)*(11-JP_Farbe)))),IF(COUNTIF(Feiertage,DATE(Planungsjahr,8,CF65))&gt;0,"h",IF(COUNTIFS(U_Von,"&lt;="&amp;DATE(Planungsjahr,8,CF65),U_Bis,"&gt;="&amp;DATE(Planungsjahr,8,CF65))&gt;0,"u",""))),"")</f>
      </c>
      <c r="CH66" s="225">
        <f>IF(ISNUMBER(CF65),IFERROR(31-1/(1/SUMPRODUCT(MAX((JP_PAL=DATE(Planungsjahr,8,CF65))*Anzeige_P*((JP_Anzeige=TRUE)+NOT(Filter_Aktiv)&gt;0)*(11-JP_Farbe)))),IF(COUNTIF(Feiertage,DATE(Planungsjahr,8,CF65))&gt;0,"h",IF(COUNTIFS(U_Von,"&lt;="&amp;DATE(Planungsjahr,8,CF65),U_Bis,"&gt;="&amp;DATE(Planungsjahr,8,CF65))&gt;0,"u",""))),"")</f>
      </c>
      <c r="CI66" s="223">
        <f>IF(ISNUMBER(CI65),IFERROR(11-1/(1/SUMPRODUCT(MAX((JP_StartSel=DATE(Planungsjahr,8,CI65))*Anzeige_S*((JP_Anzeige=TRUE)+NOT(Filter_Aktiv)&gt;0)*(11-JP_Farbe)))),IF(COUNTIF(Feiertage,DATE(Planungsjahr,8,CI65))&gt;0,"h","w")),"")</f>
      </c>
      <c r="CJ66" s="224">
        <f>IF(ISNUMBER(CI65),IFERROR(21-1/(1/SUMPRODUCT(MAX((JP_StartInhalt=DATE(Planungsjahr,8,CI65))*Anzeige_I*((JP_Anzeige=TRUE)+NOT(Filter_Aktiv)&gt;0)*(11-JP_Farbe)))),IF(COUNTIF(Feiertage,DATE(Planungsjahr,8,CI65))&gt;0,"h","w")),"")</f>
      </c>
      <c r="CK66" s="225">
        <f>IF(ISNUMBER(CI65),IFERROR(31-1/(1/SUMPRODUCT(MAX((JP_PAL=DATE(Planungsjahr,8,CI65))*Anzeige_P*((JP_Anzeige=TRUE)+NOT(Filter_Aktiv)&gt;0)*(11-JP_Farbe)))),IF(COUNTIF(Feiertage,DATE(Planungsjahr,8,CI65))&gt;0,"h","w")),"")</f>
      </c>
      <c r="CL66" s="223">
        <f>IF(ISNUMBER(CL65),IFERROR(11-1/(1/SUMPRODUCT(MAX((JP_StartSel=DATE(Planungsjahr,8,CL65))*Anzeige_S*((JP_Anzeige=TRUE)+NOT(Filter_Aktiv)&gt;0)*(11-JP_Farbe)))),IF(COUNTIF(Feiertage,DATE(Planungsjahr,8,CL65))&gt;0,"h","w")),"")</f>
      </c>
      <c r="CM66" s="224">
        <f>IF(ISNUMBER(CL65),IFERROR(21-1/(1/SUMPRODUCT(MAX((JP_StartInhalt=DATE(Planungsjahr,8,CL65))*Anzeige_I*((JP_Anzeige=TRUE)+NOT(Filter_Aktiv)&gt;0)*(11-JP_Farbe)))),IF(COUNTIF(Feiertage,DATE(Planungsjahr,8,CL65))&gt;0,"h","w")),"")</f>
      </c>
      <c r="CN66" s="225">
        <f>IF(ISNUMBER(CL65),IFERROR(31-1/(1/SUMPRODUCT(MAX((JP_PAL=DATE(Planungsjahr,8,CL65))*Anzeige_P*((JP_Anzeige=TRUE)+NOT(Filter_Aktiv)&gt;0)*(11-JP_Farbe)))),IF(COUNTIF(Feiertage,DATE(Planungsjahr,8,CL65))&gt;0,"h","w")),"")</f>
      </c>
    </row>
    <row r="67" spans="2:92" ht="15.95" customHeight="1" x14ac:dyDescent="0.25">
      <c r="B67" s="177">
        <f>IF(OR(ISNUMBER(C67),ISNUMBER(U67)),_xlfn.ISOWEEKNUM(DATE(Planungsjahr,5,1)-WEEKDAY(DATE(Planungsjahr,5,1),2)+15),"")</f>
        <v>19</v>
      </c>
      <c r="C67" s="188">
        <f>IF(MONTH(DATE(Planungsjahr,5,1)-WEEKDAY(DATE(Planungsjahr,5,1),2)+15)=5,DAY(DATE(Planungsjahr,5,1)-WEEKDAY(DATE(Planungsjahr,5,1),2)+15),"")</f>
        <v>10</v>
      </c>
      <c r="D67" s="188"/>
      <c r="E67" s="188"/>
      <c r="F67" s="188">
        <f>IF(MONTH(DATE(Planungsjahr,5,1)-WEEKDAY(DATE(Planungsjahr,5,1),2)+16)=5,DAY(DATE(Planungsjahr,5,1)-WEEKDAY(DATE(Planungsjahr,5,1),2)+16),"")</f>
        <v>11</v>
      </c>
      <c r="G67" s="188"/>
      <c r="H67" s="188"/>
      <c r="I67" s="188">
        <f>IF(MONTH(DATE(Planungsjahr,5,1)-WEEKDAY(DATE(Planungsjahr,5,1),2)+17)=5,DAY(DATE(Planungsjahr,5,1)-WEEKDAY(DATE(Planungsjahr,5,1),2)+17),"")</f>
        <v>12</v>
      </c>
      <c r="J67" s="188"/>
      <c r="K67" s="188"/>
      <c r="L67" s="188">
        <f>IF(MONTH(DATE(Planungsjahr,5,1)-WEEKDAY(DATE(Planungsjahr,5,1),2)+18)=5,DAY(DATE(Planungsjahr,5,1)-WEEKDAY(DATE(Planungsjahr,5,1),2)+18),"")</f>
        <v>13</v>
      </c>
      <c r="M67" s="188"/>
      <c r="N67" s="188"/>
      <c r="O67" s="188">
        <f>IF(MONTH(DATE(Planungsjahr,5,1)-WEEKDAY(DATE(Planungsjahr,5,1),2)+19)=5,DAY(DATE(Planungsjahr,5,1)-WEEKDAY(DATE(Planungsjahr,5,1),2)+19),"")</f>
        <v>14</v>
      </c>
      <c r="P67" s="188"/>
      <c r="Q67" s="188"/>
      <c r="R67" s="188">
        <f>IF(MONTH(DATE(Planungsjahr,5,1)-WEEKDAY(DATE(Planungsjahr,5,1),2)+20)=5,DAY(DATE(Planungsjahr,5,1)-WEEKDAY(DATE(Planungsjahr,5,1),2)+20),"")</f>
        <v>15</v>
      </c>
      <c r="S67" s="188"/>
      <c r="T67" s="188"/>
      <c r="U67" s="188">
        <f>IF(MONTH(DATE(Planungsjahr,5,1)-WEEKDAY(DATE(Planungsjahr,5,1),2)+21)=5,DAY(DATE(Planungsjahr,5,1)-WEEKDAY(DATE(Planungsjahr,5,1),2)+21),"")</f>
        <v>16</v>
      </c>
      <c r="V67" s="188"/>
      <c r="W67" s="190"/>
      <c r="Y67" s="177">
        <f>IF(OR(ISNUMBER(Z67),ISNUMBER(AR67)),_xlfn.ISOWEEKNUM(DATE(Planungsjahr,6,1)-WEEKDAY(DATE(Planungsjahr,6,1),2)+15),"")</f>
        <v>24</v>
      </c>
      <c r="Z67" s="188">
        <f>IF(MONTH(DATE(Planungsjahr,6,1)-WEEKDAY(DATE(Planungsjahr,6,1),2)+15)=6,DAY(DATE(Planungsjahr,6,1)-WEEKDAY(DATE(Planungsjahr,6,1),2)+15),"")</f>
        <v>14</v>
      </c>
      <c r="AA67" s="188"/>
      <c r="AB67" s="188"/>
      <c r="AC67" s="188">
        <f>IF(MONTH(DATE(Planungsjahr,6,1)-WEEKDAY(DATE(Planungsjahr,6,1),2)+16)=6,DAY(DATE(Planungsjahr,6,1)-WEEKDAY(DATE(Planungsjahr,6,1),2)+16),"")</f>
        <v>15</v>
      </c>
      <c r="AD67" s="188"/>
      <c r="AE67" s="188"/>
      <c r="AF67" s="188">
        <f>IF(MONTH(DATE(Planungsjahr,6,1)-WEEKDAY(DATE(Planungsjahr,6,1),2)+17)=6,DAY(DATE(Planungsjahr,6,1)-WEEKDAY(DATE(Planungsjahr,6,1),2)+17),"")</f>
        <v>16</v>
      </c>
      <c r="AG67" s="188"/>
      <c r="AH67" s="188"/>
      <c r="AI67" s="188">
        <f>IF(MONTH(DATE(Planungsjahr,6,1)-WEEKDAY(DATE(Planungsjahr,6,1),2)+18)=6,DAY(DATE(Planungsjahr,6,1)-WEEKDAY(DATE(Planungsjahr,6,1),2)+18),"")</f>
        <v>17</v>
      </c>
      <c r="AJ67" s="188"/>
      <c r="AK67" s="188"/>
      <c r="AL67" s="188">
        <f>IF(MONTH(DATE(Planungsjahr,6,1)-WEEKDAY(DATE(Planungsjahr,6,1),2)+19)=6,DAY(DATE(Planungsjahr,6,1)-WEEKDAY(DATE(Planungsjahr,6,1),2)+19),"")</f>
        <v>18</v>
      </c>
      <c r="AM67" s="188"/>
      <c r="AN67" s="188"/>
      <c r="AO67" s="188">
        <f>IF(MONTH(DATE(Planungsjahr,6,1)-WEEKDAY(DATE(Planungsjahr,6,1),2)+20)=6,DAY(DATE(Planungsjahr,6,1)-WEEKDAY(DATE(Planungsjahr,6,1),2)+20),"")</f>
        <v>19</v>
      </c>
      <c r="AP67" s="188"/>
      <c r="AQ67" s="188"/>
      <c r="AR67" s="188">
        <f>IF(MONTH(DATE(Planungsjahr,6,1)-WEEKDAY(DATE(Planungsjahr,6,1),2)+21)=6,DAY(DATE(Planungsjahr,6,1)-WEEKDAY(DATE(Planungsjahr,6,1),2)+21),"")</f>
        <v>20</v>
      </c>
      <c r="AS67" s="188"/>
      <c r="AT67" s="190"/>
      <c r="AV67" s="177">
        <f>IF(OR(ISNUMBER(AW67),ISNUMBER(BO67)),_xlfn.ISOWEEKNUM(DATE(Planungsjahr,7,1)-WEEKDAY(DATE(Planungsjahr,7,1),2)+15),"")</f>
        <v>28</v>
      </c>
      <c r="AW67" s="188">
        <f>IF(MONTH(DATE(Planungsjahr,7,1)-WEEKDAY(DATE(Planungsjahr,7,1),2)+15)=7,DAY(DATE(Planungsjahr,7,1)-WEEKDAY(DATE(Planungsjahr,7,1),2)+15),"")</f>
        <v>12</v>
      </c>
      <c r="AX67" s="188"/>
      <c r="AY67" s="188"/>
      <c r="AZ67" s="188">
        <f>IF(MONTH(DATE(Planungsjahr,7,1)-WEEKDAY(DATE(Planungsjahr,7,1),2)+16)=7,DAY(DATE(Planungsjahr,7,1)-WEEKDAY(DATE(Planungsjahr,7,1),2)+16),"")</f>
        <v>13</v>
      </c>
      <c r="BA67" s="188"/>
      <c r="BB67" s="188"/>
      <c r="BC67" s="188">
        <f>IF(MONTH(DATE(Planungsjahr,7,1)-WEEKDAY(DATE(Planungsjahr,7,1),2)+17)=7,DAY(DATE(Planungsjahr,7,1)-WEEKDAY(DATE(Planungsjahr,7,1),2)+17),"")</f>
        <v>14</v>
      </c>
      <c r="BD67" s="188"/>
      <c r="BE67" s="188"/>
      <c r="BF67" s="188">
        <f>IF(MONTH(DATE(Planungsjahr,7,1)-WEEKDAY(DATE(Planungsjahr,7,1),2)+18)=7,DAY(DATE(Planungsjahr,7,1)-WEEKDAY(DATE(Planungsjahr,7,1),2)+18),"")</f>
        <v>15</v>
      </c>
      <c r="BG67" s="188"/>
      <c r="BH67" s="188"/>
      <c r="BI67" s="188">
        <f>IF(MONTH(DATE(Planungsjahr,7,1)-WEEKDAY(DATE(Planungsjahr,7,1),2)+19)=7,DAY(DATE(Planungsjahr,7,1)-WEEKDAY(DATE(Planungsjahr,7,1),2)+19),"")</f>
        <v>16</v>
      </c>
      <c r="BJ67" s="188"/>
      <c r="BK67" s="188"/>
      <c r="BL67" s="188">
        <f>IF(MONTH(DATE(Planungsjahr,7,1)-WEEKDAY(DATE(Planungsjahr,7,1),2)+20)=7,DAY(DATE(Planungsjahr,7,1)-WEEKDAY(DATE(Planungsjahr,7,1),2)+20),"")</f>
        <v>17</v>
      </c>
      <c r="BM67" s="188"/>
      <c r="BN67" s="188"/>
      <c r="BO67" s="188">
        <f>IF(MONTH(DATE(Planungsjahr,7,1)-WEEKDAY(DATE(Planungsjahr,7,1),2)+21)=7,DAY(DATE(Planungsjahr,7,1)-WEEKDAY(DATE(Planungsjahr,7,1),2)+21),"")</f>
        <v>18</v>
      </c>
      <c r="BP67" s="188"/>
      <c r="BQ67" s="190"/>
      <c r="BS67" s="177">
        <f>IF(OR(ISNUMBER(BT67),ISNUMBER(CL67)),_xlfn.ISOWEEKNUM(DATE(Planungsjahr,8,1)-WEEKDAY(DATE(Planungsjahr,8,1),2)+15),"")</f>
        <v>32</v>
      </c>
      <c r="BT67" s="188">
        <f>IF(MONTH(DATE(Planungsjahr,8,1)-WEEKDAY(DATE(Planungsjahr,8,1),2)+15)=8,DAY(DATE(Planungsjahr,8,1)-WEEKDAY(DATE(Planungsjahr,8,1),2)+15),"")</f>
        <v>9</v>
      </c>
      <c r="BU67" s="188"/>
      <c r="BV67" s="188"/>
      <c r="BW67" s="188">
        <f>IF(MONTH(DATE(Planungsjahr,8,1)-WEEKDAY(DATE(Planungsjahr,8,1),2)+16)=8,DAY(DATE(Planungsjahr,8,1)-WEEKDAY(DATE(Planungsjahr,8,1),2)+16),"")</f>
        <v>10</v>
      </c>
      <c r="BX67" s="188"/>
      <c r="BY67" s="188"/>
      <c r="BZ67" s="188">
        <f>IF(MONTH(DATE(Planungsjahr,8,1)-WEEKDAY(DATE(Planungsjahr,8,1),2)+17)=8,DAY(DATE(Planungsjahr,8,1)-WEEKDAY(DATE(Planungsjahr,8,1),2)+17),"")</f>
        <v>11</v>
      </c>
      <c r="CA67" s="188"/>
      <c r="CB67" s="188"/>
      <c r="CC67" s="188">
        <f>IF(MONTH(DATE(Planungsjahr,8,1)-WEEKDAY(DATE(Planungsjahr,8,1),2)+18)=8,DAY(DATE(Planungsjahr,8,1)-WEEKDAY(DATE(Planungsjahr,8,1),2)+18),"")</f>
        <v>12</v>
      </c>
      <c r="CD67" s="188"/>
      <c r="CE67" s="188"/>
      <c r="CF67" s="188">
        <f>IF(MONTH(DATE(Planungsjahr,8,1)-WEEKDAY(DATE(Planungsjahr,8,1),2)+19)=8,DAY(DATE(Planungsjahr,8,1)-WEEKDAY(DATE(Planungsjahr,8,1),2)+19),"")</f>
        <v>13</v>
      </c>
      <c r="CG67" s="188"/>
      <c r="CH67" s="188"/>
      <c r="CI67" s="188">
        <f>IF(MONTH(DATE(Planungsjahr,8,1)-WEEKDAY(DATE(Planungsjahr,8,1),2)+20)=8,DAY(DATE(Planungsjahr,8,1)-WEEKDAY(DATE(Planungsjahr,8,1),2)+20),"")</f>
        <v>14</v>
      </c>
      <c r="CJ67" s="188"/>
      <c r="CK67" s="188"/>
      <c r="CL67" s="188">
        <f>IF(MONTH(DATE(Planungsjahr,8,1)-WEEKDAY(DATE(Planungsjahr,8,1),2)+21)=8,DAY(DATE(Planungsjahr,8,1)-WEEKDAY(DATE(Planungsjahr,8,1),2)+21),"")</f>
        <v>15</v>
      </c>
      <c r="CM67" s="188"/>
      <c r="CN67" s="190"/>
    </row>
    <row r="68" spans="2:92" ht="10.5" customHeight="1" x14ac:dyDescent="0.25">
      <c r="B68" s="179"/>
      <c r="C68" s="223">
        <f>IF(ISNUMBER(C67),IFERROR(11-1/(1/SUMPRODUCT(MAX((JP_StartSel=DATE(Planungsjahr,5,C67))*Anzeige_S*((JP_Anzeige=TRUE)+NOT(Filter_Aktiv)&gt;0)*(11-JP_Farbe)))),IF(COUNTIF(Feiertage,DATE(Planungsjahr,5,C67))&gt;0,"h",IF(COUNTIFS(U_Von,"&lt;="&amp;DATE(Planungsjahr,5,C67),U_Bis,"&gt;="&amp;DATE(Planungsjahr,5,C67))&gt;0,"u",""))),"")</f>
      </c>
      <c r="D68" s="224">
        <f>IF(ISNUMBER(C67),IFERROR(21-1/(1/SUMPRODUCT(MAX((JP_StartInhalt=DATE(Planungsjahr,5,C67))*Anzeige_I*((JP_Anzeige=TRUE)+NOT(Filter_Aktiv)&gt;0)*(11-JP_Farbe)))),IF(COUNTIF(Feiertage,DATE(Planungsjahr,5,C67))&gt;0,"h",IF(COUNTIFS(U_Von,"&lt;="&amp;DATE(Planungsjahr,5,C67),U_Bis,"&gt;="&amp;DATE(Planungsjahr,5,C67))&gt;0,"u",""))),"")</f>
      </c>
      <c r="E68" s="225">
        <f>IF(ISNUMBER(C67),IFERROR(31-1/(1/SUMPRODUCT(MAX((JP_PAL=DATE(Planungsjahr,5,C67))*Anzeige_P*((JP_Anzeige=TRUE)+NOT(Filter_Aktiv)&gt;0)*(11-JP_Farbe)))),IF(COUNTIF(Feiertage,DATE(Planungsjahr,5,C67))&gt;0,"h",IF(COUNTIFS(U_Von,"&lt;="&amp;DATE(Planungsjahr,5,C67),U_Bis,"&gt;="&amp;DATE(Planungsjahr,5,C67))&gt;0,"u",""))),"")</f>
      </c>
      <c r="F68" s="223">
        <f>IF(ISNUMBER(F67),IFERROR(11-1/(1/SUMPRODUCT(MAX((JP_StartSel=DATE(Planungsjahr,5,F67))*Anzeige_S*((JP_Anzeige=TRUE)+NOT(Filter_Aktiv)&gt;0)*(11-JP_Farbe)))),IF(COUNTIF(Feiertage,DATE(Planungsjahr,5,F67))&gt;0,"h",IF(COUNTIFS(U_Von,"&lt;="&amp;DATE(Planungsjahr,5,F67),U_Bis,"&gt;="&amp;DATE(Planungsjahr,5,F67))&gt;0,"u",""))),"")</f>
      </c>
      <c r="G68" s="224">
        <f>IF(ISNUMBER(F67),IFERROR(21-1/(1/SUMPRODUCT(MAX((JP_StartInhalt=DATE(Planungsjahr,5,F67))*Anzeige_I*((JP_Anzeige=TRUE)+NOT(Filter_Aktiv)&gt;0)*(11-JP_Farbe)))),IF(COUNTIF(Feiertage,DATE(Planungsjahr,5,F67))&gt;0,"h",IF(COUNTIFS(U_Von,"&lt;="&amp;DATE(Planungsjahr,5,F67),U_Bis,"&gt;="&amp;DATE(Planungsjahr,5,F67))&gt;0,"u",""))),"")</f>
      </c>
      <c r="H68" s="225">
        <f>IF(ISNUMBER(F67),IFERROR(31-1/(1/SUMPRODUCT(MAX((JP_PAL=DATE(Planungsjahr,5,F67))*Anzeige_P*((JP_Anzeige=TRUE)+NOT(Filter_Aktiv)&gt;0)*(11-JP_Farbe)))),IF(COUNTIF(Feiertage,DATE(Planungsjahr,5,F67))&gt;0,"h",IF(COUNTIFS(U_Von,"&lt;="&amp;DATE(Planungsjahr,5,F67),U_Bis,"&gt;="&amp;DATE(Planungsjahr,5,F67))&gt;0,"u",""))),"")</f>
      </c>
      <c r="I68" s="223">
        <f>IF(ISNUMBER(I67),IFERROR(11-1/(1/SUMPRODUCT(MAX((JP_StartSel=DATE(Planungsjahr,5,I67))*Anzeige_S*((JP_Anzeige=TRUE)+NOT(Filter_Aktiv)&gt;0)*(11-JP_Farbe)))),IF(COUNTIF(Feiertage,DATE(Planungsjahr,5,I67))&gt;0,"h",IF(COUNTIFS(U_Von,"&lt;="&amp;DATE(Planungsjahr,5,I67),U_Bis,"&gt;="&amp;DATE(Planungsjahr,5,I67))&gt;0,"u",""))),"")</f>
      </c>
      <c r="J68" s="224">
        <f>IF(ISNUMBER(I67),IFERROR(21-1/(1/SUMPRODUCT(MAX((JP_StartInhalt=DATE(Planungsjahr,5,I67))*Anzeige_I*((JP_Anzeige=TRUE)+NOT(Filter_Aktiv)&gt;0)*(11-JP_Farbe)))),IF(COUNTIF(Feiertage,DATE(Planungsjahr,5,I67))&gt;0,"h",IF(COUNTIFS(U_Von,"&lt;="&amp;DATE(Planungsjahr,5,I67),U_Bis,"&gt;="&amp;DATE(Planungsjahr,5,I67))&gt;0,"u",""))),"")</f>
      </c>
      <c r="K68" s="225">
        <f>IF(ISNUMBER(I67),IFERROR(31-1/(1/SUMPRODUCT(MAX((JP_PAL=DATE(Planungsjahr,5,I67))*Anzeige_P*((JP_Anzeige=TRUE)+NOT(Filter_Aktiv)&gt;0)*(11-JP_Farbe)))),IF(COUNTIF(Feiertage,DATE(Planungsjahr,5,I67))&gt;0,"h",IF(COUNTIFS(U_Von,"&lt;="&amp;DATE(Planungsjahr,5,I67),U_Bis,"&gt;="&amp;DATE(Planungsjahr,5,I67))&gt;0,"u",""))),"")</f>
      </c>
      <c r="L68" s="223">
        <f>IF(ISNUMBER(L67),IFERROR(11-1/(1/SUMPRODUCT(MAX((JP_StartSel=DATE(Planungsjahr,5,L67))*Anzeige_S*((JP_Anzeige=TRUE)+NOT(Filter_Aktiv)&gt;0)*(11-JP_Farbe)))),IF(COUNTIF(Feiertage,DATE(Planungsjahr,5,L67))&gt;0,"h",IF(COUNTIFS(U_Von,"&lt;="&amp;DATE(Planungsjahr,5,L67),U_Bis,"&gt;="&amp;DATE(Planungsjahr,5,L67))&gt;0,"u",""))),"")</f>
      </c>
      <c r="M68" s="224">
        <f>IF(ISNUMBER(L67),IFERROR(21-1/(1/SUMPRODUCT(MAX((JP_StartInhalt=DATE(Planungsjahr,5,L67))*Anzeige_I*((JP_Anzeige=TRUE)+NOT(Filter_Aktiv)&gt;0)*(11-JP_Farbe)))),IF(COUNTIF(Feiertage,DATE(Planungsjahr,5,L67))&gt;0,"h",IF(COUNTIFS(U_Von,"&lt;="&amp;DATE(Planungsjahr,5,L67),U_Bis,"&gt;="&amp;DATE(Planungsjahr,5,L67))&gt;0,"u",""))),"")</f>
      </c>
      <c r="N68" s="225">
        <f>IF(ISNUMBER(L67),IFERROR(31-1/(1/SUMPRODUCT(MAX((JP_PAL=DATE(Planungsjahr,5,L67))*Anzeige_P*((JP_Anzeige=TRUE)+NOT(Filter_Aktiv)&gt;0)*(11-JP_Farbe)))),IF(COUNTIF(Feiertage,DATE(Planungsjahr,5,L67))&gt;0,"h",IF(COUNTIFS(U_Von,"&lt;="&amp;DATE(Planungsjahr,5,L67),U_Bis,"&gt;="&amp;DATE(Planungsjahr,5,L67))&gt;0,"u",""))),"")</f>
      </c>
      <c r="O68" s="223">
        <f>IF(ISNUMBER(O67),IFERROR(11-1/(1/SUMPRODUCT(MAX((JP_StartSel=DATE(Planungsjahr,5,O67))*Anzeige_S*((JP_Anzeige=TRUE)+NOT(Filter_Aktiv)&gt;0)*(11-JP_Farbe)))),IF(COUNTIF(Feiertage,DATE(Planungsjahr,5,O67))&gt;0,"h",IF(COUNTIFS(U_Von,"&lt;="&amp;DATE(Planungsjahr,5,O67),U_Bis,"&gt;="&amp;DATE(Planungsjahr,5,O67))&gt;0,"u",""))),"")</f>
      </c>
      <c r="P68" s="224">
        <f>IF(ISNUMBER(O67),IFERROR(21-1/(1/SUMPRODUCT(MAX((JP_StartInhalt=DATE(Planungsjahr,5,O67))*Anzeige_I*((JP_Anzeige=TRUE)+NOT(Filter_Aktiv)&gt;0)*(11-JP_Farbe)))),IF(COUNTIF(Feiertage,DATE(Planungsjahr,5,O67))&gt;0,"h",IF(COUNTIFS(U_Von,"&lt;="&amp;DATE(Planungsjahr,5,O67),U_Bis,"&gt;="&amp;DATE(Planungsjahr,5,O67))&gt;0,"u",""))),"")</f>
      </c>
      <c r="Q68" s="225">
        <f>IF(ISNUMBER(O67),IFERROR(31-1/(1/SUMPRODUCT(MAX((JP_PAL=DATE(Planungsjahr,5,O67))*Anzeige_P*((JP_Anzeige=TRUE)+NOT(Filter_Aktiv)&gt;0)*(11-JP_Farbe)))),IF(COUNTIF(Feiertage,DATE(Planungsjahr,5,O67))&gt;0,"h",IF(COUNTIFS(U_Von,"&lt;="&amp;DATE(Planungsjahr,5,O67),U_Bis,"&gt;="&amp;DATE(Planungsjahr,5,O67))&gt;0,"u",""))),"")</f>
      </c>
      <c r="R68" s="223">
        <f>IF(ISNUMBER(R67),IFERROR(11-1/(1/SUMPRODUCT(MAX((JP_StartSel=DATE(Planungsjahr,5,R67))*Anzeige_S*((JP_Anzeige=TRUE)+NOT(Filter_Aktiv)&gt;0)*(11-JP_Farbe)))),IF(COUNTIF(Feiertage,DATE(Planungsjahr,5,R67))&gt;0,"h","w")),"")</f>
      </c>
      <c r="S68" s="224">
        <f>IF(ISNUMBER(R67),IFERROR(21-1/(1/SUMPRODUCT(MAX((JP_StartInhalt=DATE(Planungsjahr,5,R67))*Anzeige_I*((JP_Anzeige=TRUE)+NOT(Filter_Aktiv)&gt;0)*(11-JP_Farbe)))),IF(COUNTIF(Feiertage,DATE(Planungsjahr,5,R67))&gt;0,"h","w")),"")</f>
      </c>
      <c r="T68" s="225">
        <f>IF(ISNUMBER(R67),IFERROR(31-1/(1/SUMPRODUCT(MAX((JP_PAL=DATE(Planungsjahr,5,R67))*Anzeige_P*((JP_Anzeige=TRUE)+NOT(Filter_Aktiv)&gt;0)*(11-JP_Farbe)))),IF(COUNTIF(Feiertage,DATE(Planungsjahr,5,R67))&gt;0,"h","w")),"")</f>
      </c>
      <c r="U68" s="223">
        <f>IF(ISNUMBER(U67),IFERROR(11-1/(1/SUMPRODUCT(MAX((JP_StartSel=DATE(Planungsjahr,5,U67))*Anzeige_S*((JP_Anzeige=TRUE)+NOT(Filter_Aktiv)&gt;0)*(11-JP_Farbe)))),IF(COUNTIF(Feiertage,DATE(Planungsjahr,5,U67))&gt;0,"h","w")),"")</f>
      </c>
      <c r="V68" s="224">
        <f>IF(ISNUMBER(U67),IFERROR(21-1/(1/SUMPRODUCT(MAX((JP_StartInhalt=DATE(Planungsjahr,5,U67))*Anzeige_I*((JP_Anzeige=TRUE)+NOT(Filter_Aktiv)&gt;0)*(11-JP_Farbe)))),IF(COUNTIF(Feiertage,DATE(Planungsjahr,5,U67))&gt;0,"h","w")),"")</f>
      </c>
      <c r="W68" s="225">
        <f>IF(ISNUMBER(U67),IFERROR(31-1/(1/SUMPRODUCT(MAX((JP_PAL=DATE(Planungsjahr,5,U67))*Anzeige_P*((JP_Anzeige=TRUE)+NOT(Filter_Aktiv)&gt;0)*(11-JP_Farbe)))),IF(COUNTIF(Feiertage,DATE(Planungsjahr,5,U67))&gt;0,"h","w")),"")</f>
      </c>
      <c r="Y68" s="179"/>
      <c r="Z68" s="223">
        <f>IF(ISNUMBER(Z67),IFERROR(11-1/(1/SUMPRODUCT(MAX((JP_StartSel=DATE(Planungsjahr,6,Z67))*Anzeige_S*((JP_Anzeige=TRUE)+NOT(Filter_Aktiv)&gt;0)*(11-JP_Farbe)))),IF(COUNTIF(Feiertage,DATE(Planungsjahr,6,Z67))&gt;0,"h",IF(COUNTIFS(U_Von,"&lt;="&amp;DATE(Planungsjahr,6,Z67),U_Bis,"&gt;="&amp;DATE(Planungsjahr,6,Z67))&gt;0,"u",""))),"")</f>
      </c>
      <c r="AA68" s="224">
        <f>IF(ISNUMBER(Z67),IFERROR(21-1/(1/SUMPRODUCT(MAX((JP_StartInhalt=DATE(Planungsjahr,6,Z67))*Anzeige_I*((JP_Anzeige=TRUE)+NOT(Filter_Aktiv)&gt;0)*(11-JP_Farbe)))),IF(COUNTIF(Feiertage,DATE(Planungsjahr,6,Z67))&gt;0,"h",IF(COUNTIFS(U_Von,"&lt;="&amp;DATE(Planungsjahr,6,Z67),U_Bis,"&gt;="&amp;DATE(Planungsjahr,6,Z67))&gt;0,"u",""))),"")</f>
      </c>
      <c r="AB68" s="225">
        <f>IF(ISNUMBER(Z67),IFERROR(31-1/(1/SUMPRODUCT(MAX((JP_PAL=DATE(Planungsjahr,6,Z67))*Anzeige_P*((JP_Anzeige=TRUE)+NOT(Filter_Aktiv)&gt;0)*(11-JP_Farbe)))),IF(COUNTIF(Feiertage,DATE(Planungsjahr,6,Z67))&gt;0,"h",IF(COUNTIFS(U_Von,"&lt;="&amp;DATE(Planungsjahr,6,Z67),U_Bis,"&gt;="&amp;DATE(Planungsjahr,6,Z67))&gt;0,"u",""))),"")</f>
      </c>
      <c r="AC68" s="223">
        <f>IF(ISNUMBER(AC67),IFERROR(11-1/(1/SUMPRODUCT(MAX((JP_StartSel=DATE(Planungsjahr,6,AC67))*Anzeige_S*((JP_Anzeige=TRUE)+NOT(Filter_Aktiv)&gt;0)*(11-JP_Farbe)))),IF(COUNTIF(Feiertage,DATE(Planungsjahr,6,AC67))&gt;0,"h",IF(COUNTIFS(U_Von,"&lt;="&amp;DATE(Planungsjahr,6,AC67),U_Bis,"&gt;="&amp;DATE(Planungsjahr,6,AC67))&gt;0,"u",""))),"")</f>
      </c>
      <c r="AD68" s="224">
        <f>IF(ISNUMBER(AC67),IFERROR(21-1/(1/SUMPRODUCT(MAX((JP_StartInhalt=DATE(Planungsjahr,6,AC67))*Anzeige_I*((JP_Anzeige=TRUE)+NOT(Filter_Aktiv)&gt;0)*(11-JP_Farbe)))),IF(COUNTIF(Feiertage,DATE(Planungsjahr,6,AC67))&gt;0,"h",IF(COUNTIFS(U_Von,"&lt;="&amp;DATE(Planungsjahr,6,AC67),U_Bis,"&gt;="&amp;DATE(Planungsjahr,6,AC67))&gt;0,"u",""))),"")</f>
      </c>
      <c r="AE68" s="225">
        <f>IF(ISNUMBER(AC67),IFERROR(31-1/(1/SUMPRODUCT(MAX((JP_PAL=DATE(Planungsjahr,6,AC67))*Anzeige_P*((JP_Anzeige=TRUE)+NOT(Filter_Aktiv)&gt;0)*(11-JP_Farbe)))),IF(COUNTIF(Feiertage,DATE(Planungsjahr,6,AC67))&gt;0,"h",IF(COUNTIFS(U_Von,"&lt;="&amp;DATE(Planungsjahr,6,AC67),U_Bis,"&gt;="&amp;DATE(Planungsjahr,6,AC67))&gt;0,"u",""))),"")</f>
      </c>
      <c r="AF68" s="223">
        <f>IF(ISNUMBER(AF67),IFERROR(11-1/(1/SUMPRODUCT(MAX((JP_StartSel=DATE(Planungsjahr,6,AF67))*Anzeige_S*((JP_Anzeige=TRUE)+NOT(Filter_Aktiv)&gt;0)*(11-JP_Farbe)))),IF(COUNTIF(Feiertage,DATE(Planungsjahr,6,AF67))&gt;0,"h",IF(COUNTIFS(U_Von,"&lt;="&amp;DATE(Planungsjahr,6,AF67),U_Bis,"&gt;="&amp;DATE(Planungsjahr,6,AF67))&gt;0,"u",""))),"")</f>
      </c>
      <c r="AG68" s="224">
        <f>IF(ISNUMBER(AF67),IFERROR(21-1/(1/SUMPRODUCT(MAX((JP_StartInhalt=DATE(Planungsjahr,6,AF67))*Anzeige_I*((JP_Anzeige=TRUE)+NOT(Filter_Aktiv)&gt;0)*(11-JP_Farbe)))),IF(COUNTIF(Feiertage,DATE(Planungsjahr,6,AF67))&gt;0,"h",IF(COUNTIFS(U_Von,"&lt;="&amp;DATE(Planungsjahr,6,AF67),U_Bis,"&gt;="&amp;DATE(Planungsjahr,6,AF67))&gt;0,"u",""))),"")</f>
      </c>
      <c r="AH68" s="225">
        <f>IF(ISNUMBER(AF67),IFERROR(31-1/(1/SUMPRODUCT(MAX((JP_PAL=DATE(Planungsjahr,6,AF67))*Anzeige_P*((JP_Anzeige=TRUE)+NOT(Filter_Aktiv)&gt;0)*(11-JP_Farbe)))),IF(COUNTIF(Feiertage,DATE(Planungsjahr,6,AF67))&gt;0,"h",IF(COUNTIFS(U_Von,"&lt;="&amp;DATE(Planungsjahr,6,AF67),U_Bis,"&gt;="&amp;DATE(Planungsjahr,6,AF67))&gt;0,"u",""))),"")</f>
      </c>
      <c r="AI68" s="223">
        <f>IF(ISNUMBER(AI67),IFERROR(11-1/(1/SUMPRODUCT(MAX((JP_StartSel=DATE(Planungsjahr,6,AI67))*Anzeige_S*((JP_Anzeige=TRUE)+NOT(Filter_Aktiv)&gt;0)*(11-JP_Farbe)))),IF(COUNTIF(Feiertage,DATE(Planungsjahr,6,AI67))&gt;0,"h",IF(COUNTIFS(U_Von,"&lt;="&amp;DATE(Planungsjahr,6,AI67),U_Bis,"&gt;="&amp;DATE(Planungsjahr,6,AI67))&gt;0,"u",""))),"")</f>
      </c>
      <c r="AJ68" s="224">
        <f>IF(ISNUMBER(AI67),IFERROR(21-1/(1/SUMPRODUCT(MAX((JP_StartInhalt=DATE(Planungsjahr,6,AI67))*Anzeige_I*((JP_Anzeige=TRUE)+NOT(Filter_Aktiv)&gt;0)*(11-JP_Farbe)))),IF(COUNTIF(Feiertage,DATE(Planungsjahr,6,AI67))&gt;0,"h",IF(COUNTIFS(U_Von,"&lt;="&amp;DATE(Planungsjahr,6,AI67),U_Bis,"&gt;="&amp;DATE(Planungsjahr,6,AI67))&gt;0,"u",""))),"")</f>
      </c>
      <c r="AK68" s="225">
        <f>IF(ISNUMBER(AI67),IFERROR(31-1/(1/SUMPRODUCT(MAX((JP_PAL=DATE(Planungsjahr,6,AI67))*Anzeige_P*((JP_Anzeige=TRUE)+NOT(Filter_Aktiv)&gt;0)*(11-JP_Farbe)))),IF(COUNTIF(Feiertage,DATE(Planungsjahr,6,AI67))&gt;0,"h",IF(COUNTIFS(U_Von,"&lt;="&amp;DATE(Planungsjahr,6,AI67),U_Bis,"&gt;="&amp;DATE(Planungsjahr,6,AI67))&gt;0,"u",""))),"")</f>
      </c>
      <c r="AL68" s="223">
        <f>IF(ISNUMBER(AL67),IFERROR(11-1/(1/SUMPRODUCT(MAX((JP_StartSel=DATE(Planungsjahr,6,AL67))*Anzeige_S*((JP_Anzeige=TRUE)+NOT(Filter_Aktiv)&gt;0)*(11-JP_Farbe)))),IF(COUNTIF(Feiertage,DATE(Planungsjahr,6,AL67))&gt;0,"h",IF(COUNTIFS(U_Von,"&lt;="&amp;DATE(Planungsjahr,6,AL67),U_Bis,"&gt;="&amp;DATE(Planungsjahr,6,AL67))&gt;0,"u",""))),"")</f>
      </c>
      <c r="AM68" s="224">
        <f>IF(ISNUMBER(AL67),IFERROR(21-1/(1/SUMPRODUCT(MAX((JP_StartInhalt=DATE(Planungsjahr,6,AL67))*Anzeige_I*((JP_Anzeige=TRUE)+NOT(Filter_Aktiv)&gt;0)*(11-JP_Farbe)))),IF(COUNTIF(Feiertage,DATE(Planungsjahr,6,AL67))&gt;0,"h",IF(COUNTIFS(U_Von,"&lt;="&amp;DATE(Planungsjahr,6,AL67),U_Bis,"&gt;="&amp;DATE(Planungsjahr,6,AL67))&gt;0,"u",""))),"")</f>
      </c>
      <c r="AN68" s="225">
        <f>IF(ISNUMBER(AL67),IFERROR(31-1/(1/SUMPRODUCT(MAX((JP_PAL=DATE(Planungsjahr,6,AL67))*Anzeige_P*((JP_Anzeige=TRUE)+NOT(Filter_Aktiv)&gt;0)*(11-JP_Farbe)))),IF(COUNTIF(Feiertage,DATE(Planungsjahr,6,AL67))&gt;0,"h",IF(COUNTIFS(U_Von,"&lt;="&amp;DATE(Planungsjahr,6,AL67),U_Bis,"&gt;="&amp;DATE(Planungsjahr,6,AL67))&gt;0,"u",""))),"")</f>
      </c>
      <c r="AO68" s="223">
        <f>IF(ISNUMBER(AO67),IFERROR(11-1/(1/SUMPRODUCT(MAX((JP_StartSel=DATE(Planungsjahr,6,AO67))*Anzeige_S*((JP_Anzeige=TRUE)+NOT(Filter_Aktiv)&gt;0)*(11-JP_Farbe)))),IF(COUNTIF(Feiertage,DATE(Planungsjahr,6,AO67))&gt;0,"h","w")),"")</f>
      </c>
      <c r="AP68" s="224">
        <f>IF(ISNUMBER(AO67),IFERROR(21-1/(1/SUMPRODUCT(MAX((JP_StartInhalt=DATE(Planungsjahr,6,AO67))*Anzeige_I*((JP_Anzeige=TRUE)+NOT(Filter_Aktiv)&gt;0)*(11-JP_Farbe)))),IF(COUNTIF(Feiertage,DATE(Planungsjahr,6,AO67))&gt;0,"h","w")),"")</f>
      </c>
      <c r="AQ68" s="225">
        <f>IF(ISNUMBER(AO67),IFERROR(31-1/(1/SUMPRODUCT(MAX((JP_PAL=DATE(Planungsjahr,6,AO67))*Anzeige_P*((JP_Anzeige=TRUE)+NOT(Filter_Aktiv)&gt;0)*(11-JP_Farbe)))),IF(COUNTIF(Feiertage,DATE(Planungsjahr,6,AO67))&gt;0,"h","w")),"")</f>
      </c>
      <c r="AR68" s="223">
        <f>IF(ISNUMBER(AR67),IFERROR(11-1/(1/SUMPRODUCT(MAX((JP_StartSel=DATE(Planungsjahr,6,AR67))*Anzeige_S*((JP_Anzeige=TRUE)+NOT(Filter_Aktiv)&gt;0)*(11-JP_Farbe)))),IF(COUNTIF(Feiertage,DATE(Planungsjahr,6,AR67))&gt;0,"h","w")),"")</f>
      </c>
      <c r="AS68" s="224">
        <f>IF(ISNUMBER(AR67),IFERROR(21-1/(1/SUMPRODUCT(MAX((JP_StartInhalt=DATE(Planungsjahr,6,AR67))*Anzeige_I*((JP_Anzeige=TRUE)+NOT(Filter_Aktiv)&gt;0)*(11-JP_Farbe)))),IF(COUNTIF(Feiertage,DATE(Planungsjahr,6,AR67))&gt;0,"h","w")),"")</f>
      </c>
      <c r="AT68" s="225">
        <f>IF(ISNUMBER(AR67),IFERROR(31-1/(1/SUMPRODUCT(MAX((JP_PAL=DATE(Planungsjahr,6,AR67))*Anzeige_P*((JP_Anzeige=TRUE)+NOT(Filter_Aktiv)&gt;0)*(11-JP_Farbe)))),IF(COUNTIF(Feiertage,DATE(Planungsjahr,6,AR67))&gt;0,"h","w")),"")</f>
      </c>
      <c r="AV68" s="179"/>
      <c r="AW68" s="223">
        <f>IF(ISNUMBER(AW67),IFERROR(11-1/(1/SUMPRODUCT(MAX((JP_StartSel=DATE(Planungsjahr,7,AW67))*Anzeige_S*((JP_Anzeige=TRUE)+NOT(Filter_Aktiv)&gt;0)*(11-JP_Farbe)))),IF(COUNTIF(Feiertage,DATE(Planungsjahr,7,AW67))&gt;0,"h",IF(COUNTIFS(U_Von,"&lt;="&amp;DATE(Planungsjahr,7,AW67),U_Bis,"&gt;="&amp;DATE(Planungsjahr,7,AW67))&gt;0,"u",""))),"")</f>
      </c>
      <c r="AX68" s="224">
        <f>IF(ISNUMBER(AW67),IFERROR(21-1/(1/SUMPRODUCT(MAX((JP_StartInhalt=DATE(Planungsjahr,7,AW67))*Anzeige_I*((JP_Anzeige=TRUE)+NOT(Filter_Aktiv)&gt;0)*(11-JP_Farbe)))),IF(COUNTIF(Feiertage,DATE(Planungsjahr,7,AW67))&gt;0,"h",IF(COUNTIFS(U_Von,"&lt;="&amp;DATE(Planungsjahr,7,AW67),U_Bis,"&gt;="&amp;DATE(Planungsjahr,7,AW67))&gt;0,"u",""))),"")</f>
      </c>
      <c r="AY68" s="225">
        <f>IF(ISNUMBER(AW67),IFERROR(31-1/(1/SUMPRODUCT(MAX((JP_PAL=DATE(Planungsjahr,7,AW67))*Anzeige_P*((JP_Anzeige=TRUE)+NOT(Filter_Aktiv)&gt;0)*(11-JP_Farbe)))),IF(COUNTIF(Feiertage,DATE(Planungsjahr,7,AW67))&gt;0,"h",IF(COUNTIFS(U_Von,"&lt;="&amp;DATE(Planungsjahr,7,AW67),U_Bis,"&gt;="&amp;DATE(Planungsjahr,7,AW67))&gt;0,"u",""))),"")</f>
      </c>
      <c r="AZ68" s="223">
        <f>IF(ISNUMBER(AZ67),IFERROR(11-1/(1/SUMPRODUCT(MAX((JP_StartSel=DATE(Planungsjahr,7,AZ67))*Anzeige_S*((JP_Anzeige=TRUE)+NOT(Filter_Aktiv)&gt;0)*(11-JP_Farbe)))),IF(COUNTIF(Feiertage,DATE(Planungsjahr,7,AZ67))&gt;0,"h",IF(COUNTIFS(U_Von,"&lt;="&amp;DATE(Planungsjahr,7,AZ67),U_Bis,"&gt;="&amp;DATE(Planungsjahr,7,AZ67))&gt;0,"u",""))),"")</f>
      </c>
      <c r="BA68" s="224">
        <f>IF(ISNUMBER(AZ67),IFERROR(21-1/(1/SUMPRODUCT(MAX((JP_StartInhalt=DATE(Planungsjahr,7,AZ67))*Anzeige_I*((JP_Anzeige=TRUE)+NOT(Filter_Aktiv)&gt;0)*(11-JP_Farbe)))),IF(COUNTIF(Feiertage,DATE(Planungsjahr,7,AZ67))&gt;0,"h",IF(COUNTIFS(U_Von,"&lt;="&amp;DATE(Planungsjahr,7,AZ67),U_Bis,"&gt;="&amp;DATE(Planungsjahr,7,AZ67))&gt;0,"u",""))),"")</f>
      </c>
      <c r="BB68" s="225">
        <f>IF(ISNUMBER(AZ67),IFERROR(31-1/(1/SUMPRODUCT(MAX((JP_PAL=DATE(Planungsjahr,7,AZ67))*Anzeige_P*((JP_Anzeige=TRUE)+NOT(Filter_Aktiv)&gt;0)*(11-JP_Farbe)))),IF(COUNTIF(Feiertage,DATE(Planungsjahr,7,AZ67))&gt;0,"h",IF(COUNTIFS(U_Von,"&lt;="&amp;DATE(Planungsjahr,7,AZ67),U_Bis,"&gt;="&amp;DATE(Planungsjahr,7,AZ67))&gt;0,"u",""))),"")</f>
      </c>
      <c r="BC68" s="223">
        <f>IF(ISNUMBER(BC67),IFERROR(11-1/(1/SUMPRODUCT(MAX((JP_StartSel=DATE(Planungsjahr,7,BC67))*Anzeige_S*((JP_Anzeige=TRUE)+NOT(Filter_Aktiv)&gt;0)*(11-JP_Farbe)))),IF(COUNTIF(Feiertage,DATE(Planungsjahr,7,BC67))&gt;0,"h",IF(COUNTIFS(U_Von,"&lt;="&amp;DATE(Planungsjahr,7,BC67),U_Bis,"&gt;="&amp;DATE(Planungsjahr,7,BC67))&gt;0,"u",""))),"")</f>
      </c>
      <c r="BD68" s="224">
        <f>IF(ISNUMBER(BC67),IFERROR(21-1/(1/SUMPRODUCT(MAX((JP_StartInhalt=DATE(Planungsjahr,7,BC67))*Anzeige_I*((JP_Anzeige=TRUE)+NOT(Filter_Aktiv)&gt;0)*(11-JP_Farbe)))),IF(COUNTIF(Feiertage,DATE(Planungsjahr,7,BC67))&gt;0,"h",IF(COUNTIFS(U_Von,"&lt;="&amp;DATE(Planungsjahr,7,BC67),U_Bis,"&gt;="&amp;DATE(Planungsjahr,7,BC67))&gt;0,"u",""))),"")</f>
      </c>
      <c r="BE68" s="225">
        <f>IF(ISNUMBER(BC67),IFERROR(31-1/(1/SUMPRODUCT(MAX((JP_PAL=DATE(Planungsjahr,7,BC67))*Anzeige_P*((JP_Anzeige=TRUE)+NOT(Filter_Aktiv)&gt;0)*(11-JP_Farbe)))),IF(COUNTIF(Feiertage,DATE(Planungsjahr,7,BC67))&gt;0,"h",IF(COUNTIFS(U_Von,"&lt;="&amp;DATE(Planungsjahr,7,BC67),U_Bis,"&gt;="&amp;DATE(Planungsjahr,7,BC67))&gt;0,"u",""))),"")</f>
      </c>
      <c r="BF68" s="223">
        <f>IF(ISNUMBER(BF67),IFERROR(11-1/(1/SUMPRODUCT(MAX((JP_StartSel=DATE(Planungsjahr,7,BF67))*Anzeige_S*((JP_Anzeige=TRUE)+NOT(Filter_Aktiv)&gt;0)*(11-JP_Farbe)))),IF(COUNTIF(Feiertage,DATE(Planungsjahr,7,BF67))&gt;0,"h",IF(COUNTIFS(U_Von,"&lt;="&amp;DATE(Planungsjahr,7,BF67),U_Bis,"&gt;="&amp;DATE(Planungsjahr,7,BF67))&gt;0,"u",""))),"")</f>
      </c>
      <c r="BG68" s="224">
        <f>IF(ISNUMBER(BF67),IFERROR(21-1/(1/SUMPRODUCT(MAX((JP_StartInhalt=DATE(Planungsjahr,7,BF67))*Anzeige_I*((JP_Anzeige=TRUE)+NOT(Filter_Aktiv)&gt;0)*(11-JP_Farbe)))),IF(COUNTIF(Feiertage,DATE(Planungsjahr,7,BF67))&gt;0,"h",IF(COUNTIFS(U_Von,"&lt;="&amp;DATE(Planungsjahr,7,BF67),U_Bis,"&gt;="&amp;DATE(Planungsjahr,7,BF67))&gt;0,"u",""))),"")</f>
      </c>
      <c r="BH68" s="225">
        <f>IF(ISNUMBER(BF67),IFERROR(31-1/(1/SUMPRODUCT(MAX((JP_PAL=DATE(Planungsjahr,7,BF67))*Anzeige_P*((JP_Anzeige=TRUE)+NOT(Filter_Aktiv)&gt;0)*(11-JP_Farbe)))),IF(COUNTIF(Feiertage,DATE(Planungsjahr,7,BF67))&gt;0,"h",IF(COUNTIFS(U_Von,"&lt;="&amp;DATE(Planungsjahr,7,BF67),U_Bis,"&gt;="&amp;DATE(Planungsjahr,7,BF67))&gt;0,"u",""))),"")</f>
      </c>
      <c r="BI68" s="223">
        <f>IF(ISNUMBER(BI67),IFERROR(11-1/(1/SUMPRODUCT(MAX((JP_StartSel=DATE(Planungsjahr,7,BI67))*Anzeige_S*((JP_Anzeige=TRUE)+NOT(Filter_Aktiv)&gt;0)*(11-JP_Farbe)))),IF(COUNTIF(Feiertage,DATE(Planungsjahr,7,BI67))&gt;0,"h",IF(COUNTIFS(U_Von,"&lt;="&amp;DATE(Planungsjahr,7,BI67),U_Bis,"&gt;="&amp;DATE(Planungsjahr,7,BI67))&gt;0,"u",""))),"")</f>
      </c>
      <c r="BJ68" s="224">
        <f>IF(ISNUMBER(BI67),IFERROR(21-1/(1/SUMPRODUCT(MAX((JP_StartInhalt=DATE(Planungsjahr,7,BI67))*Anzeige_I*((JP_Anzeige=TRUE)+NOT(Filter_Aktiv)&gt;0)*(11-JP_Farbe)))),IF(COUNTIF(Feiertage,DATE(Planungsjahr,7,BI67))&gt;0,"h",IF(COUNTIFS(U_Von,"&lt;="&amp;DATE(Planungsjahr,7,BI67),U_Bis,"&gt;="&amp;DATE(Planungsjahr,7,BI67))&gt;0,"u",""))),"")</f>
      </c>
      <c r="BK68" s="225">
        <f>IF(ISNUMBER(BI67),IFERROR(31-1/(1/SUMPRODUCT(MAX((JP_PAL=DATE(Planungsjahr,7,BI67))*Anzeige_P*((JP_Anzeige=TRUE)+NOT(Filter_Aktiv)&gt;0)*(11-JP_Farbe)))),IF(COUNTIF(Feiertage,DATE(Planungsjahr,7,BI67))&gt;0,"h",IF(COUNTIFS(U_Von,"&lt;="&amp;DATE(Planungsjahr,7,BI67),U_Bis,"&gt;="&amp;DATE(Planungsjahr,7,BI67))&gt;0,"u",""))),"")</f>
      </c>
      <c r="BL68" s="223">
        <f>IF(ISNUMBER(BL67),IFERROR(11-1/(1/SUMPRODUCT(MAX((JP_StartSel=DATE(Planungsjahr,7,BL67))*Anzeige_S*((JP_Anzeige=TRUE)+NOT(Filter_Aktiv)&gt;0)*(11-JP_Farbe)))),IF(COUNTIF(Feiertage,DATE(Planungsjahr,7,BL67))&gt;0,"h","w")),"")</f>
      </c>
      <c r="BM68" s="224">
        <f>IF(ISNUMBER(BL67),IFERROR(21-1/(1/SUMPRODUCT(MAX((JP_StartInhalt=DATE(Planungsjahr,7,BL67))*Anzeige_I*((JP_Anzeige=TRUE)+NOT(Filter_Aktiv)&gt;0)*(11-JP_Farbe)))),IF(COUNTIF(Feiertage,DATE(Planungsjahr,7,BL67))&gt;0,"h","w")),"")</f>
      </c>
      <c r="BN68" s="225">
        <f>IF(ISNUMBER(BL67),IFERROR(31-1/(1/SUMPRODUCT(MAX((JP_PAL=DATE(Planungsjahr,7,BL67))*Anzeige_P*((JP_Anzeige=TRUE)+NOT(Filter_Aktiv)&gt;0)*(11-JP_Farbe)))),IF(COUNTIF(Feiertage,DATE(Planungsjahr,7,BL67))&gt;0,"h","w")),"")</f>
      </c>
      <c r="BO68" s="223">
        <f>IF(ISNUMBER(BO67),IFERROR(11-1/(1/SUMPRODUCT(MAX((JP_StartSel=DATE(Planungsjahr,7,BO67))*Anzeige_S*((JP_Anzeige=TRUE)+NOT(Filter_Aktiv)&gt;0)*(11-JP_Farbe)))),IF(COUNTIF(Feiertage,DATE(Planungsjahr,7,BO67))&gt;0,"h","w")),"")</f>
      </c>
      <c r="BP68" s="224">
        <f>IF(ISNUMBER(BO67),IFERROR(21-1/(1/SUMPRODUCT(MAX((JP_StartInhalt=DATE(Planungsjahr,7,BO67))*Anzeige_I*((JP_Anzeige=TRUE)+NOT(Filter_Aktiv)&gt;0)*(11-JP_Farbe)))),IF(COUNTIF(Feiertage,DATE(Planungsjahr,7,BO67))&gt;0,"h","w")),"")</f>
      </c>
      <c r="BQ68" s="225">
        <f>IF(ISNUMBER(BO67),IFERROR(31-1/(1/SUMPRODUCT(MAX((JP_PAL=DATE(Planungsjahr,7,BO67))*Anzeige_P*((JP_Anzeige=TRUE)+NOT(Filter_Aktiv)&gt;0)*(11-JP_Farbe)))),IF(COUNTIF(Feiertage,DATE(Planungsjahr,7,BO67))&gt;0,"h","w")),"")</f>
      </c>
      <c r="BS68" s="179"/>
      <c r="BT68" s="223">
        <f>IF(ISNUMBER(BT67),IFERROR(11-1/(1/SUMPRODUCT(MAX((JP_StartSel=DATE(Planungsjahr,8,BT67))*Anzeige_S*((JP_Anzeige=TRUE)+NOT(Filter_Aktiv)&gt;0)*(11-JP_Farbe)))),IF(COUNTIF(Feiertage,DATE(Planungsjahr,8,BT67))&gt;0,"h",IF(COUNTIFS(U_Von,"&lt;="&amp;DATE(Planungsjahr,8,BT67),U_Bis,"&gt;="&amp;DATE(Planungsjahr,8,BT67))&gt;0,"u",""))),"")</f>
      </c>
      <c r="BU68" s="224">
        <f>IF(ISNUMBER(BT67),IFERROR(21-1/(1/SUMPRODUCT(MAX((JP_StartInhalt=DATE(Planungsjahr,8,BT67))*Anzeige_I*((JP_Anzeige=TRUE)+NOT(Filter_Aktiv)&gt;0)*(11-JP_Farbe)))),IF(COUNTIF(Feiertage,DATE(Planungsjahr,8,BT67))&gt;0,"h",IF(COUNTIFS(U_Von,"&lt;="&amp;DATE(Planungsjahr,8,BT67),U_Bis,"&gt;="&amp;DATE(Planungsjahr,8,BT67))&gt;0,"u",""))),"")</f>
      </c>
      <c r="BV68" s="225">
        <f>IF(ISNUMBER(BT67),IFERROR(31-1/(1/SUMPRODUCT(MAX((JP_PAL=DATE(Planungsjahr,8,BT67))*Anzeige_P*((JP_Anzeige=TRUE)+NOT(Filter_Aktiv)&gt;0)*(11-JP_Farbe)))),IF(COUNTIF(Feiertage,DATE(Planungsjahr,8,BT67))&gt;0,"h",IF(COUNTIFS(U_Von,"&lt;="&amp;DATE(Planungsjahr,8,BT67),U_Bis,"&gt;="&amp;DATE(Planungsjahr,8,BT67))&gt;0,"u",""))),"")</f>
      </c>
      <c r="BW68" s="223">
        <f>IF(ISNUMBER(BW67),IFERROR(11-1/(1/SUMPRODUCT(MAX((JP_StartSel=DATE(Planungsjahr,8,BW67))*Anzeige_S*((JP_Anzeige=TRUE)+NOT(Filter_Aktiv)&gt;0)*(11-JP_Farbe)))),IF(COUNTIF(Feiertage,DATE(Planungsjahr,8,BW67))&gt;0,"h",IF(COUNTIFS(U_Von,"&lt;="&amp;DATE(Planungsjahr,8,BW67),U_Bis,"&gt;="&amp;DATE(Planungsjahr,8,BW67))&gt;0,"u",""))),"")</f>
      </c>
      <c r="BX68" s="224">
        <f>IF(ISNUMBER(BW67),IFERROR(21-1/(1/SUMPRODUCT(MAX((JP_StartInhalt=DATE(Planungsjahr,8,BW67))*Anzeige_I*((JP_Anzeige=TRUE)+NOT(Filter_Aktiv)&gt;0)*(11-JP_Farbe)))),IF(COUNTIF(Feiertage,DATE(Planungsjahr,8,BW67))&gt;0,"h",IF(COUNTIFS(U_Von,"&lt;="&amp;DATE(Planungsjahr,8,BW67),U_Bis,"&gt;="&amp;DATE(Planungsjahr,8,BW67))&gt;0,"u",""))),"")</f>
      </c>
      <c r="BY68" s="225">
        <f>IF(ISNUMBER(BW67),IFERROR(31-1/(1/SUMPRODUCT(MAX((JP_PAL=DATE(Planungsjahr,8,BW67))*Anzeige_P*((JP_Anzeige=TRUE)+NOT(Filter_Aktiv)&gt;0)*(11-JP_Farbe)))),IF(COUNTIF(Feiertage,DATE(Planungsjahr,8,BW67))&gt;0,"h",IF(COUNTIFS(U_Von,"&lt;="&amp;DATE(Planungsjahr,8,BW67),U_Bis,"&gt;="&amp;DATE(Planungsjahr,8,BW67))&gt;0,"u",""))),"")</f>
      </c>
      <c r="BZ68" s="223">
        <f>IF(ISNUMBER(BZ67),IFERROR(11-1/(1/SUMPRODUCT(MAX((JP_StartSel=DATE(Planungsjahr,8,BZ67))*Anzeige_S*((JP_Anzeige=TRUE)+NOT(Filter_Aktiv)&gt;0)*(11-JP_Farbe)))),IF(COUNTIF(Feiertage,DATE(Planungsjahr,8,BZ67))&gt;0,"h",IF(COUNTIFS(U_Von,"&lt;="&amp;DATE(Planungsjahr,8,BZ67),U_Bis,"&gt;="&amp;DATE(Planungsjahr,8,BZ67))&gt;0,"u",""))),"")</f>
      </c>
      <c r="CA68" s="224">
        <f>IF(ISNUMBER(BZ67),IFERROR(21-1/(1/SUMPRODUCT(MAX((JP_StartInhalt=DATE(Planungsjahr,8,BZ67))*Anzeige_I*((JP_Anzeige=TRUE)+NOT(Filter_Aktiv)&gt;0)*(11-JP_Farbe)))),IF(COUNTIF(Feiertage,DATE(Planungsjahr,8,BZ67))&gt;0,"h",IF(COUNTIFS(U_Von,"&lt;="&amp;DATE(Planungsjahr,8,BZ67),U_Bis,"&gt;="&amp;DATE(Planungsjahr,8,BZ67))&gt;0,"u",""))),"")</f>
      </c>
      <c r="CB68" s="225">
        <f>IF(ISNUMBER(BZ67),IFERROR(31-1/(1/SUMPRODUCT(MAX((JP_PAL=DATE(Planungsjahr,8,BZ67))*Anzeige_P*((JP_Anzeige=TRUE)+NOT(Filter_Aktiv)&gt;0)*(11-JP_Farbe)))),IF(COUNTIF(Feiertage,DATE(Planungsjahr,8,BZ67))&gt;0,"h",IF(COUNTIFS(U_Von,"&lt;="&amp;DATE(Planungsjahr,8,BZ67),U_Bis,"&gt;="&amp;DATE(Planungsjahr,8,BZ67))&gt;0,"u",""))),"")</f>
      </c>
      <c r="CC68" s="223">
        <f>IF(ISNUMBER(CC67),IFERROR(11-1/(1/SUMPRODUCT(MAX((JP_StartSel=DATE(Planungsjahr,8,CC67))*Anzeige_S*((JP_Anzeige=TRUE)+NOT(Filter_Aktiv)&gt;0)*(11-JP_Farbe)))),IF(COUNTIF(Feiertage,DATE(Planungsjahr,8,CC67))&gt;0,"h",IF(COUNTIFS(U_Von,"&lt;="&amp;DATE(Planungsjahr,8,CC67),U_Bis,"&gt;="&amp;DATE(Planungsjahr,8,CC67))&gt;0,"u",""))),"")</f>
      </c>
      <c r="CD68" s="224">
        <f>IF(ISNUMBER(CC67),IFERROR(21-1/(1/SUMPRODUCT(MAX((JP_StartInhalt=DATE(Planungsjahr,8,CC67))*Anzeige_I*((JP_Anzeige=TRUE)+NOT(Filter_Aktiv)&gt;0)*(11-JP_Farbe)))),IF(COUNTIF(Feiertage,DATE(Planungsjahr,8,CC67))&gt;0,"h",IF(COUNTIFS(U_Von,"&lt;="&amp;DATE(Planungsjahr,8,CC67),U_Bis,"&gt;="&amp;DATE(Planungsjahr,8,CC67))&gt;0,"u",""))),"")</f>
      </c>
      <c r="CE68" s="225">
        <f>IF(ISNUMBER(CC67),IFERROR(31-1/(1/SUMPRODUCT(MAX((JP_PAL=DATE(Planungsjahr,8,CC67))*Anzeige_P*((JP_Anzeige=TRUE)+NOT(Filter_Aktiv)&gt;0)*(11-JP_Farbe)))),IF(COUNTIF(Feiertage,DATE(Planungsjahr,8,CC67))&gt;0,"h",IF(COUNTIFS(U_Von,"&lt;="&amp;DATE(Planungsjahr,8,CC67),U_Bis,"&gt;="&amp;DATE(Planungsjahr,8,CC67))&gt;0,"u",""))),"")</f>
      </c>
      <c r="CF68" s="223">
        <f>IF(ISNUMBER(CF67),IFERROR(11-1/(1/SUMPRODUCT(MAX((JP_StartSel=DATE(Planungsjahr,8,CF67))*Anzeige_S*((JP_Anzeige=TRUE)+NOT(Filter_Aktiv)&gt;0)*(11-JP_Farbe)))),IF(COUNTIF(Feiertage,DATE(Planungsjahr,8,CF67))&gt;0,"h",IF(COUNTIFS(U_Von,"&lt;="&amp;DATE(Planungsjahr,8,CF67),U_Bis,"&gt;="&amp;DATE(Planungsjahr,8,CF67))&gt;0,"u",""))),"")</f>
      </c>
      <c r="CG68" s="224">
        <f>IF(ISNUMBER(CF67),IFERROR(21-1/(1/SUMPRODUCT(MAX((JP_StartInhalt=DATE(Planungsjahr,8,CF67))*Anzeige_I*((JP_Anzeige=TRUE)+NOT(Filter_Aktiv)&gt;0)*(11-JP_Farbe)))),IF(COUNTIF(Feiertage,DATE(Planungsjahr,8,CF67))&gt;0,"h",IF(COUNTIFS(U_Von,"&lt;="&amp;DATE(Planungsjahr,8,CF67),U_Bis,"&gt;="&amp;DATE(Planungsjahr,8,CF67))&gt;0,"u",""))),"")</f>
      </c>
      <c r="CH68" s="225">
        <f>IF(ISNUMBER(CF67),IFERROR(31-1/(1/SUMPRODUCT(MAX((JP_PAL=DATE(Planungsjahr,8,CF67))*Anzeige_P*((JP_Anzeige=TRUE)+NOT(Filter_Aktiv)&gt;0)*(11-JP_Farbe)))),IF(COUNTIF(Feiertage,DATE(Planungsjahr,8,CF67))&gt;0,"h",IF(COUNTIFS(U_Von,"&lt;="&amp;DATE(Planungsjahr,8,CF67),U_Bis,"&gt;="&amp;DATE(Planungsjahr,8,CF67))&gt;0,"u",""))),"")</f>
      </c>
      <c r="CI68" s="223">
        <f>IF(ISNUMBER(CI67),IFERROR(11-1/(1/SUMPRODUCT(MAX((JP_StartSel=DATE(Planungsjahr,8,CI67))*Anzeige_S*((JP_Anzeige=TRUE)+NOT(Filter_Aktiv)&gt;0)*(11-JP_Farbe)))),IF(COUNTIF(Feiertage,DATE(Planungsjahr,8,CI67))&gt;0,"h","w")),"")</f>
      </c>
      <c r="CJ68" s="224">
        <f>IF(ISNUMBER(CI67),IFERROR(21-1/(1/SUMPRODUCT(MAX((JP_StartInhalt=DATE(Planungsjahr,8,CI67))*Anzeige_I*((JP_Anzeige=TRUE)+NOT(Filter_Aktiv)&gt;0)*(11-JP_Farbe)))),IF(COUNTIF(Feiertage,DATE(Planungsjahr,8,CI67))&gt;0,"h","w")),"")</f>
      </c>
      <c r="CK68" s="225">
        <f>IF(ISNUMBER(CI67),IFERROR(31-1/(1/SUMPRODUCT(MAX((JP_PAL=DATE(Planungsjahr,8,CI67))*Anzeige_P*((JP_Anzeige=TRUE)+NOT(Filter_Aktiv)&gt;0)*(11-JP_Farbe)))),IF(COUNTIF(Feiertage,DATE(Planungsjahr,8,CI67))&gt;0,"h","w")),"")</f>
      </c>
      <c r="CL68" s="223">
        <f>IF(ISNUMBER(CL67),IFERROR(11-1/(1/SUMPRODUCT(MAX((JP_StartSel=DATE(Planungsjahr,8,CL67))*Anzeige_S*((JP_Anzeige=TRUE)+NOT(Filter_Aktiv)&gt;0)*(11-JP_Farbe)))),IF(COUNTIF(Feiertage,DATE(Planungsjahr,8,CL67))&gt;0,"h","w")),"")</f>
      </c>
      <c r="CM68" s="224">
        <f>IF(ISNUMBER(CL67),IFERROR(21-1/(1/SUMPRODUCT(MAX((JP_StartInhalt=DATE(Planungsjahr,8,CL67))*Anzeige_I*((JP_Anzeige=TRUE)+NOT(Filter_Aktiv)&gt;0)*(11-JP_Farbe)))),IF(COUNTIF(Feiertage,DATE(Planungsjahr,8,CL67))&gt;0,"h","w")),"")</f>
      </c>
      <c r="CN68" s="225">
        <f>IF(ISNUMBER(CL67),IFERROR(31-1/(1/SUMPRODUCT(MAX((JP_PAL=DATE(Planungsjahr,8,CL67))*Anzeige_P*((JP_Anzeige=TRUE)+NOT(Filter_Aktiv)&gt;0)*(11-JP_Farbe)))),IF(COUNTIF(Feiertage,DATE(Planungsjahr,8,CL67))&gt;0,"h","w")),"")</f>
      </c>
    </row>
    <row r="69" spans="2:92" ht="15.95" customHeight="1" x14ac:dyDescent="0.25">
      <c r="B69" s="177">
        <f>IF(OR(ISNUMBER(C69),ISNUMBER(U69)),_xlfn.ISOWEEKNUM(DATE(Planungsjahr,5,1)-WEEKDAY(DATE(Planungsjahr,5,1),2)+22),"")</f>
        <v>20</v>
      </c>
      <c r="C69" s="188">
        <f>IF(MONTH(DATE(Planungsjahr,5,1)-WEEKDAY(DATE(Planungsjahr,5,1),2)+22)=5,DAY(DATE(Planungsjahr,5,1)-WEEKDAY(DATE(Planungsjahr,5,1),2)+22),"")</f>
        <v>17</v>
      </c>
      <c r="D69" s="188"/>
      <c r="E69" s="188"/>
      <c r="F69" s="188">
        <f>IF(MONTH(DATE(Planungsjahr,5,1)-WEEKDAY(DATE(Planungsjahr,5,1),2)+23)=5,DAY(DATE(Planungsjahr,5,1)-WEEKDAY(DATE(Planungsjahr,5,1),2)+23),"")</f>
        <v>18</v>
      </c>
      <c r="G69" s="188"/>
      <c r="H69" s="188"/>
      <c r="I69" s="188">
        <f>IF(MONTH(DATE(Planungsjahr,5,1)-WEEKDAY(DATE(Planungsjahr,5,1),2)+24)=5,DAY(DATE(Planungsjahr,5,1)-WEEKDAY(DATE(Planungsjahr,5,1),2)+24),"")</f>
        <v>19</v>
      </c>
      <c r="J69" s="188"/>
      <c r="K69" s="188"/>
      <c r="L69" s="188">
        <f>IF(MONTH(DATE(Planungsjahr,5,1)-WEEKDAY(DATE(Planungsjahr,5,1),2)+25)=5,DAY(DATE(Planungsjahr,5,1)-WEEKDAY(DATE(Planungsjahr,5,1),2)+25),"")</f>
        <v>20</v>
      </c>
      <c r="M69" s="188"/>
      <c r="N69" s="188"/>
      <c r="O69" s="188">
        <f>IF(MONTH(DATE(Planungsjahr,5,1)-WEEKDAY(DATE(Planungsjahr,5,1),2)+26)=5,DAY(DATE(Planungsjahr,5,1)-WEEKDAY(DATE(Planungsjahr,5,1),2)+26),"")</f>
        <v>21</v>
      </c>
      <c r="P69" s="188"/>
      <c r="Q69" s="188"/>
      <c r="R69" s="188">
        <f>IF(MONTH(DATE(Planungsjahr,5,1)-WEEKDAY(DATE(Planungsjahr,5,1),2)+27)=5,DAY(DATE(Planungsjahr,5,1)-WEEKDAY(DATE(Planungsjahr,5,1),2)+27),"")</f>
        <v>22</v>
      </c>
      <c r="S69" s="188"/>
      <c r="T69" s="188"/>
      <c r="U69" s="188">
        <f>IF(MONTH(DATE(Planungsjahr,5,1)-WEEKDAY(DATE(Planungsjahr,5,1),2)+28)=5,DAY(DATE(Planungsjahr,5,1)-WEEKDAY(DATE(Planungsjahr,5,1),2)+28),"")</f>
        <v>23</v>
      </c>
      <c r="V69" s="188"/>
      <c r="W69" s="190"/>
      <c r="Y69" s="177">
        <f>IF(OR(ISNUMBER(Z69),ISNUMBER(AR69)),_xlfn.ISOWEEKNUM(DATE(Planungsjahr,6,1)-WEEKDAY(DATE(Planungsjahr,6,1),2)+22),"")</f>
        <v>25</v>
      </c>
      <c r="Z69" s="188">
        <f>IF(MONTH(DATE(Planungsjahr,6,1)-WEEKDAY(DATE(Planungsjahr,6,1),2)+22)=6,DAY(DATE(Planungsjahr,6,1)-WEEKDAY(DATE(Planungsjahr,6,1),2)+22),"")</f>
        <v>21</v>
      </c>
      <c r="AA69" s="188"/>
      <c r="AB69" s="188"/>
      <c r="AC69" s="188">
        <f>IF(MONTH(DATE(Planungsjahr,6,1)-WEEKDAY(DATE(Planungsjahr,6,1),2)+23)=6,DAY(DATE(Planungsjahr,6,1)-WEEKDAY(DATE(Planungsjahr,6,1),2)+23),"")</f>
        <v>22</v>
      </c>
      <c r="AD69" s="188"/>
      <c r="AE69" s="188"/>
      <c r="AF69" s="188">
        <f>IF(MONTH(DATE(Planungsjahr,6,1)-WEEKDAY(DATE(Planungsjahr,6,1),2)+24)=6,DAY(DATE(Planungsjahr,6,1)-WEEKDAY(DATE(Planungsjahr,6,1),2)+24),"")</f>
        <v>23</v>
      </c>
      <c r="AG69" s="188"/>
      <c r="AH69" s="188"/>
      <c r="AI69" s="188">
        <f>IF(MONTH(DATE(Planungsjahr,6,1)-WEEKDAY(DATE(Planungsjahr,6,1),2)+25)=6,DAY(DATE(Planungsjahr,6,1)-WEEKDAY(DATE(Planungsjahr,6,1),2)+25),"")</f>
        <v>24</v>
      </c>
      <c r="AJ69" s="188"/>
      <c r="AK69" s="188"/>
      <c r="AL69" s="188">
        <f>IF(MONTH(DATE(Planungsjahr,6,1)-WEEKDAY(DATE(Planungsjahr,6,1),2)+26)=6,DAY(DATE(Planungsjahr,6,1)-WEEKDAY(DATE(Planungsjahr,6,1),2)+26),"")</f>
        <v>25</v>
      </c>
      <c r="AM69" s="188"/>
      <c r="AN69" s="188"/>
      <c r="AO69" s="188">
        <f>IF(MONTH(DATE(Planungsjahr,6,1)-WEEKDAY(DATE(Planungsjahr,6,1),2)+27)=6,DAY(DATE(Planungsjahr,6,1)-WEEKDAY(DATE(Planungsjahr,6,1),2)+27),"")</f>
        <v>26</v>
      </c>
      <c r="AP69" s="188"/>
      <c r="AQ69" s="188"/>
      <c r="AR69" s="188">
        <f>IF(MONTH(DATE(Planungsjahr,6,1)-WEEKDAY(DATE(Planungsjahr,6,1),2)+28)=6,DAY(DATE(Planungsjahr,6,1)-WEEKDAY(DATE(Planungsjahr,6,1),2)+28),"")</f>
        <v>27</v>
      </c>
      <c r="AS69" s="188"/>
      <c r="AT69" s="190"/>
      <c r="AV69" s="177">
        <f>IF(OR(ISNUMBER(AW69),ISNUMBER(BO69)),_xlfn.ISOWEEKNUM(DATE(Planungsjahr,7,1)-WEEKDAY(DATE(Planungsjahr,7,1),2)+22),"")</f>
        <v>29</v>
      </c>
      <c r="AW69" s="188">
        <f>IF(MONTH(DATE(Planungsjahr,7,1)-WEEKDAY(DATE(Planungsjahr,7,1),2)+22)=7,DAY(DATE(Planungsjahr,7,1)-WEEKDAY(DATE(Planungsjahr,7,1),2)+22),"")</f>
        <v>19</v>
      </c>
      <c r="AX69" s="188"/>
      <c r="AY69" s="188"/>
      <c r="AZ69" s="188">
        <f>IF(MONTH(DATE(Planungsjahr,7,1)-WEEKDAY(DATE(Planungsjahr,7,1),2)+23)=7,DAY(DATE(Planungsjahr,7,1)-WEEKDAY(DATE(Planungsjahr,7,1),2)+23),"")</f>
        <v>20</v>
      </c>
      <c r="BA69" s="188"/>
      <c r="BB69" s="188"/>
      <c r="BC69" s="188">
        <f>IF(MONTH(DATE(Planungsjahr,7,1)-WEEKDAY(DATE(Planungsjahr,7,1),2)+24)=7,DAY(DATE(Planungsjahr,7,1)-WEEKDAY(DATE(Planungsjahr,7,1),2)+24),"")</f>
        <v>21</v>
      </c>
      <c r="BD69" s="188"/>
      <c r="BE69" s="188"/>
      <c r="BF69" s="188">
        <f>IF(MONTH(DATE(Planungsjahr,7,1)-WEEKDAY(DATE(Planungsjahr,7,1),2)+25)=7,DAY(DATE(Planungsjahr,7,1)-WEEKDAY(DATE(Planungsjahr,7,1),2)+25),"")</f>
        <v>22</v>
      </c>
      <c r="BG69" s="188"/>
      <c r="BH69" s="188"/>
      <c r="BI69" s="188">
        <f>IF(MONTH(DATE(Planungsjahr,7,1)-WEEKDAY(DATE(Planungsjahr,7,1),2)+26)=7,DAY(DATE(Planungsjahr,7,1)-WEEKDAY(DATE(Planungsjahr,7,1),2)+26),"")</f>
        <v>23</v>
      </c>
      <c r="BJ69" s="188"/>
      <c r="BK69" s="188"/>
      <c r="BL69" s="188">
        <f>IF(MONTH(DATE(Planungsjahr,7,1)-WEEKDAY(DATE(Planungsjahr,7,1),2)+27)=7,DAY(DATE(Planungsjahr,7,1)-WEEKDAY(DATE(Planungsjahr,7,1),2)+27),"")</f>
        <v>24</v>
      </c>
      <c r="BM69" s="188"/>
      <c r="BN69" s="188"/>
      <c r="BO69" s="188">
        <f>IF(MONTH(DATE(Planungsjahr,7,1)-WEEKDAY(DATE(Planungsjahr,7,1),2)+28)=7,DAY(DATE(Planungsjahr,7,1)-WEEKDAY(DATE(Planungsjahr,7,1),2)+28),"")</f>
        <v>25</v>
      </c>
      <c r="BP69" s="188"/>
      <c r="BQ69" s="190"/>
      <c r="BS69" s="177">
        <f>IF(OR(ISNUMBER(BT69),ISNUMBER(CL69)),_xlfn.ISOWEEKNUM(DATE(Planungsjahr,8,1)-WEEKDAY(DATE(Planungsjahr,8,1),2)+22),"")</f>
        <v>33</v>
      </c>
      <c r="BT69" s="188">
        <f>IF(MONTH(DATE(Planungsjahr,8,1)-WEEKDAY(DATE(Planungsjahr,8,1),2)+22)=8,DAY(DATE(Planungsjahr,8,1)-WEEKDAY(DATE(Planungsjahr,8,1),2)+22),"")</f>
        <v>16</v>
      </c>
      <c r="BU69" s="188"/>
      <c r="BV69" s="188"/>
      <c r="BW69" s="188">
        <f>IF(MONTH(DATE(Planungsjahr,8,1)-WEEKDAY(DATE(Planungsjahr,8,1),2)+23)=8,DAY(DATE(Planungsjahr,8,1)-WEEKDAY(DATE(Planungsjahr,8,1),2)+23),"")</f>
        <v>17</v>
      </c>
      <c r="BX69" s="188"/>
      <c r="BY69" s="188"/>
      <c r="BZ69" s="188">
        <f>IF(MONTH(DATE(Planungsjahr,8,1)-WEEKDAY(DATE(Planungsjahr,8,1),2)+24)=8,DAY(DATE(Planungsjahr,8,1)-WEEKDAY(DATE(Planungsjahr,8,1),2)+24),"")</f>
        <v>18</v>
      </c>
      <c r="CA69" s="188"/>
      <c r="CB69" s="188"/>
      <c r="CC69" s="188">
        <f>IF(MONTH(DATE(Planungsjahr,8,1)-WEEKDAY(DATE(Planungsjahr,8,1),2)+25)=8,DAY(DATE(Planungsjahr,8,1)-WEEKDAY(DATE(Planungsjahr,8,1),2)+25),"")</f>
        <v>19</v>
      </c>
      <c r="CD69" s="188"/>
      <c r="CE69" s="188"/>
      <c r="CF69" s="188">
        <f>IF(MONTH(DATE(Planungsjahr,8,1)-WEEKDAY(DATE(Planungsjahr,8,1),2)+26)=8,DAY(DATE(Planungsjahr,8,1)-WEEKDAY(DATE(Planungsjahr,8,1),2)+26),"")</f>
        <v>20</v>
      </c>
      <c r="CG69" s="188"/>
      <c r="CH69" s="188"/>
      <c r="CI69" s="188">
        <f>IF(MONTH(DATE(Planungsjahr,8,1)-WEEKDAY(DATE(Planungsjahr,8,1),2)+27)=8,DAY(DATE(Planungsjahr,8,1)-WEEKDAY(DATE(Planungsjahr,8,1),2)+27),"")</f>
        <v>21</v>
      </c>
      <c r="CJ69" s="188"/>
      <c r="CK69" s="188"/>
      <c r="CL69" s="188">
        <f>IF(MONTH(DATE(Planungsjahr,8,1)-WEEKDAY(DATE(Planungsjahr,8,1),2)+28)=8,DAY(DATE(Planungsjahr,8,1)-WEEKDAY(DATE(Planungsjahr,8,1),2)+28),"")</f>
        <v>22</v>
      </c>
      <c r="CM69" s="188"/>
      <c r="CN69" s="190"/>
    </row>
    <row r="70" spans="2:92" ht="10.5" customHeight="1" x14ac:dyDescent="0.25">
      <c r="B70" s="179"/>
      <c r="C70" s="223">
        <f>IF(ISNUMBER(C69),IFERROR(11-1/(1/SUMPRODUCT(MAX((JP_StartSel=DATE(Planungsjahr,5,C69))*Anzeige_S*((JP_Anzeige=TRUE)+NOT(Filter_Aktiv)&gt;0)*(11-JP_Farbe)))),IF(COUNTIF(Feiertage,DATE(Planungsjahr,5,C69))&gt;0,"h",IF(COUNTIFS(U_Von,"&lt;="&amp;DATE(Planungsjahr,5,C69),U_Bis,"&gt;="&amp;DATE(Planungsjahr,5,C69))&gt;0,"u",""))),"")</f>
      </c>
      <c r="D70" s="224">
        <f>IF(ISNUMBER(C69),IFERROR(21-1/(1/SUMPRODUCT(MAX((JP_StartInhalt=DATE(Planungsjahr,5,C69))*Anzeige_I*((JP_Anzeige=TRUE)+NOT(Filter_Aktiv)&gt;0)*(11-JP_Farbe)))),IF(COUNTIF(Feiertage,DATE(Planungsjahr,5,C69))&gt;0,"h",IF(COUNTIFS(U_Von,"&lt;="&amp;DATE(Planungsjahr,5,C69),U_Bis,"&gt;="&amp;DATE(Planungsjahr,5,C69))&gt;0,"u",""))),"")</f>
      </c>
      <c r="E70" s="225">
        <f>IF(ISNUMBER(C69),IFERROR(31-1/(1/SUMPRODUCT(MAX((JP_PAL=DATE(Planungsjahr,5,C69))*Anzeige_P*((JP_Anzeige=TRUE)+NOT(Filter_Aktiv)&gt;0)*(11-JP_Farbe)))),IF(COUNTIF(Feiertage,DATE(Planungsjahr,5,C69))&gt;0,"h",IF(COUNTIFS(U_Von,"&lt;="&amp;DATE(Planungsjahr,5,C69),U_Bis,"&gt;="&amp;DATE(Planungsjahr,5,C69))&gt;0,"u",""))),"")</f>
      </c>
      <c r="F70" s="223">
        <f>IF(ISNUMBER(F69),IFERROR(11-1/(1/SUMPRODUCT(MAX((JP_StartSel=DATE(Planungsjahr,5,F69))*Anzeige_S*((JP_Anzeige=TRUE)+NOT(Filter_Aktiv)&gt;0)*(11-JP_Farbe)))),IF(COUNTIF(Feiertage,DATE(Planungsjahr,5,F69))&gt;0,"h",IF(COUNTIFS(U_Von,"&lt;="&amp;DATE(Planungsjahr,5,F69),U_Bis,"&gt;="&amp;DATE(Planungsjahr,5,F69))&gt;0,"u",""))),"")</f>
      </c>
      <c r="G70" s="224">
        <f>IF(ISNUMBER(F69),IFERROR(21-1/(1/SUMPRODUCT(MAX((JP_StartInhalt=DATE(Planungsjahr,5,F69))*Anzeige_I*((JP_Anzeige=TRUE)+NOT(Filter_Aktiv)&gt;0)*(11-JP_Farbe)))),IF(COUNTIF(Feiertage,DATE(Planungsjahr,5,F69))&gt;0,"h",IF(COUNTIFS(U_Von,"&lt;="&amp;DATE(Planungsjahr,5,F69),U_Bis,"&gt;="&amp;DATE(Planungsjahr,5,F69))&gt;0,"u",""))),"")</f>
      </c>
      <c r="H70" s="225">
        <f>IF(ISNUMBER(F69),IFERROR(31-1/(1/SUMPRODUCT(MAX((JP_PAL=DATE(Planungsjahr,5,F69))*Anzeige_P*((JP_Anzeige=TRUE)+NOT(Filter_Aktiv)&gt;0)*(11-JP_Farbe)))),IF(COUNTIF(Feiertage,DATE(Planungsjahr,5,F69))&gt;0,"h",IF(COUNTIFS(U_Von,"&lt;="&amp;DATE(Planungsjahr,5,F69),U_Bis,"&gt;="&amp;DATE(Planungsjahr,5,F69))&gt;0,"u",""))),"")</f>
      </c>
      <c r="I70" s="223">
        <f>IF(ISNUMBER(I69),IFERROR(11-1/(1/SUMPRODUCT(MAX((JP_StartSel=DATE(Planungsjahr,5,I69))*Anzeige_S*((JP_Anzeige=TRUE)+NOT(Filter_Aktiv)&gt;0)*(11-JP_Farbe)))),IF(COUNTIF(Feiertage,DATE(Planungsjahr,5,I69))&gt;0,"h",IF(COUNTIFS(U_Von,"&lt;="&amp;DATE(Planungsjahr,5,I69),U_Bis,"&gt;="&amp;DATE(Planungsjahr,5,I69))&gt;0,"u",""))),"")</f>
      </c>
      <c r="J70" s="224">
        <f>IF(ISNUMBER(I69),IFERROR(21-1/(1/SUMPRODUCT(MAX((JP_StartInhalt=DATE(Planungsjahr,5,I69))*Anzeige_I*((JP_Anzeige=TRUE)+NOT(Filter_Aktiv)&gt;0)*(11-JP_Farbe)))),IF(COUNTIF(Feiertage,DATE(Planungsjahr,5,I69))&gt;0,"h",IF(COUNTIFS(U_Von,"&lt;="&amp;DATE(Planungsjahr,5,I69),U_Bis,"&gt;="&amp;DATE(Planungsjahr,5,I69))&gt;0,"u",""))),"")</f>
      </c>
      <c r="K70" s="225">
        <f>IF(ISNUMBER(I69),IFERROR(31-1/(1/SUMPRODUCT(MAX((JP_PAL=DATE(Planungsjahr,5,I69))*Anzeige_P*((JP_Anzeige=TRUE)+NOT(Filter_Aktiv)&gt;0)*(11-JP_Farbe)))),IF(COUNTIF(Feiertage,DATE(Planungsjahr,5,I69))&gt;0,"h",IF(COUNTIFS(U_Von,"&lt;="&amp;DATE(Planungsjahr,5,I69),U_Bis,"&gt;="&amp;DATE(Planungsjahr,5,I69))&gt;0,"u",""))),"")</f>
      </c>
      <c r="L70" s="223">
        <f>IF(ISNUMBER(L69),IFERROR(11-1/(1/SUMPRODUCT(MAX((JP_StartSel=DATE(Planungsjahr,5,L69))*Anzeige_S*((JP_Anzeige=TRUE)+NOT(Filter_Aktiv)&gt;0)*(11-JP_Farbe)))),IF(COUNTIF(Feiertage,DATE(Planungsjahr,5,L69))&gt;0,"h",IF(COUNTIFS(U_Von,"&lt;="&amp;DATE(Planungsjahr,5,L69),U_Bis,"&gt;="&amp;DATE(Planungsjahr,5,L69))&gt;0,"u",""))),"")</f>
      </c>
      <c r="M70" s="224">
        <f>IF(ISNUMBER(L69),IFERROR(21-1/(1/SUMPRODUCT(MAX((JP_StartInhalt=DATE(Planungsjahr,5,L69))*Anzeige_I*((JP_Anzeige=TRUE)+NOT(Filter_Aktiv)&gt;0)*(11-JP_Farbe)))),IF(COUNTIF(Feiertage,DATE(Planungsjahr,5,L69))&gt;0,"h",IF(COUNTIFS(U_Von,"&lt;="&amp;DATE(Planungsjahr,5,L69),U_Bis,"&gt;="&amp;DATE(Planungsjahr,5,L69))&gt;0,"u",""))),"")</f>
      </c>
      <c r="N70" s="225">
        <f>IF(ISNUMBER(L69),IFERROR(31-1/(1/SUMPRODUCT(MAX((JP_PAL=DATE(Planungsjahr,5,L69))*Anzeige_P*((JP_Anzeige=TRUE)+NOT(Filter_Aktiv)&gt;0)*(11-JP_Farbe)))),IF(COUNTIF(Feiertage,DATE(Planungsjahr,5,L69))&gt;0,"h",IF(COUNTIFS(U_Von,"&lt;="&amp;DATE(Planungsjahr,5,L69),U_Bis,"&gt;="&amp;DATE(Planungsjahr,5,L69))&gt;0,"u",""))),"")</f>
      </c>
      <c r="O70" s="223">
        <f>IF(ISNUMBER(O69),IFERROR(11-1/(1/SUMPRODUCT(MAX((JP_StartSel=DATE(Planungsjahr,5,O69))*Anzeige_S*((JP_Anzeige=TRUE)+NOT(Filter_Aktiv)&gt;0)*(11-JP_Farbe)))),IF(COUNTIF(Feiertage,DATE(Planungsjahr,5,O69))&gt;0,"h",IF(COUNTIFS(U_Von,"&lt;="&amp;DATE(Planungsjahr,5,O69),U_Bis,"&gt;="&amp;DATE(Planungsjahr,5,O69))&gt;0,"u",""))),"")</f>
      </c>
      <c r="P70" s="224">
        <f>IF(ISNUMBER(O69),IFERROR(21-1/(1/SUMPRODUCT(MAX((JP_StartInhalt=DATE(Planungsjahr,5,O69))*Anzeige_I*((JP_Anzeige=TRUE)+NOT(Filter_Aktiv)&gt;0)*(11-JP_Farbe)))),IF(COUNTIF(Feiertage,DATE(Planungsjahr,5,O69))&gt;0,"h",IF(COUNTIFS(U_Von,"&lt;="&amp;DATE(Planungsjahr,5,O69),U_Bis,"&gt;="&amp;DATE(Planungsjahr,5,O69))&gt;0,"u",""))),"")</f>
      </c>
      <c r="Q70" s="225">
        <f>IF(ISNUMBER(O69),IFERROR(31-1/(1/SUMPRODUCT(MAX((JP_PAL=DATE(Planungsjahr,5,O69))*Anzeige_P*((JP_Anzeige=TRUE)+NOT(Filter_Aktiv)&gt;0)*(11-JP_Farbe)))),IF(COUNTIF(Feiertage,DATE(Planungsjahr,5,O69))&gt;0,"h",IF(COUNTIFS(U_Von,"&lt;="&amp;DATE(Planungsjahr,5,O69),U_Bis,"&gt;="&amp;DATE(Planungsjahr,5,O69))&gt;0,"u",""))),"")</f>
      </c>
      <c r="R70" s="223">
        <f>IF(ISNUMBER(R69),IFERROR(11-1/(1/SUMPRODUCT(MAX((JP_StartSel=DATE(Planungsjahr,5,R69))*Anzeige_S*((JP_Anzeige=TRUE)+NOT(Filter_Aktiv)&gt;0)*(11-JP_Farbe)))),IF(COUNTIF(Feiertage,DATE(Planungsjahr,5,R69))&gt;0,"h","w")),"")</f>
      </c>
      <c r="S70" s="224">
        <f>IF(ISNUMBER(R69),IFERROR(21-1/(1/SUMPRODUCT(MAX((JP_StartInhalt=DATE(Planungsjahr,5,R69))*Anzeige_I*((JP_Anzeige=TRUE)+NOT(Filter_Aktiv)&gt;0)*(11-JP_Farbe)))),IF(COUNTIF(Feiertage,DATE(Planungsjahr,5,R69))&gt;0,"h","w")),"")</f>
      </c>
      <c r="T70" s="225">
        <f>IF(ISNUMBER(R69),IFERROR(31-1/(1/SUMPRODUCT(MAX((JP_PAL=DATE(Planungsjahr,5,R69))*Anzeige_P*((JP_Anzeige=TRUE)+NOT(Filter_Aktiv)&gt;0)*(11-JP_Farbe)))),IF(COUNTIF(Feiertage,DATE(Planungsjahr,5,R69))&gt;0,"h","w")),"")</f>
      </c>
      <c r="U70" s="223">
        <f>IF(ISNUMBER(U69),IFERROR(11-1/(1/SUMPRODUCT(MAX((JP_StartSel=DATE(Planungsjahr,5,U69))*Anzeige_S*((JP_Anzeige=TRUE)+NOT(Filter_Aktiv)&gt;0)*(11-JP_Farbe)))),IF(COUNTIF(Feiertage,DATE(Planungsjahr,5,U69))&gt;0,"h","w")),"")</f>
      </c>
      <c r="V70" s="224">
        <f>IF(ISNUMBER(U69),IFERROR(21-1/(1/SUMPRODUCT(MAX((JP_StartInhalt=DATE(Planungsjahr,5,U69))*Anzeige_I*((JP_Anzeige=TRUE)+NOT(Filter_Aktiv)&gt;0)*(11-JP_Farbe)))),IF(COUNTIF(Feiertage,DATE(Planungsjahr,5,U69))&gt;0,"h","w")),"")</f>
      </c>
      <c r="W70" s="225">
        <f>IF(ISNUMBER(U69),IFERROR(31-1/(1/SUMPRODUCT(MAX((JP_PAL=DATE(Planungsjahr,5,U69))*Anzeige_P*((JP_Anzeige=TRUE)+NOT(Filter_Aktiv)&gt;0)*(11-JP_Farbe)))),IF(COUNTIF(Feiertage,DATE(Planungsjahr,5,U69))&gt;0,"h","w")),"")</f>
      </c>
      <c r="Y70" s="179"/>
      <c r="Z70" s="223">
        <f>IF(ISNUMBER(Z69),IFERROR(11-1/(1/SUMPRODUCT(MAX((JP_StartSel=DATE(Planungsjahr,6,Z69))*Anzeige_S*((JP_Anzeige=TRUE)+NOT(Filter_Aktiv)&gt;0)*(11-JP_Farbe)))),IF(COUNTIF(Feiertage,DATE(Planungsjahr,6,Z69))&gt;0,"h",IF(COUNTIFS(U_Von,"&lt;="&amp;DATE(Planungsjahr,6,Z69),U_Bis,"&gt;="&amp;DATE(Planungsjahr,6,Z69))&gt;0,"u",""))),"")</f>
      </c>
      <c r="AA70" s="224">
        <f>IF(ISNUMBER(Z69),IFERROR(21-1/(1/SUMPRODUCT(MAX((JP_StartInhalt=DATE(Planungsjahr,6,Z69))*Anzeige_I*((JP_Anzeige=TRUE)+NOT(Filter_Aktiv)&gt;0)*(11-JP_Farbe)))),IF(COUNTIF(Feiertage,DATE(Planungsjahr,6,Z69))&gt;0,"h",IF(COUNTIFS(U_Von,"&lt;="&amp;DATE(Planungsjahr,6,Z69),U_Bis,"&gt;="&amp;DATE(Planungsjahr,6,Z69))&gt;0,"u",""))),"")</f>
      </c>
      <c r="AB70" s="225">
        <f>IF(ISNUMBER(Z69),IFERROR(31-1/(1/SUMPRODUCT(MAX((JP_PAL=DATE(Planungsjahr,6,Z69))*Anzeige_P*((JP_Anzeige=TRUE)+NOT(Filter_Aktiv)&gt;0)*(11-JP_Farbe)))),IF(COUNTIF(Feiertage,DATE(Planungsjahr,6,Z69))&gt;0,"h",IF(COUNTIFS(U_Von,"&lt;="&amp;DATE(Planungsjahr,6,Z69),U_Bis,"&gt;="&amp;DATE(Planungsjahr,6,Z69))&gt;0,"u",""))),"")</f>
      </c>
      <c r="AC70" s="223">
        <f>IF(ISNUMBER(AC69),IFERROR(11-1/(1/SUMPRODUCT(MAX((JP_StartSel=DATE(Planungsjahr,6,AC69))*Anzeige_S*((JP_Anzeige=TRUE)+NOT(Filter_Aktiv)&gt;0)*(11-JP_Farbe)))),IF(COUNTIF(Feiertage,DATE(Planungsjahr,6,AC69))&gt;0,"h",IF(COUNTIFS(U_Von,"&lt;="&amp;DATE(Planungsjahr,6,AC69),U_Bis,"&gt;="&amp;DATE(Planungsjahr,6,AC69))&gt;0,"u",""))),"")</f>
      </c>
      <c r="AD70" s="224">
        <f>IF(ISNUMBER(AC69),IFERROR(21-1/(1/SUMPRODUCT(MAX((JP_StartInhalt=DATE(Planungsjahr,6,AC69))*Anzeige_I*((JP_Anzeige=TRUE)+NOT(Filter_Aktiv)&gt;0)*(11-JP_Farbe)))),IF(COUNTIF(Feiertage,DATE(Planungsjahr,6,AC69))&gt;0,"h",IF(COUNTIFS(U_Von,"&lt;="&amp;DATE(Planungsjahr,6,AC69),U_Bis,"&gt;="&amp;DATE(Planungsjahr,6,AC69))&gt;0,"u",""))),"")</f>
      </c>
      <c r="AE70" s="225">
        <f>IF(ISNUMBER(AC69),IFERROR(31-1/(1/SUMPRODUCT(MAX((JP_PAL=DATE(Planungsjahr,6,AC69))*Anzeige_P*((JP_Anzeige=TRUE)+NOT(Filter_Aktiv)&gt;0)*(11-JP_Farbe)))),IF(COUNTIF(Feiertage,DATE(Planungsjahr,6,AC69))&gt;0,"h",IF(COUNTIFS(U_Von,"&lt;="&amp;DATE(Planungsjahr,6,AC69),U_Bis,"&gt;="&amp;DATE(Planungsjahr,6,AC69))&gt;0,"u",""))),"")</f>
      </c>
      <c r="AF70" s="223">
        <f>IF(ISNUMBER(AF69),IFERROR(11-1/(1/SUMPRODUCT(MAX((JP_StartSel=DATE(Planungsjahr,6,AF69))*Anzeige_S*((JP_Anzeige=TRUE)+NOT(Filter_Aktiv)&gt;0)*(11-JP_Farbe)))),IF(COUNTIF(Feiertage,DATE(Planungsjahr,6,AF69))&gt;0,"h",IF(COUNTIFS(U_Von,"&lt;="&amp;DATE(Planungsjahr,6,AF69),U_Bis,"&gt;="&amp;DATE(Planungsjahr,6,AF69))&gt;0,"u",""))),"")</f>
      </c>
      <c r="AG70" s="224">
        <f>IF(ISNUMBER(AF69),IFERROR(21-1/(1/SUMPRODUCT(MAX((JP_StartInhalt=DATE(Planungsjahr,6,AF69))*Anzeige_I*((JP_Anzeige=TRUE)+NOT(Filter_Aktiv)&gt;0)*(11-JP_Farbe)))),IF(COUNTIF(Feiertage,DATE(Planungsjahr,6,AF69))&gt;0,"h",IF(COUNTIFS(U_Von,"&lt;="&amp;DATE(Planungsjahr,6,AF69),U_Bis,"&gt;="&amp;DATE(Planungsjahr,6,AF69))&gt;0,"u",""))),"")</f>
      </c>
      <c r="AH70" s="225">
        <f>IF(ISNUMBER(AF69),IFERROR(31-1/(1/SUMPRODUCT(MAX((JP_PAL=DATE(Planungsjahr,6,AF69))*Anzeige_P*((JP_Anzeige=TRUE)+NOT(Filter_Aktiv)&gt;0)*(11-JP_Farbe)))),IF(COUNTIF(Feiertage,DATE(Planungsjahr,6,AF69))&gt;0,"h",IF(COUNTIFS(U_Von,"&lt;="&amp;DATE(Planungsjahr,6,AF69),U_Bis,"&gt;="&amp;DATE(Planungsjahr,6,AF69))&gt;0,"u",""))),"")</f>
      </c>
      <c r="AI70" s="223">
        <f>IF(ISNUMBER(AI69),IFERROR(11-1/(1/SUMPRODUCT(MAX((JP_StartSel=DATE(Planungsjahr,6,AI69))*Anzeige_S*((JP_Anzeige=TRUE)+NOT(Filter_Aktiv)&gt;0)*(11-JP_Farbe)))),IF(COUNTIF(Feiertage,DATE(Planungsjahr,6,AI69))&gt;0,"h",IF(COUNTIFS(U_Von,"&lt;="&amp;DATE(Planungsjahr,6,AI69),U_Bis,"&gt;="&amp;DATE(Planungsjahr,6,AI69))&gt;0,"u",""))),"")</f>
      </c>
      <c r="AJ70" s="224">
        <f>IF(ISNUMBER(AI69),IFERROR(21-1/(1/SUMPRODUCT(MAX((JP_StartInhalt=DATE(Planungsjahr,6,AI69))*Anzeige_I*((JP_Anzeige=TRUE)+NOT(Filter_Aktiv)&gt;0)*(11-JP_Farbe)))),IF(COUNTIF(Feiertage,DATE(Planungsjahr,6,AI69))&gt;0,"h",IF(COUNTIFS(U_Von,"&lt;="&amp;DATE(Planungsjahr,6,AI69),U_Bis,"&gt;="&amp;DATE(Planungsjahr,6,AI69))&gt;0,"u",""))),"")</f>
      </c>
      <c r="AK70" s="225">
        <f>IF(ISNUMBER(AI69),IFERROR(31-1/(1/SUMPRODUCT(MAX((JP_PAL=DATE(Planungsjahr,6,AI69))*Anzeige_P*((JP_Anzeige=TRUE)+NOT(Filter_Aktiv)&gt;0)*(11-JP_Farbe)))),IF(COUNTIF(Feiertage,DATE(Planungsjahr,6,AI69))&gt;0,"h",IF(COUNTIFS(U_Von,"&lt;="&amp;DATE(Planungsjahr,6,AI69),U_Bis,"&gt;="&amp;DATE(Planungsjahr,6,AI69))&gt;0,"u",""))),"")</f>
      </c>
      <c r="AL70" s="223">
        <f>IF(ISNUMBER(AL69),IFERROR(11-1/(1/SUMPRODUCT(MAX((JP_StartSel=DATE(Planungsjahr,6,AL69))*Anzeige_S*((JP_Anzeige=TRUE)+NOT(Filter_Aktiv)&gt;0)*(11-JP_Farbe)))),IF(COUNTIF(Feiertage,DATE(Planungsjahr,6,AL69))&gt;0,"h",IF(COUNTIFS(U_Von,"&lt;="&amp;DATE(Planungsjahr,6,AL69),U_Bis,"&gt;="&amp;DATE(Planungsjahr,6,AL69))&gt;0,"u",""))),"")</f>
      </c>
      <c r="AM70" s="224">
        <f>IF(ISNUMBER(AL69),IFERROR(21-1/(1/SUMPRODUCT(MAX((JP_StartInhalt=DATE(Planungsjahr,6,AL69))*Anzeige_I*((JP_Anzeige=TRUE)+NOT(Filter_Aktiv)&gt;0)*(11-JP_Farbe)))),IF(COUNTIF(Feiertage,DATE(Planungsjahr,6,AL69))&gt;0,"h",IF(COUNTIFS(U_Von,"&lt;="&amp;DATE(Planungsjahr,6,AL69),U_Bis,"&gt;="&amp;DATE(Planungsjahr,6,AL69))&gt;0,"u",""))),"")</f>
      </c>
      <c r="AN70" s="225">
        <f>IF(ISNUMBER(AL69),IFERROR(31-1/(1/SUMPRODUCT(MAX((JP_PAL=DATE(Planungsjahr,6,AL69))*Anzeige_P*((JP_Anzeige=TRUE)+NOT(Filter_Aktiv)&gt;0)*(11-JP_Farbe)))),IF(COUNTIF(Feiertage,DATE(Planungsjahr,6,AL69))&gt;0,"h",IF(COUNTIFS(U_Von,"&lt;="&amp;DATE(Planungsjahr,6,AL69),U_Bis,"&gt;="&amp;DATE(Planungsjahr,6,AL69))&gt;0,"u",""))),"")</f>
      </c>
      <c r="AO70" s="223">
        <f>IF(ISNUMBER(AO69),IFERROR(11-1/(1/SUMPRODUCT(MAX((JP_StartSel=DATE(Planungsjahr,6,AO69))*Anzeige_S*((JP_Anzeige=TRUE)+NOT(Filter_Aktiv)&gt;0)*(11-JP_Farbe)))),IF(COUNTIF(Feiertage,DATE(Planungsjahr,6,AO69))&gt;0,"h","w")),"")</f>
      </c>
      <c r="AP70" s="224">
        <f>IF(ISNUMBER(AO69),IFERROR(21-1/(1/SUMPRODUCT(MAX((JP_StartInhalt=DATE(Planungsjahr,6,AO69))*Anzeige_I*((JP_Anzeige=TRUE)+NOT(Filter_Aktiv)&gt;0)*(11-JP_Farbe)))),IF(COUNTIF(Feiertage,DATE(Planungsjahr,6,AO69))&gt;0,"h","w")),"")</f>
      </c>
      <c r="AQ70" s="225">
        <f>IF(ISNUMBER(AO69),IFERROR(31-1/(1/SUMPRODUCT(MAX((JP_PAL=DATE(Planungsjahr,6,AO69))*Anzeige_P*((JP_Anzeige=TRUE)+NOT(Filter_Aktiv)&gt;0)*(11-JP_Farbe)))),IF(COUNTIF(Feiertage,DATE(Planungsjahr,6,AO69))&gt;0,"h","w")),"")</f>
      </c>
      <c r="AR70" s="223">
        <f>IF(ISNUMBER(AR69),IFERROR(11-1/(1/SUMPRODUCT(MAX((JP_StartSel=DATE(Planungsjahr,6,AR69))*Anzeige_S*((JP_Anzeige=TRUE)+NOT(Filter_Aktiv)&gt;0)*(11-JP_Farbe)))),IF(COUNTIF(Feiertage,DATE(Planungsjahr,6,AR69))&gt;0,"h","w")),"")</f>
      </c>
      <c r="AS70" s="224">
        <f>IF(ISNUMBER(AR69),IFERROR(21-1/(1/SUMPRODUCT(MAX((JP_StartInhalt=DATE(Planungsjahr,6,AR69))*Anzeige_I*((JP_Anzeige=TRUE)+NOT(Filter_Aktiv)&gt;0)*(11-JP_Farbe)))),IF(COUNTIF(Feiertage,DATE(Planungsjahr,6,AR69))&gt;0,"h","w")),"")</f>
      </c>
      <c r="AT70" s="225">
        <f>IF(ISNUMBER(AR69),IFERROR(31-1/(1/SUMPRODUCT(MAX((JP_PAL=DATE(Planungsjahr,6,AR69))*Anzeige_P*((JP_Anzeige=TRUE)+NOT(Filter_Aktiv)&gt;0)*(11-JP_Farbe)))),IF(COUNTIF(Feiertage,DATE(Planungsjahr,6,AR69))&gt;0,"h","w")),"")</f>
      </c>
      <c r="AV70" s="179"/>
      <c r="AW70" s="223">
        <f>IF(ISNUMBER(AW69),IFERROR(11-1/(1/SUMPRODUCT(MAX((JP_StartSel=DATE(Planungsjahr,7,AW69))*Anzeige_S*((JP_Anzeige=TRUE)+NOT(Filter_Aktiv)&gt;0)*(11-JP_Farbe)))),IF(COUNTIF(Feiertage,DATE(Planungsjahr,7,AW69))&gt;0,"h",IF(COUNTIFS(U_Von,"&lt;="&amp;DATE(Planungsjahr,7,AW69),U_Bis,"&gt;="&amp;DATE(Planungsjahr,7,AW69))&gt;0,"u",""))),"")</f>
      </c>
      <c r="AX70" s="224">
        <f>IF(ISNUMBER(AW69),IFERROR(21-1/(1/SUMPRODUCT(MAX((JP_StartInhalt=DATE(Planungsjahr,7,AW69))*Anzeige_I*((JP_Anzeige=TRUE)+NOT(Filter_Aktiv)&gt;0)*(11-JP_Farbe)))),IF(COUNTIF(Feiertage,DATE(Planungsjahr,7,AW69))&gt;0,"h",IF(COUNTIFS(U_Von,"&lt;="&amp;DATE(Planungsjahr,7,AW69),U_Bis,"&gt;="&amp;DATE(Planungsjahr,7,AW69))&gt;0,"u",""))),"")</f>
      </c>
      <c r="AY70" s="225">
        <f>IF(ISNUMBER(AW69),IFERROR(31-1/(1/SUMPRODUCT(MAX((JP_PAL=DATE(Planungsjahr,7,AW69))*Anzeige_P*((JP_Anzeige=TRUE)+NOT(Filter_Aktiv)&gt;0)*(11-JP_Farbe)))),IF(COUNTIF(Feiertage,DATE(Planungsjahr,7,AW69))&gt;0,"h",IF(COUNTIFS(U_Von,"&lt;="&amp;DATE(Planungsjahr,7,AW69),U_Bis,"&gt;="&amp;DATE(Planungsjahr,7,AW69))&gt;0,"u",""))),"")</f>
      </c>
      <c r="AZ70" s="223">
        <f>IF(ISNUMBER(AZ69),IFERROR(11-1/(1/SUMPRODUCT(MAX((JP_StartSel=DATE(Planungsjahr,7,AZ69))*Anzeige_S*((JP_Anzeige=TRUE)+NOT(Filter_Aktiv)&gt;0)*(11-JP_Farbe)))),IF(COUNTIF(Feiertage,DATE(Planungsjahr,7,AZ69))&gt;0,"h",IF(COUNTIFS(U_Von,"&lt;="&amp;DATE(Planungsjahr,7,AZ69),U_Bis,"&gt;="&amp;DATE(Planungsjahr,7,AZ69))&gt;0,"u",""))),"")</f>
      </c>
      <c r="BA70" s="224">
        <f>IF(ISNUMBER(AZ69),IFERROR(21-1/(1/SUMPRODUCT(MAX((JP_StartInhalt=DATE(Planungsjahr,7,AZ69))*Anzeige_I*((JP_Anzeige=TRUE)+NOT(Filter_Aktiv)&gt;0)*(11-JP_Farbe)))),IF(COUNTIF(Feiertage,DATE(Planungsjahr,7,AZ69))&gt;0,"h",IF(COUNTIFS(U_Von,"&lt;="&amp;DATE(Planungsjahr,7,AZ69),U_Bis,"&gt;="&amp;DATE(Planungsjahr,7,AZ69))&gt;0,"u",""))),"")</f>
      </c>
      <c r="BB70" s="225">
        <f>IF(ISNUMBER(AZ69),IFERROR(31-1/(1/SUMPRODUCT(MAX((JP_PAL=DATE(Planungsjahr,7,AZ69))*Anzeige_P*((JP_Anzeige=TRUE)+NOT(Filter_Aktiv)&gt;0)*(11-JP_Farbe)))),IF(COUNTIF(Feiertage,DATE(Planungsjahr,7,AZ69))&gt;0,"h",IF(COUNTIFS(U_Von,"&lt;="&amp;DATE(Planungsjahr,7,AZ69),U_Bis,"&gt;="&amp;DATE(Planungsjahr,7,AZ69))&gt;0,"u",""))),"")</f>
      </c>
      <c r="BC70" s="223">
        <f>IF(ISNUMBER(BC69),IFERROR(11-1/(1/SUMPRODUCT(MAX((JP_StartSel=DATE(Planungsjahr,7,BC69))*Anzeige_S*((JP_Anzeige=TRUE)+NOT(Filter_Aktiv)&gt;0)*(11-JP_Farbe)))),IF(COUNTIF(Feiertage,DATE(Planungsjahr,7,BC69))&gt;0,"h",IF(COUNTIFS(U_Von,"&lt;="&amp;DATE(Planungsjahr,7,BC69),U_Bis,"&gt;="&amp;DATE(Planungsjahr,7,BC69))&gt;0,"u",""))),"")</f>
      </c>
      <c r="BD70" s="224">
        <f>IF(ISNUMBER(BC69),IFERROR(21-1/(1/SUMPRODUCT(MAX((JP_StartInhalt=DATE(Planungsjahr,7,BC69))*Anzeige_I*((JP_Anzeige=TRUE)+NOT(Filter_Aktiv)&gt;0)*(11-JP_Farbe)))),IF(COUNTIF(Feiertage,DATE(Planungsjahr,7,BC69))&gt;0,"h",IF(COUNTIFS(U_Von,"&lt;="&amp;DATE(Planungsjahr,7,BC69),U_Bis,"&gt;="&amp;DATE(Planungsjahr,7,BC69))&gt;0,"u",""))),"")</f>
      </c>
      <c r="BE70" s="225">
        <f>IF(ISNUMBER(BC69),IFERROR(31-1/(1/SUMPRODUCT(MAX((JP_PAL=DATE(Planungsjahr,7,BC69))*Anzeige_P*((JP_Anzeige=TRUE)+NOT(Filter_Aktiv)&gt;0)*(11-JP_Farbe)))),IF(COUNTIF(Feiertage,DATE(Planungsjahr,7,BC69))&gt;0,"h",IF(COUNTIFS(U_Von,"&lt;="&amp;DATE(Planungsjahr,7,BC69),U_Bis,"&gt;="&amp;DATE(Planungsjahr,7,BC69))&gt;0,"u",""))),"")</f>
      </c>
      <c r="BF70" s="223">
        <f>IF(ISNUMBER(BF69),IFERROR(11-1/(1/SUMPRODUCT(MAX((JP_StartSel=DATE(Planungsjahr,7,BF69))*Anzeige_S*((JP_Anzeige=TRUE)+NOT(Filter_Aktiv)&gt;0)*(11-JP_Farbe)))),IF(COUNTIF(Feiertage,DATE(Planungsjahr,7,BF69))&gt;0,"h",IF(COUNTIFS(U_Von,"&lt;="&amp;DATE(Planungsjahr,7,BF69),U_Bis,"&gt;="&amp;DATE(Planungsjahr,7,BF69))&gt;0,"u",""))),"")</f>
      </c>
      <c r="BG70" s="224">
        <f>IF(ISNUMBER(BF69),IFERROR(21-1/(1/SUMPRODUCT(MAX((JP_StartInhalt=DATE(Planungsjahr,7,BF69))*Anzeige_I*((JP_Anzeige=TRUE)+NOT(Filter_Aktiv)&gt;0)*(11-JP_Farbe)))),IF(COUNTIF(Feiertage,DATE(Planungsjahr,7,BF69))&gt;0,"h",IF(COUNTIFS(U_Von,"&lt;="&amp;DATE(Planungsjahr,7,BF69),U_Bis,"&gt;="&amp;DATE(Planungsjahr,7,BF69))&gt;0,"u",""))),"")</f>
      </c>
      <c r="BH70" s="225">
        <f>IF(ISNUMBER(BF69),IFERROR(31-1/(1/SUMPRODUCT(MAX((JP_PAL=DATE(Planungsjahr,7,BF69))*Anzeige_P*((JP_Anzeige=TRUE)+NOT(Filter_Aktiv)&gt;0)*(11-JP_Farbe)))),IF(COUNTIF(Feiertage,DATE(Planungsjahr,7,BF69))&gt;0,"h",IF(COUNTIFS(U_Von,"&lt;="&amp;DATE(Planungsjahr,7,BF69),U_Bis,"&gt;="&amp;DATE(Planungsjahr,7,BF69))&gt;0,"u",""))),"")</f>
      </c>
      <c r="BI70" s="223">
        <f>IF(ISNUMBER(BI69),IFERROR(11-1/(1/SUMPRODUCT(MAX((JP_StartSel=DATE(Planungsjahr,7,BI69))*Anzeige_S*((JP_Anzeige=TRUE)+NOT(Filter_Aktiv)&gt;0)*(11-JP_Farbe)))),IF(COUNTIF(Feiertage,DATE(Planungsjahr,7,BI69))&gt;0,"h",IF(COUNTIFS(U_Von,"&lt;="&amp;DATE(Planungsjahr,7,BI69),U_Bis,"&gt;="&amp;DATE(Planungsjahr,7,BI69))&gt;0,"u",""))),"")</f>
      </c>
      <c r="BJ70" s="224">
        <f>IF(ISNUMBER(BI69),IFERROR(21-1/(1/SUMPRODUCT(MAX((JP_StartInhalt=DATE(Planungsjahr,7,BI69))*Anzeige_I*((JP_Anzeige=TRUE)+NOT(Filter_Aktiv)&gt;0)*(11-JP_Farbe)))),IF(COUNTIF(Feiertage,DATE(Planungsjahr,7,BI69))&gt;0,"h",IF(COUNTIFS(U_Von,"&lt;="&amp;DATE(Planungsjahr,7,BI69),U_Bis,"&gt;="&amp;DATE(Planungsjahr,7,BI69))&gt;0,"u",""))),"")</f>
      </c>
      <c r="BK70" s="225">
        <f>IF(ISNUMBER(BI69),IFERROR(31-1/(1/SUMPRODUCT(MAX((JP_PAL=DATE(Planungsjahr,7,BI69))*Anzeige_P*((JP_Anzeige=TRUE)+NOT(Filter_Aktiv)&gt;0)*(11-JP_Farbe)))),IF(COUNTIF(Feiertage,DATE(Planungsjahr,7,BI69))&gt;0,"h",IF(COUNTIFS(U_Von,"&lt;="&amp;DATE(Planungsjahr,7,BI69),U_Bis,"&gt;="&amp;DATE(Planungsjahr,7,BI69))&gt;0,"u",""))),"")</f>
      </c>
      <c r="BL70" s="223">
        <f>IF(ISNUMBER(BL69),IFERROR(11-1/(1/SUMPRODUCT(MAX((JP_StartSel=DATE(Planungsjahr,7,BL69))*Anzeige_S*((JP_Anzeige=TRUE)+NOT(Filter_Aktiv)&gt;0)*(11-JP_Farbe)))),IF(COUNTIF(Feiertage,DATE(Planungsjahr,7,BL69))&gt;0,"h","w")),"")</f>
      </c>
      <c r="BM70" s="224">
        <f>IF(ISNUMBER(BL69),IFERROR(21-1/(1/SUMPRODUCT(MAX((JP_StartInhalt=DATE(Planungsjahr,7,BL69))*Anzeige_I*((JP_Anzeige=TRUE)+NOT(Filter_Aktiv)&gt;0)*(11-JP_Farbe)))),IF(COUNTIF(Feiertage,DATE(Planungsjahr,7,BL69))&gt;0,"h","w")),"")</f>
      </c>
      <c r="BN70" s="225">
        <f>IF(ISNUMBER(BL69),IFERROR(31-1/(1/SUMPRODUCT(MAX((JP_PAL=DATE(Planungsjahr,7,BL69))*Anzeige_P*((JP_Anzeige=TRUE)+NOT(Filter_Aktiv)&gt;0)*(11-JP_Farbe)))),IF(COUNTIF(Feiertage,DATE(Planungsjahr,7,BL69))&gt;0,"h","w")),"")</f>
      </c>
      <c r="BO70" s="223">
        <f>IF(ISNUMBER(BO69),IFERROR(11-1/(1/SUMPRODUCT(MAX((JP_StartSel=DATE(Planungsjahr,7,BO69))*Anzeige_S*((JP_Anzeige=TRUE)+NOT(Filter_Aktiv)&gt;0)*(11-JP_Farbe)))),IF(COUNTIF(Feiertage,DATE(Planungsjahr,7,BO69))&gt;0,"h","w")),"")</f>
      </c>
      <c r="BP70" s="224">
        <f>IF(ISNUMBER(BO69),IFERROR(21-1/(1/SUMPRODUCT(MAX((JP_StartInhalt=DATE(Planungsjahr,7,BO69))*Anzeige_I*((JP_Anzeige=TRUE)+NOT(Filter_Aktiv)&gt;0)*(11-JP_Farbe)))),IF(COUNTIF(Feiertage,DATE(Planungsjahr,7,BO69))&gt;0,"h","w")),"")</f>
      </c>
      <c r="BQ70" s="225">
        <f>IF(ISNUMBER(BO69),IFERROR(31-1/(1/SUMPRODUCT(MAX((JP_PAL=DATE(Planungsjahr,7,BO69))*Anzeige_P*((JP_Anzeige=TRUE)+NOT(Filter_Aktiv)&gt;0)*(11-JP_Farbe)))),IF(COUNTIF(Feiertage,DATE(Planungsjahr,7,BO69))&gt;0,"h","w")),"")</f>
      </c>
      <c r="BS70" s="179"/>
      <c r="BT70" s="223">
        <f>IF(ISNUMBER(BT69),IFERROR(11-1/(1/SUMPRODUCT(MAX((JP_StartSel=DATE(Planungsjahr,8,BT69))*Anzeige_S*((JP_Anzeige=TRUE)+NOT(Filter_Aktiv)&gt;0)*(11-JP_Farbe)))),IF(COUNTIF(Feiertage,DATE(Planungsjahr,8,BT69))&gt;0,"h",IF(COUNTIFS(U_Von,"&lt;="&amp;DATE(Planungsjahr,8,BT69),U_Bis,"&gt;="&amp;DATE(Planungsjahr,8,BT69))&gt;0,"u",""))),"")</f>
      </c>
      <c r="BU70" s="224">
        <f>IF(ISNUMBER(BT69),IFERROR(21-1/(1/SUMPRODUCT(MAX((JP_StartInhalt=DATE(Planungsjahr,8,BT69))*Anzeige_I*((JP_Anzeige=TRUE)+NOT(Filter_Aktiv)&gt;0)*(11-JP_Farbe)))),IF(COUNTIF(Feiertage,DATE(Planungsjahr,8,BT69))&gt;0,"h",IF(COUNTIFS(U_Von,"&lt;="&amp;DATE(Planungsjahr,8,BT69),U_Bis,"&gt;="&amp;DATE(Planungsjahr,8,BT69))&gt;0,"u",""))),"")</f>
      </c>
      <c r="BV70" s="225">
        <f>IF(ISNUMBER(BT69),IFERROR(31-1/(1/SUMPRODUCT(MAX((JP_PAL=DATE(Planungsjahr,8,BT69))*Anzeige_P*((JP_Anzeige=TRUE)+NOT(Filter_Aktiv)&gt;0)*(11-JP_Farbe)))),IF(COUNTIF(Feiertage,DATE(Planungsjahr,8,BT69))&gt;0,"h",IF(COUNTIFS(U_Von,"&lt;="&amp;DATE(Planungsjahr,8,BT69),U_Bis,"&gt;="&amp;DATE(Planungsjahr,8,BT69))&gt;0,"u",""))),"")</f>
      </c>
      <c r="BW70" s="223">
        <f>IF(ISNUMBER(BW69),IFERROR(11-1/(1/SUMPRODUCT(MAX((JP_StartSel=DATE(Planungsjahr,8,BW69))*Anzeige_S*((JP_Anzeige=TRUE)+NOT(Filter_Aktiv)&gt;0)*(11-JP_Farbe)))),IF(COUNTIF(Feiertage,DATE(Planungsjahr,8,BW69))&gt;0,"h",IF(COUNTIFS(U_Von,"&lt;="&amp;DATE(Planungsjahr,8,BW69),U_Bis,"&gt;="&amp;DATE(Planungsjahr,8,BW69))&gt;0,"u",""))),"")</f>
      </c>
      <c r="BX70" s="224">
        <f>IF(ISNUMBER(BW69),IFERROR(21-1/(1/SUMPRODUCT(MAX((JP_StartInhalt=DATE(Planungsjahr,8,BW69))*Anzeige_I*((JP_Anzeige=TRUE)+NOT(Filter_Aktiv)&gt;0)*(11-JP_Farbe)))),IF(COUNTIF(Feiertage,DATE(Planungsjahr,8,BW69))&gt;0,"h",IF(COUNTIFS(U_Von,"&lt;="&amp;DATE(Planungsjahr,8,BW69),U_Bis,"&gt;="&amp;DATE(Planungsjahr,8,BW69))&gt;0,"u",""))),"")</f>
      </c>
      <c r="BY70" s="225">
        <f>IF(ISNUMBER(BW69),IFERROR(31-1/(1/SUMPRODUCT(MAX((JP_PAL=DATE(Planungsjahr,8,BW69))*Anzeige_P*((JP_Anzeige=TRUE)+NOT(Filter_Aktiv)&gt;0)*(11-JP_Farbe)))),IF(COUNTIF(Feiertage,DATE(Planungsjahr,8,BW69))&gt;0,"h",IF(COUNTIFS(U_Von,"&lt;="&amp;DATE(Planungsjahr,8,BW69),U_Bis,"&gt;="&amp;DATE(Planungsjahr,8,BW69))&gt;0,"u",""))),"")</f>
      </c>
      <c r="BZ70" s="223">
        <f>IF(ISNUMBER(BZ69),IFERROR(11-1/(1/SUMPRODUCT(MAX((JP_StartSel=DATE(Planungsjahr,8,BZ69))*Anzeige_S*((JP_Anzeige=TRUE)+NOT(Filter_Aktiv)&gt;0)*(11-JP_Farbe)))),IF(COUNTIF(Feiertage,DATE(Planungsjahr,8,BZ69))&gt;0,"h",IF(COUNTIFS(U_Von,"&lt;="&amp;DATE(Planungsjahr,8,BZ69),U_Bis,"&gt;="&amp;DATE(Planungsjahr,8,BZ69))&gt;0,"u",""))),"")</f>
      </c>
      <c r="CA70" s="224">
        <f>IF(ISNUMBER(BZ69),IFERROR(21-1/(1/SUMPRODUCT(MAX((JP_StartInhalt=DATE(Planungsjahr,8,BZ69))*Anzeige_I*((JP_Anzeige=TRUE)+NOT(Filter_Aktiv)&gt;0)*(11-JP_Farbe)))),IF(COUNTIF(Feiertage,DATE(Planungsjahr,8,BZ69))&gt;0,"h",IF(COUNTIFS(U_Von,"&lt;="&amp;DATE(Planungsjahr,8,BZ69),U_Bis,"&gt;="&amp;DATE(Planungsjahr,8,BZ69))&gt;0,"u",""))),"")</f>
      </c>
      <c r="CB70" s="225">
        <f>IF(ISNUMBER(BZ69),IFERROR(31-1/(1/SUMPRODUCT(MAX((JP_PAL=DATE(Planungsjahr,8,BZ69))*Anzeige_P*((JP_Anzeige=TRUE)+NOT(Filter_Aktiv)&gt;0)*(11-JP_Farbe)))),IF(COUNTIF(Feiertage,DATE(Planungsjahr,8,BZ69))&gt;0,"h",IF(COUNTIFS(U_Von,"&lt;="&amp;DATE(Planungsjahr,8,BZ69),U_Bis,"&gt;="&amp;DATE(Planungsjahr,8,BZ69))&gt;0,"u",""))),"")</f>
      </c>
      <c r="CC70" s="223">
        <f>IF(ISNUMBER(CC69),IFERROR(11-1/(1/SUMPRODUCT(MAX((JP_StartSel=DATE(Planungsjahr,8,CC69))*Anzeige_S*((JP_Anzeige=TRUE)+NOT(Filter_Aktiv)&gt;0)*(11-JP_Farbe)))),IF(COUNTIF(Feiertage,DATE(Planungsjahr,8,CC69))&gt;0,"h",IF(COUNTIFS(U_Von,"&lt;="&amp;DATE(Planungsjahr,8,CC69),U_Bis,"&gt;="&amp;DATE(Planungsjahr,8,CC69))&gt;0,"u",""))),"")</f>
      </c>
      <c r="CD70" s="224">
        <f>IF(ISNUMBER(CC69),IFERROR(21-1/(1/SUMPRODUCT(MAX((JP_StartInhalt=DATE(Planungsjahr,8,CC69))*Anzeige_I*((JP_Anzeige=TRUE)+NOT(Filter_Aktiv)&gt;0)*(11-JP_Farbe)))),IF(COUNTIF(Feiertage,DATE(Planungsjahr,8,CC69))&gt;0,"h",IF(COUNTIFS(U_Von,"&lt;="&amp;DATE(Planungsjahr,8,CC69),U_Bis,"&gt;="&amp;DATE(Planungsjahr,8,CC69))&gt;0,"u",""))),"")</f>
      </c>
      <c r="CE70" s="225">
        <f>IF(ISNUMBER(CC69),IFERROR(31-1/(1/SUMPRODUCT(MAX((JP_PAL=DATE(Planungsjahr,8,CC69))*Anzeige_P*((JP_Anzeige=TRUE)+NOT(Filter_Aktiv)&gt;0)*(11-JP_Farbe)))),IF(COUNTIF(Feiertage,DATE(Planungsjahr,8,CC69))&gt;0,"h",IF(COUNTIFS(U_Von,"&lt;="&amp;DATE(Planungsjahr,8,CC69),U_Bis,"&gt;="&amp;DATE(Planungsjahr,8,CC69))&gt;0,"u",""))),"")</f>
      </c>
      <c r="CF70" s="223">
        <f>IF(ISNUMBER(CF69),IFERROR(11-1/(1/SUMPRODUCT(MAX((JP_StartSel=DATE(Planungsjahr,8,CF69))*Anzeige_S*((JP_Anzeige=TRUE)+NOT(Filter_Aktiv)&gt;0)*(11-JP_Farbe)))),IF(COUNTIF(Feiertage,DATE(Planungsjahr,8,CF69))&gt;0,"h",IF(COUNTIFS(U_Von,"&lt;="&amp;DATE(Planungsjahr,8,CF69),U_Bis,"&gt;="&amp;DATE(Planungsjahr,8,CF69))&gt;0,"u",""))),"")</f>
      </c>
      <c r="CG70" s="224">
        <f>IF(ISNUMBER(CF69),IFERROR(21-1/(1/SUMPRODUCT(MAX((JP_StartInhalt=DATE(Planungsjahr,8,CF69))*Anzeige_I*((JP_Anzeige=TRUE)+NOT(Filter_Aktiv)&gt;0)*(11-JP_Farbe)))),IF(COUNTIF(Feiertage,DATE(Planungsjahr,8,CF69))&gt;0,"h",IF(COUNTIFS(U_Von,"&lt;="&amp;DATE(Planungsjahr,8,CF69),U_Bis,"&gt;="&amp;DATE(Planungsjahr,8,CF69))&gt;0,"u",""))),"")</f>
      </c>
      <c r="CH70" s="225">
        <f>IF(ISNUMBER(CF69),IFERROR(31-1/(1/SUMPRODUCT(MAX((JP_PAL=DATE(Planungsjahr,8,CF69))*Anzeige_P*((JP_Anzeige=TRUE)+NOT(Filter_Aktiv)&gt;0)*(11-JP_Farbe)))),IF(COUNTIF(Feiertage,DATE(Planungsjahr,8,CF69))&gt;0,"h",IF(COUNTIFS(U_Von,"&lt;="&amp;DATE(Planungsjahr,8,CF69),U_Bis,"&gt;="&amp;DATE(Planungsjahr,8,CF69))&gt;0,"u",""))),"")</f>
      </c>
      <c r="CI70" s="223">
        <f>IF(ISNUMBER(CI69),IFERROR(11-1/(1/SUMPRODUCT(MAX((JP_StartSel=DATE(Planungsjahr,8,CI69))*Anzeige_S*((JP_Anzeige=TRUE)+NOT(Filter_Aktiv)&gt;0)*(11-JP_Farbe)))),IF(COUNTIF(Feiertage,DATE(Planungsjahr,8,CI69))&gt;0,"h","w")),"")</f>
      </c>
      <c r="CJ70" s="224">
        <f>IF(ISNUMBER(CI69),IFERROR(21-1/(1/SUMPRODUCT(MAX((JP_StartInhalt=DATE(Planungsjahr,8,CI69))*Anzeige_I*((JP_Anzeige=TRUE)+NOT(Filter_Aktiv)&gt;0)*(11-JP_Farbe)))),IF(COUNTIF(Feiertage,DATE(Planungsjahr,8,CI69))&gt;0,"h","w")),"")</f>
      </c>
      <c r="CK70" s="225">
        <f>IF(ISNUMBER(CI69),IFERROR(31-1/(1/SUMPRODUCT(MAX((JP_PAL=DATE(Planungsjahr,8,CI69))*Anzeige_P*((JP_Anzeige=TRUE)+NOT(Filter_Aktiv)&gt;0)*(11-JP_Farbe)))),IF(COUNTIF(Feiertage,DATE(Planungsjahr,8,CI69))&gt;0,"h","w")),"")</f>
      </c>
      <c r="CL70" s="223">
        <f>IF(ISNUMBER(CL69),IFERROR(11-1/(1/SUMPRODUCT(MAX((JP_StartSel=DATE(Planungsjahr,8,CL69))*Anzeige_S*((JP_Anzeige=TRUE)+NOT(Filter_Aktiv)&gt;0)*(11-JP_Farbe)))),IF(COUNTIF(Feiertage,DATE(Planungsjahr,8,CL69))&gt;0,"h","w")),"")</f>
      </c>
      <c r="CM70" s="224">
        <f>IF(ISNUMBER(CL69),IFERROR(21-1/(1/SUMPRODUCT(MAX((JP_StartInhalt=DATE(Planungsjahr,8,CL69))*Anzeige_I*((JP_Anzeige=TRUE)+NOT(Filter_Aktiv)&gt;0)*(11-JP_Farbe)))),IF(COUNTIF(Feiertage,DATE(Planungsjahr,8,CL69))&gt;0,"h","w")),"")</f>
      </c>
      <c r="CN70" s="225">
        <f>IF(ISNUMBER(CL69),IFERROR(31-1/(1/SUMPRODUCT(MAX((JP_PAL=DATE(Planungsjahr,8,CL69))*Anzeige_P*((JP_Anzeige=TRUE)+NOT(Filter_Aktiv)&gt;0)*(11-JP_Farbe)))),IF(COUNTIF(Feiertage,DATE(Planungsjahr,8,CL69))&gt;0,"h","w")),"")</f>
      </c>
    </row>
    <row r="71" spans="2:92" ht="15.95" customHeight="1" x14ac:dyDescent="0.25">
      <c r="B71" s="177">
        <f>IF(OR(ISNUMBER(C71),ISNUMBER(U71)),_xlfn.ISOWEEKNUM(DATE(Planungsjahr,5,1)-WEEKDAY(DATE(Planungsjahr,5,1),2)+29),"")</f>
        <v>21</v>
      </c>
      <c r="C71" s="188">
        <f>IF(MONTH(DATE(Planungsjahr,5,1)-WEEKDAY(DATE(Planungsjahr,5,1),2)+29)=5,DAY(DATE(Planungsjahr,5,1)-WEEKDAY(DATE(Planungsjahr,5,1),2)+29),"")</f>
        <v>24</v>
      </c>
      <c r="D71" s="188"/>
      <c r="E71" s="188"/>
      <c r="F71" s="188">
        <f>IF(MONTH(DATE(Planungsjahr,5,1)-WEEKDAY(DATE(Planungsjahr,5,1),2)+30)=5,DAY(DATE(Planungsjahr,5,1)-WEEKDAY(DATE(Planungsjahr,5,1),2)+30),"")</f>
        <v>25</v>
      </c>
      <c r="G71" s="188"/>
      <c r="H71" s="188"/>
      <c r="I71" s="188">
        <f>IF(MONTH(DATE(Planungsjahr,5,1)-WEEKDAY(DATE(Planungsjahr,5,1),2)+31)=5,DAY(DATE(Planungsjahr,5,1)-WEEKDAY(DATE(Planungsjahr,5,1),2)+31),"")</f>
        <v>26</v>
      </c>
      <c r="J71" s="188"/>
      <c r="K71" s="188"/>
      <c r="L71" s="188">
        <f>IF(MONTH(DATE(Planungsjahr,5,1)-WEEKDAY(DATE(Planungsjahr,5,1),2)+32)=5,DAY(DATE(Planungsjahr,5,1)-WEEKDAY(DATE(Planungsjahr,5,1),2)+32),"")</f>
        <v>27</v>
      </c>
      <c r="M71" s="188"/>
      <c r="N71" s="188"/>
      <c r="O71" s="188">
        <f>IF(MONTH(DATE(Planungsjahr,5,1)-WEEKDAY(DATE(Planungsjahr,5,1),2)+33)=5,DAY(DATE(Planungsjahr,5,1)-WEEKDAY(DATE(Planungsjahr,5,1),2)+33),"")</f>
        <v>28</v>
      </c>
      <c r="P71" s="188"/>
      <c r="Q71" s="188"/>
      <c r="R71" s="188">
        <f>IF(MONTH(DATE(Planungsjahr,5,1)-WEEKDAY(DATE(Planungsjahr,5,1),2)+34)=5,DAY(DATE(Planungsjahr,5,1)-WEEKDAY(DATE(Planungsjahr,5,1),2)+34),"")</f>
        <v>29</v>
      </c>
      <c r="S71" s="188"/>
      <c r="T71" s="188"/>
      <c r="U71" s="188">
        <f>IF(MONTH(DATE(Planungsjahr,5,1)-WEEKDAY(DATE(Planungsjahr,5,1),2)+35)=5,DAY(DATE(Planungsjahr,5,1)-WEEKDAY(DATE(Planungsjahr,5,1),2)+35),"")</f>
        <v>30</v>
      </c>
      <c r="V71" s="188"/>
      <c r="W71" s="190"/>
      <c r="Y71" s="177">
        <f>IF(OR(ISNUMBER(Z71),ISNUMBER(AR71)),_xlfn.ISOWEEKNUM(DATE(Planungsjahr,6,1)-WEEKDAY(DATE(Planungsjahr,6,1),2)+29),"")</f>
        <v>26</v>
      </c>
      <c r="Z71" s="188">
        <f>IF(MONTH(DATE(Planungsjahr,6,1)-WEEKDAY(DATE(Planungsjahr,6,1),2)+29)=6,DAY(DATE(Planungsjahr,6,1)-WEEKDAY(DATE(Planungsjahr,6,1),2)+29),"")</f>
        <v>28</v>
      </c>
      <c r="AA71" s="188"/>
      <c r="AB71" s="188"/>
      <c r="AC71" s="188">
        <f>IF(MONTH(DATE(Planungsjahr,6,1)-WEEKDAY(DATE(Planungsjahr,6,1),2)+30)=6,DAY(DATE(Planungsjahr,6,1)-WEEKDAY(DATE(Planungsjahr,6,1),2)+30),"")</f>
        <v>29</v>
      </c>
      <c r="AD71" s="188"/>
      <c r="AE71" s="188"/>
      <c r="AF71" s="188">
        <f>IF(MONTH(DATE(Planungsjahr,6,1)-WEEKDAY(DATE(Planungsjahr,6,1),2)+31)=6,DAY(DATE(Planungsjahr,6,1)-WEEKDAY(DATE(Planungsjahr,6,1),2)+31),"")</f>
        <v>30</v>
      </c>
      <c r="AG71" s="188"/>
      <c r="AH71" s="188"/>
      <c r="AI71" s="188" t="str">
        <f>IF(MONTH(DATE(Planungsjahr,6,1)-WEEKDAY(DATE(Planungsjahr,6,1),2)+32)=6,DAY(DATE(Planungsjahr,6,1)-WEEKDAY(DATE(Planungsjahr,6,1),2)+32),"")</f>
        <v/>
      </c>
      <c r="AJ71" s="188"/>
      <c r="AK71" s="188"/>
      <c r="AL71" s="188" t="str">
        <f>IF(MONTH(DATE(Planungsjahr,6,1)-WEEKDAY(DATE(Planungsjahr,6,1),2)+33)=6,DAY(DATE(Planungsjahr,6,1)-WEEKDAY(DATE(Planungsjahr,6,1),2)+33),"")</f>
        <v/>
      </c>
      <c r="AM71" s="188"/>
      <c r="AN71" s="188"/>
      <c r="AO71" s="188" t="str">
        <f>IF(MONTH(DATE(Planungsjahr,6,1)-WEEKDAY(DATE(Planungsjahr,6,1),2)+34)=6,DAY(DATE(Planungsjahr,6,1)-WEEKDAY(DATE(Planungsjahr,6,1),2)+34),"")</f>
        <v/>
      </c>
      <c r="AP71" s="188"/>
      <c r="AQ71" s="188"/>
      <c r="AR71" s="188" t="str">
        <f>IF(MONTH(DATE(Planungsjahr,6,1)-WEEKDAY(DATE(Planungsjahr,6,1),2)+35)=6,DAY(DATE(Planungsjahr,6,1)-WEEKDAY(DATE(Planungsjahr,6,1),2)+35),"")</f>
        <v/>
      </c>
      <c r="AS71" s="188"/>
      <c r="AT71" s="190"/>
      <c r="AV71" s="177">
        <f>IF(OR(ISNUMBER(AW71),ISNUMBER(BO71)),_xlfn.ISOWEEKNUM(DATE(Planungsjahr,7,1)-WEEKDAY(DATE(Planungsjahr,7,1),2)+29),"")</f>
        <v>30</v>
      </c>
      <c r="AW71" s="188">
        <f>IF(MONTH(DATE(Planungsjahr,7,1)-WEEKDAY(DATE(Planungsjahr,7,1),2)+29)=7,DAY(DATE(Planungsjahr,7,1)-WEEKDAY(DATE(Planungsjahr,7,1),2)+29),"")</f>
        <v>26</v>
      </c>
      <c r="AX71" s="188"/>
      <c r="AY71" s="188"/>
      <c r="AZ71" s="188">
        <f>IF(MONTH(DATE(Planungsjahr,7,1)-WEEKDAY(DATE(Planungsjahr,7,1),2)+30)=7,DAY(DATE(Planungsjahr,7,1)-WEEKDAY(DATE(Planungsjahr,7,1),2)+30),"")</f>
        <v>27</v>
      </c>
      <c r="BA71" s="188"/>
      <c r="BB71" s="188"/>
      <c r="BC71" s="188">
        <f>IF(MONTH(DATE(Planungsjahr,7,1)-WEEKDAY(DATE(Planungsjahr,7,1),2)+31)=7,DAY(DATE(Planungsjahr,7,1)-WEEKDAY(DATE(Planungsjahr,7,1),2)+31),"")</f>
        <v>28</v>
      </c>
      <c r="BD71" s="188"/>
      <c r="BE71" s="188"/>
      <c r="BF71" s="188">
        <f>IF(MONTH(DATE(Planungsjahr,7,1)-WEEKDAY(DATE(Planungsjahr,7,1),2)+32)=7,DAY(DATE(Planungsjahr,7,1)-WEEKDAY(DATE(Planungsjahr,7,1),2)+32),"")</f>
        <v>29</v>
      </c>
      <c r="BG71" s="188"/>
      <c r="BH71" s="188"/>
      <c r="BI71" s="188">
        <f>IF(MONTH(DATE(Planungsjahr,7,1)-WEEKDAY(DATE(Planungsjahr,7,1),2)+33)=7,DAY(DATE(Planungsjahr,7,1)-WEEKDAY(DATE(Planungsjahr,7,1),2)+33),"")</f>
        <v>30</v>
      </c>
      <c r="BJ71" s="188"/>
      <c r="BK71" s="188"/>
      <c r="BL71" s="188">
        <f>IF(MONTH(DATE(Planungsjahr,7,1)-WEEKDAY(DATE(Planungsjahr,7,1),2)+34)=7,DAY(DATE(Planungsjahr,7,1)-WEEKDAY(DATE(Planungsjahr,7,1),2)+34),"")</f>
        <v>31</v>
      </c>
      <c r="BM71" s="188"/>
      <c r="BN71" s="188"/>
      <c r="BO71" s="188" t="str">
        <f>IF(MONTH(DATE(Planungsjahr,7,1)-WEEKDAY(DATE(Planungsjahr,7,1),2)+35)=7,DAY(DATE(Planungsjahr,7,1)-WEEKDAY(DATE(Planungsjahr,7,1),2)+35),"")</f>
        <v/>
      </c>
      <c r="BP71" s="188"/>
      <c r="BQ71" s="190"/>
      <c r="BS71" s="177">
        <f>IF(OR(ISNUMBER(BT71),ISNUMBER(CL71)),_xlfn.ISOWEEKNUM(DATE(Planungsjahr,8,1)-WEEKDAY(DATE(Planungsjahr,8,1),2)+29),"")</f>
        <v>34</v>
      </c>
      <c r="BT71" s="188">
        <f>IF(MONTH(DATE(Planungsjahr,8,1)-WEEKDAY(DATE(Planungsjahr,8,1),2)+29)=8,DAY(DATE(Planungsjahr,8,1)-WEEKDAY(DATE(Planungsjahr,8,1),2)+29),"")</f>
        <v>23</v>
      </c>
      <c r="BU71" s="188"/>
      <c r="BV71" s="188"/>
      <c r="BW71" s="188">
        <f>IF(MONTH(DATE(Planungsjahr,8,1)-WEEKDAY(DATE(Planungsjahr,8,1),2)+30)=8,DAY(DATE(Planungsjahr,8,1)-WEEKDAY(DATE(Planungsjahr,8,1),2)+30),"")</f>
        <v>24</v>
      </c>
      <c r="BX71" s="188"/>
      <c r="BY71" s="188"/>
      <c r="BZ71" s="188">
        <f>IF(MONTH(DATE(Planungsjahr,8,1)-WEEKDAY(DATE(Planungsjahr,8,1),2)+31)=8,DAY(DATE(Planungsjahr,8,1)-WEEKDAY(DATE(Planungsjahr,8,1),2)+31),"")</f>
        <v>25</v>
      </c>
      <c r="CA71" s="188"/>
      <c r="CB71" s="188"/>
      <c r="CC71" s="188">
        <f>IF(MONTH(DATE(Planungsjahr,8,1)-WEEKDAY(DATE(Planungsjahr,8,1),2)+32)=8,DAY(DATE(Planungsjahr,8,1)-WEEKDAY(DATE(Planungsjahr,8,1),2)+32),"")</f>
        <v>26</v>
      </c>
      <c r="CD71" s="188"/>
      <c r="CE71" s="188"/>
      <c r="CF71" s="188">
        <f>IF(MONTH(DATE(Planungsjahr,8,1)-WEEKDAY(DATE(Planungsjahr,8,1),2)+33)=8,DAY(DATE(Planungsjahr,8,1)-WEEKDAY(DATE(Planungsjahr,8,1),2)+33),"")</f>
        <v>27</v>
      </c>
      <c r="CG71" s="188"/>
      <c r="CH71" s="188"/>
      <c r="CI71" s="188">
        <f>IF(MONTH(DATE(Planungsjahr,8,1)-WEEKDAY(DATE(Planungsjahr,8,1),2)+34)=8,DAY(DATE(Planungsjahr,8,1)-WEEKDAY(DATE(Planungsjahr,8,1),2)+34),"")</f>
        <v>28</v>
      </c>
      <c r="CJ71" s="188"/>
      <c r="CK71" s="188"/>
      <c r="CL71" s="188">
        <f>IF(MONTH(DATE(Planungsjahr,8,1)-WEEKDAY(DATE(Planungsjahr,8,1),2)+35)=8,DAY(DATE(Planungsjahr,8,1)-WEEKDAY(DATE(Planungsjahr,8,1),2)+35),"")</f>
        <v>29</v>
      </c>
      <c r="CM71" s="188"/>
      <c r="CN71" s="190"/>
    </row>
    <row r="72" spans="2:92" ht="10.5" customHeight="1" x14ac:dyDescent="0.25">
      <c r="B72" s="179"/>
      <c r="C72" s="223">
        <f>IF(ISNUMBER(C71),IFERROR(11-1/(1/SUMPRODUCT(MAX((JP_StartSel=DATE(Planungsjahr,5,C71))*Anzeige_S*((JP_Anzeige=TRUE)+NOT(Filter_Aktiv)&gt;0)*(11-JP_Farbe)))),IF(COUNTIF(Feiertage,DATE(Planungsjahr,5,C71))&gt;0,"h",IF(COUNTIFS(U_Von,"&lt;="&amp;DATE(Planungsjahr,5,C71),U_Bis,"&gt;="&amp;DATE(Planungsjahr,5,C71))&gt;0,"u",""))),"")</f>
      </c>
      <c r="D72" s="224">
        <f>IF(ISNUMBER(C71),IFERROR(21-1/(1/SUMPRODUCT(MAX((JP_StartInhalt=DATE(Planungsjahr,5,C71))*Anzeige_I*((JP_Anzeige=TRUE)+NOT(Filter_Aktiv)&gt;0)*(11-JP_Farbe)))),IF(COUNTIF(Feiertage,DATE(Planungsjahr,5,C71))&gt;0,"h",IF(COUNTIFS(U_Von,"&lt;="&amp;DATE(Planungsjahr,5,C71),U_Bis,"&gt;="&amp;DATE(Planungsjahr,5,C71))&gt;0,"u",""))),"")</f>
      </c>
      <c r="E72" s="225">
        <f>IF(ISNUMBER(C71),IFERROR(31-1/(1/SUMPRODUCT(MAX((JP_PAL=DATE(Planungsjahr,5,C71))*Anzeige_P*((JP_Anzeige=TRUE)+NOT(Filter_Aktiv)&gt;0)*(11-JP_Farbe)))),IF(COUNTIF(Feiertage,DATE(Planungsjahr,5,C71))&gt;0,"h",IF(COUNTIFS(U_Von,"&lt;="&amp;DATE(Planungsjahr,5,C71),U_Bis,"&gt;="&amp;DATE(Planungsjahr,5,C71))&gt;0,"u",""))),"")</f>
      </c>
      <c r="F72" s="223">
        <f>IF(ISNUMBER(F71),IFERROR(11-1/(1/SUMPRODUCT(MAX((JP_StartSel=DATE(Planungsjahr,5,F71))*Anzeige_S*((JP_Anzeige=TRUE)+NOT(Filter_Aktiv)&gt;0)*(11-JP_Farbe)))),IF(COUNTIF(Feiertage,DATE(Planungsjahr,5,F71))&gt;0,"h",IF(COUNTIFS(U_Von,"&lt;="&amp;DATE(Planungsjahr,5,F71),U_Bis,"&gt;="&amp;DATE(Planungsjahr,5,F71))&gt;0,"u",""))),"")</f>
      </c>
      <c r="G72" s="224">
        <f>IF(ISNUMBER(F71),IFERROR(21-1/(1/SUMPRODUCT(MAX((JP_StartInhalt=DATE(Planungsjahr,5,F71))*Anzeige_I*((JP_Anzeige=TRUE)+NOT(Filter_Aktiv)&gt;0)*(11-JP_Farbe)))),IF(COUNTIF(Feiertage,DATE(Planungsjahr,5,F71))&gt;0,"h",IF(COUNTIFS(U_Von,"&lt;="&amp;DATE(Planungsjahr,5,F71),U_Bis,"&gt;="&amp;DATE(Planungsjahr,5,F71))&gt;0,"u",""))),"")</f>
      </c>
      <c r="H72" s="225">
        <f>IF(ISNUMBER(F71),IFERROR(31-1/(1/SUMPRODUCT(MAX((JP_PAL=DATE(Planungsjahr,5,F71))*Anzeige_P*((JP_Anzeige=TRUE)+NOT(Filter_Aktiv)&gt;0)*(11-JP_Farbe)))),IF(COUNTIF(Feiertage,DATE(Planungsjahr,5,F71))&gt;0,"h",IF(COUNTIFS(U_Von,"&lt;="&amp;DATE(Planungsjahr,5,F71),U_Bis,"&gt;="&amp;DATE(Planungsjahr,5,F71))&gt;0,"u",""))),"")</f>
      </c>
      <c r="I72" s="223">
        <f>IF(ISNUMBER(I71),IFERROR(11-1/(1/SUMPRODUCT(MAX((JP_StartSel=DATE(Planungsjahr,5,I71))*Anzeige_S*((JP_Anzeige=TRUE)+NOT(Filter_Aktiv)&gt;0)*(11-JP_Farbe)))),IF(COUNTIF(Feiertage,DATE(Planungsjahr,5,I71))&gt;0,"h",IF(COUNTIFS(U_Von,"&lt;="&amp;DATE(Planungsjahr,5,I71),U_Bis,"&gt;="&amp;DATE(Planungsjahr,5,I71))&gt;0,"u",""))),"")</f>
      </c>
      <c r="J72" s="224">
        <f>IF(ISNUMBER(I71),IFERROR(21-1/(1/SUMPRODUCT(MAX((JP_StartInhalt=DATE(Planungsjahr,5,I71))*Anzeige_I*((JP_Anzeige=TRUE)+NOT(Filter_Aktiv)&gt;0)*(11-JP_Farbe)))),IF(COUNTIF(Feiertage,DATE(Planungsjahr,5,I71))&gt;0,"h",IF(COUNTIFS(U_Von,"&lt;="&amp;DATE(Planungsjahr,5,I71),U_Bis,"&gt;="&amp;DATE(Planungsjahr,5,I71))&gt;0,"u",""))),"")</f>
      </c>
      <c r="K72" s="225">
        <f>IF(ISNUMBER(I71),IFERROR(31-1/(1/SUMPRODUCT(MAX((JP_PAL=DATE(Planungsjahr,5,I71))*Anzeige_P*((JP_Anzeige=TRUE)+NOT(Filter_Aktiv)&gt;0)*(11-JP_Farbe)))),IF(COUNTIF(Feiertage,DATE(Planungsjahr,5,I71))&gt;0,"h",IF(COUNTIFS(U_Von,"&lt;="&amp;DATE(Planungsjahr,5,I71),U_Bis,"&gt;="&amp;DATE(Planungsjahr,5,I71))&gt;0,"u",""))),"")</f>
      </c>
      <c r="L72" s="223">
        <f>IF(ISNUMBER(L71),IFERROR(11-1/(1/SUMPRODUCT(MAX((JP_StartSel=DATE(Planungsjahr,5,L71))*Anzeige_S*((JP_Anzeige=TRUE)+NOT(Filter_Aktiv)&gt;0)*(11-JP_Farbe)))),IF(COUNTIF(Feiertage,DATE(Planungsjahr,5,L71))&gt;0,"h",IF(COUNTIFS(U_Von,"&lt;="&amp;DATE(Planungsjahr,5,L71),U_Bis,"&gt;="&amp;DATE(Planungsjahr,5,L71))&gt;0,"u",""))),"")</f>
      </c>
      <c r="M72" s="224">
        <f>IF(ISNUMBER(L71),IFERROR(21-1/(1/SUMPRODUCT(MAX((JP_StartInhalt=DATE(Planungsjahr,5,L71))*Anzeige_I*((JP_Anzeige=TRUE)+NOT(Filter_Aktiv)&gt;0)*(11-JP_Farbe)))),IF(COUNTIF(Feiertage,DATE(Planungsjahr,5,L71))&gt;0,"h",IF(COUNTIFS(U_Von,"&lt;="&amp;DATE(Planungsjahr,5,L71),U_Bis,"&gt;="&amp;DATE(Planungsjahr,5,L71))&gt;0,"u",""))),"")</f>
      </c>
      <c r="N72" s="225">
        <f>IF(ISNUMBER(L71),IFERROR(31-1/(1/SUMPRODUCT(MAX((JP_PAL=DATE(Planungsjahr,5,L71))*Anzeige_P*((JP_Anzeige=TRUE)+NOT(Filter_Aktiv)&gt;0)*(11-JP_Farbe)))),IF(COUNTIF(Feiertage,DATE(Planungsjahr,5,L71))&gt;0,"h",IF(COUNTIFS(U_Von,"&lt;="&amp;DATE(Planungsjahr,5,L71),U_Bis,"&gt;="&amp;DATE(Planungsjahr,5,L71))&gt;0,"u",""))),"")</f>
      </c>
      <c r="O72" s="223">
        <f>IF(ISNUMBER(O71),IFERROR(11-1/(1/SUMPRODUCT(MAX((JP_StartSel=DATE(Planungsjahr,5,O71))*Anzeige_S*((JP_Anzeige=TRUE)+NOT(Filter_Aktiv)&gt;0)*(11-JP_Farbe)))),IF(COUNTIF(Feiertage,DATE(Planungsjahr,5,O71))&gt;0,"h",IF(COUNTIFS(U_Von,"&lt;="&amp;DATE(Planungsjahr,5,O71),U_Bis,"&gt;="&amp;DATE(Planungsjahr,5,O71))&gt;0,"u",""))),"")</f>
      </c>
      <c r="P72" s="224">
        <f>IF(ISNUMBER(O71),IFERROR(21-1/(1/SUMPRODUCT(MAX((JP_StartInhalt=DATE(Planungsjahr,5,O71))*Anzeige_I*((JP_Anzeige=TRUE)+NOT(Filter_Aktiv)&gt;0)*(11-JP_Farbe)))),IF(COUNTIF(Feiertage,DATE(Planungsjahr,5,O71))&gt;0,"h",IF(COUNTIFS(U_Von,"&lt;="&amp;DATE(Planungsjahr,5,O71),U_Bis,"&gt;="&amp;DATE(Planungsjahr,5,O71))&gt;0,"u",""))),"")</f>
      </c>
      <c r="Q72" s="225">
        <f>IF(ISNUMBER(O71),IFERROR(31-1/(1/SUMPRODUCT(MAX((JP_PAL=DATE(Planungsjahr,5,O71))*Anzeige_P*((JP_Anzeige=TRUE)+NOT(Filter_Aktiv)&gt;0)*(11-JP_Farbe)))),IF(COUNTIF(Feiertage,DATE(Planungsjahr,5,O71))&gt;0,"h",IF(COUNTIFS(U_Von,"&lt;="&amp;DATE(Planungsjahr,5,O71),U_Bis,"&gt;="&amp;DATE(Planungsjahr,5,O71))&gt;0,"u",""))),"")</f>
      </c>
      <c r="R72" s="223">
        <f>IF(ISNUMBER(R71),IFERROR(11-1/(1/SUMPRODUCT(MAX((JP_StartSel=DATE(Planungsjahr,5,R71))*Anzeige_S*((JP_Anzeige=TRUE)+NOT(Filter_Aktiv)&gt;0)*(11-JP_Farbe)))),IF(COUNTIF(Feiertage,DATE(Planungsjahr,5,R71))&gt;0,"h","w")),"")</f>
      </c>
      <c r="S72" s="224">
        <f>IF(ISNUMBER(R71),IFERROR(21-1/(1/SUMPRODUCT(MAX((JP_StartInhalt=DATE(Planungsjahr,5,R71))*Anzeige_I*((JP_Anzeige=TRUE)+NOT(Filter_Aktiv)&gt;0)*(11-JP_Farbe)))),IF(COUNTIF(Feiertage,DATE(Planungsjahr,5,R71))&gt;0,"h","w")),"")</f>
      </c>
      <c r="T72" s="225">
        <f>IF(ISNUMBER(R71),IFERROR(31-1/(1/SUMPRODUCT(MAX((JP_PAL=DATE(Planungsjahr,5,R71))*Anzeige_P*((JP_Anzeige=TRUE)+NOT(Filter_Aktiv)&gt;0)*(11-JP_Farbe)))),IF(COUNTIF(Feiertage,DATE(Planungsjahr,5,R71))&gt;0,"h","w")),"")</f>
      </c>
      <c r="U72" s="223">
        <f>IF(ISNUMBER(U71),IFERROR(11-1/(1/SUMPRODUCT(MAX((JP_StartSel=DATE(Planungsjahr,5,U71))*Anzeige_S*((JP_Anzeige=TRUE)+NOT(Filter_Aktiv)&gt;0)*(11-JP_Farbe)))),IF(COUNTIF(Feiertage,DATE(Planungsjahr,5,U71))&gt;0,"h","w")),"")</f>
      </c>
      <c r="V72" s="224">
        <f>IF(ISNUMBER(U71),IFERROR(21-1/(1/SUMPRODUCT(MAX((JP_StartInhalt=DATE(Planungsjahr,5,U71))*Anzeige_I*((JP_Anzeige=TRUE)+NOT(Filter_Aktiv)&gt;0)*(11-JP_Farbe)))),IF(COUNTIF(Feiertage,DATE(Planungsjahr,5,U71))&gt;0,"h","w")),"")</f>
      </c>
      <c r="W72" s="225">
        <f>IF(ISNUMBER(U71),IFERROR(31-1/(1/SUMPRODUCT(MAX((JP_PAL=DATE(Planungsjahr,5,U71))*Anzeige_P*((JP_Anzeige=TRUE)+NOT(Filter_Aktiv)&gt;0)*(11-JP_Farbe)))),IF(COUNTIF(Feiertage,DATE(Planungsjahr,5,U71))&gt;0,"h","w")),"")</f>
      </c>
      <c r="Y72" s="179"/>
      <c r="Z72" s="223">
        <f>IF(ISNUMBER(Z71),IFERROR(11-1/(1/SUMPRODUCT(MAX((JP_StartSel=DATE(Planungsjahr,6,Z71))*Anzeige_S*((JP_Anzeige=TRUE)+NOT(Filter_Aktiv)&gt;0)*(11-JP_Farbe)))),IF(COUNTIF(Feiertage,DATE(Planungsjahr,6,Z71))&gt;0,"h",IF(COUNTIFS(U_Von,"&lt;="&amp;DATE(Planungsjahr,6,Z71),U_Bis,"&gt;="&amp;DATE(Planungsjahr,6,Z71))&gt;0,"u",""))),"")</f>
      </c>
      <c r="AA72" s="224">
        <f>IF(ISNUMBER(Z71),IFERROR(21-1/(1/SUMPRODUCT(MAX((JP_StartInhalt=DATE(Planungsjahr,6,Z71))*Anzeige_I*((JP_Anzeige=TRUE)+NOT(Filter_Aktiv)&gt;0)*(11-JP_Farbe)))),IF(COUNTIF(Feiertage,DATE(Planungsjahr,6,Z71))&gt;0,"h",IF(COUNTIFS(U_Von,"&lt;="&amp;DATE(Planungsjahr,6,Z71),U_Bis,"&gt;="&amp;DATE(Planungsjahr,6,Z71))&gt;0,"u",""))),"")</f>
      </c>
      <c r="AB72" s="225">
        <f>IF(ISNUMBER(Z71),IFERROR(31-1/(1/SUMPRODUCT(MAX((JP_PAL=DATE(Planungsjahr,6,Z71))*Anzeige_P*((JP_Anzeige=TRUE)+NOT(Filter_Aktiv)&gt;0)*(11-JP_Farbe)))),IF(COUNTIF(Feiertage,DATE(Planungsjahr,6,Z71))&gt;0,"h",IF(COUNTIFS(U_Von,"&lt;="&amp;DATE(Planungsjahr,6,Z71),U_Bis,"&gt;="&amp;DATE(Planungsjahr,6,Z71))&gt;0,"u",""))),"")</f>
      </c>
      <c r="AC72" s="223">
        <f>IF(ISNUMBER(AC71),IFERROR(11-1/(1/SUMPRODUCT(MAX((JP_StartSel=DATE(Planungsjahr,6,AC71))*Anzeige_S*((JP_Anzeige=TRUE)+NOT(Filter_Aktiv)&gt;0)*(11-JP_Farbe)))),IF(COUNTIF(Feiertage,DATE(Planungsjahr,6,AC71))&gt;0,"h",IF(COUNTIFS(U_Von,"&lt;="&amp;DATE(Planungsjahr,6,AC71),U_Bis,"&gt;="&amp;DATE(Planungsjahr,6,AC71))&gt;0,"u",""))),"")</f>
      </c>
      <c r="AD72" s="224">
        <f>IF(ISNUMBER(AC71),IFERROR(21-1/(1/SUMPRODUCT(MAX((JP_StartInhalt=DATE(Planungsjahr,6,AC71))*Anzeige_I*((JP_Anzeige=TRUE)+NOT(Filter_Aktiv)&gt;0)*(11-JP_Farbe)))),IF(COUNTIF(Feiertage,DATE(Planungsjahr,6,AC71))&gt;0,"h",IF(COUNTIFS(U_Von,"&lt;="&amp;DATE(Planungsjahr,6,AC71),U_Bis,"&gt;="&amp;DATE(Planungsjahr,6,AC71))&gt;0,"u",""))),"")</f>
      </c>
      <c r="AE72" s="225">
        <f>IF(ISNUMBER(AC71),IFERROR(31-1/(1/SUMPRODUCT(MAX((JP_PAL=DATE(Planungsjahr,6,AC71))*Anzeige_P*((JP_Anzeige=TRUE)+NOT(Filter_Aktiv)&gt;0)*(11-JP_Farbe)))),IF(COUNTIF(Feiertage,DATE(Planungsjahr,6,AC71))&gt;0,"h",IF(COUNTIFS(U_Von,"&lt;="&amp;DATE(Planungsjahr,6,AC71),U_Bis,"&gt;="&amp;DATE(Planungsjahr,6,AC71))&gt;0,"u",""))),"")</f>
      </c>
      <c r="AF72" s="223">
        <f>IF(ISNUMBER(AF71),IFERROR(11-1/(1/SUMPRODUCT(MAX((JP_StartSel=DATE(Planungsjahr,6,AF71))*Anzeige_S*((JP_Anzeige=TRUE)+NOT(Filter_Aktiv)&gt;0)*(11-JP_Farbe)))),IF(COUNTIF(Feiertage,DATE(Planungsjahr,6,AF71))&gt;0,"h",IF(COUNTIFS(U_Von,"&lt;="&amp;DATE(Planungsjahr,6,AF71),U_Bis,"&gt;="&amp;DATE(Planungsjahr,6,AF71))&gt;0,"u",""))),"")</f>
      </c>
      <c r="AG72" s="224">
        <f>IF(ISNUMBER(AF71),IFERROR(21-1/(1/SUMPRODUCT(MAX((JP_StartInhalt=DATE(Planungsjahr,6,AF71))*Anzeige_I*((JP_Anzeige=TRUE)+NOT(Filter_Aktiv)&gt;0)*(11-JP_Farbe)))),IF(COUNTIF(Feiertage,DATE(Planungsjahr,6,AF71))&gt;0,"h",IF(COUNTIFS(U_Von,"&lt;="&amp;DATE(Planungsjahr,6,AF71),U_Bis,"&gt;="&amp;DATE(Planungsjahr,6,AF71))&gt;0,"u",""))),"")</f>
      </c>
      <c r="AH72" s="225">
        <f>IF(ISNUMBER(AF71),IFERROR(31-1/(1/SUMPRODUCT(MAX((JP_PAL=DATE(Planungsjahr,6,AF71))*Anzeige_P*((JP_Anzeige=TRUE)+NOT(Filter_Aktiv)&gt;0)*(11-JP_Farbe)))),IF(COUNTIF(Feiertage,DATE(Planungsjahr,6,AF71))&gt;0,"h",IF(COUNTIFS(U_Von,"&lt;="&amp;DATE(Planungsjahr,6,AF71),U_Bis,"&gt;="&amp;DATE(Planungsjahr,6,AF71))&gt;0,"u",""))),"")</f>
      </c>
      <c r="AI72" s="223">
        <f>IF(ISNUMBER(AI71),IFERROR(11-1/(1/SUMPRODUCT(MAX((JP_StartSel=DATE(Planungsjahr,6,AI71))*Anzeige_S*((JP_Anzeige=TRUE)+NOT(Filter_Aktiv)&gt;0)*(11-JP_Farbe)))),IF(COUNTIF(Feiertage,DATE(Planungsjahr,6,AI71))&gt;0,"h",IF(COUNTIFS(U_Von,"&lt;="&amp;DATE(Planungsjahr,6,AI71),U_Bis,"&gt;="&amp;DATE(Planungsjahr,6,AI71))&gt;0,"u",""))),"")</f>
      </c>
      <c r="AJ72" s="224">
        <f>IF(ISNUMBER(AI71),IFERROR(21-1/(1/SUMPRODUCT(MAX((JP_StartInhalt=DATE(Planungsjahr,6,AI71))*Anzeige_I*((JP_Anzeige=TRUE)+NOT(Filter_Aktiv)&gt;0)*(11-JP_Farbe)))),IF(COUNTIF(Feiertage,DATE(Planungsjahr,6,AI71))&gt;0,"h",IF(COUNTIFS(U_Von,"&lt;="&amp;DATE(Planungsjahr,6,AI71),U_Bis,"&gt;="&amp;DATE(Planungsjahr,6,AI71))&gt;0,"u",""))),"")</f>
      </c>
      <c r="AK72" s="225">
        <f>IF(ISNUMBER(AI71),IFERROR(31-1/(1/SUMPRODUCT(MAX((JP_PAL=DATE(Planungsjahr,6,AI71))*Anzeige_P*((JP_Anzeige=TRUE)+NOT(Filter_Aktiv)&gt;0)*(11-JP_Farbe)))),IF(COUNTIF(Feiertage,DATE(Planungsjahr,6,AI71))&gt;0,"h",IF(COUNTIFS(U_Von,"&lt;="&amp;DATE(Planungsjahr,6,AI71),U_Bis,"&gt;="&amp;DATE(Planungsjahr,6,AI71))&gt;0,"u",""))),"")</f>
      </c>
      <c r="AL72" s="223">
        <f>IF(ISNUMBER(AL71),IFERROR(11-1/(1/SUMPRODUCT(MAX((JP_StartSel=DATE(Planungsjahr,6,AL71))*Anzeige_S*((JP_Anzeige=TRUE)+NOT(Filter_Aktiv)&gt;0)*(11-JP_Farbe)))),IF(COUNTIF(Feiertage,DATE(Planungsjahr,6,AL71))&gt;0,"h",IF(COUNTIFS(U_Von,"&lt;="&amp;DATE(Planungsjahr,6,AL71),U_Bis,"&gt;="&amp;DATE(Planungsjahr,6,AL71))&gt;0,"u",""))),"")</f>
      </c>
      <c r="AM72" s="224">
        <f>IF(ISNUMBER(AL71),IFERROR(21-1/(1/SUMPRODUCT(MAX((JP_StartInhalt=DATE(Planungsjahr,6,AL71))*Anzeige_I*((JP_Anzeige=TRUE)+NOT(Filter_Aktiv)&gt;0)*(11-JP_Farbe)))),IF(COUNTIF(Feiertage,DATE(Planungsjahr,6,AL71))&gt;0,"h",IF(COUNTIFS(U_Von,"&lt;="&amp;DATE(Planungsjahr,6,AL71),U_Bis,"&gt;="&amp;DATE(Planungsjahr,6,AL71))&gt;0,"u",""))),"")</f>
      </c>
      <c r="AN72" s="225">
        <f>IF(ISNUMBER(AL71),IFERROR(31-1/(1/SUMPRODUCT(MAX((JP_PAL=DATE(Planungsjahr,6,AL71))*Anzeige_P*((JP_Anzeige=TRUE)+NOT(Filter_Aktiv)&gt;0)*(11-JP_Farbe)))),IF(COUNTIF(Feiertage,DATE(Planungsjahr,6,AL71))&gt;0,"h",IF(COUNTIFS(U_Von,"&lt;="&amp;DATE(Planungsjahr,6,AL71),U_Bis,"&gt;="&amp;DATE(Planungsjahr,6,AL71))&gt;0,"u",""))),"")</f>
      </c>
      <c r="AO72" s="223">
        <f>IF(ISNUMBER(AO71),IFERROR(11-1/(1/SUMPRODUCT(MAX((JP_StartSel=DATE(Planungsjahr,6,AO71))*Anzeige_S*((JP_Anzeige=TRUE)+NOT(Filter_Aktiv)&gt;0)*(11-JP_Farbe)))),IF(COUNTIF(Feiertage,DATE(Planungsjahr,6,AO71))&gt;0,"h","w")),"")</f>
      </c>
      <c r="AP72" s="224">
        <f>IF(ISNUMBER(AO71),IFERROR(21-1/(1/SUMPRODUCT(MAX((JP_StartInhalt=DATE(Planungsjahr,6,AO71))*Anzeige_I*((JP_Anzeige=TRUE)+NOT(Filter_Aktiv)&gt;0)*(11-JP_Farbe)))),IF(COUNTIF(Feiertage,DATE(Planungsjahr,6,AO71))&gt;0,"h","w")),"")</f>
      </c>
      <c r="AQ72" s="225">
        <f>IF(ISNUMBER(AO71),IFERROR(31-1/(1/SUMPRODUCT(MAX((JP_PAL=DATE(Planungsjahr,6,AO71))*Anzeige_P*((JP_Anzeige=TRUE)+NOT(Filter_Aktiv)&gt;0)*(11-JP_Farbe)))),IF(COUNTIF(Feiertage,DATE(Planungsjahr,6,AO71))&gt;0,"h","w")),"")</f>
      </c>
      <c r="AR72" s="223">
        <f>IF(ISNUMBER(AR71),IFERROR(11-1/(1/SUMPRODUCT(MAX((JP_StartSel=DATE(Planungsjahr,6,AR71))*Anzeige_S*((JP_Anzeige=TRUE)+NOT(Filter_Aktiv)&gt;0)*(11-JP_Farbe)))),IF(COUNTIF(Feiertage,DATE(Planungsjahr,6,AR71))&gt;0,"h","w")),"")</f>
      </c>
      <c r="AS72" s="224">
        <f>IF(ISNUMBER(AR71),IFERROR(21-1/(1/SUMPRODUCT(MAX((JP_StartInhalt=DATE(Planungsjahr,6,AR71))*Anzeige_I*((JP_Anzeige=TRUE)+NOT(Filter_Aktiv)&gt;0)*(11-JP_Farbe)))),IF(COUNTIF(Feiertage,DATE(Planungsjahr,6,AR71))&gt;0,"h","w")),"")</f>
      </c>
      <c r="AT72" s="225">
        <f>IF(ISNUMBER(AR71),IFERROR(31-1/(1/SUMPRODUCT(MAX((JP_PAL=DATE(Planungsjahr,6,AR71))*Anzeige_P*((JP_Anzeige=TRUE)+NOT(Filter_Aktiv)&gt;0)*(11-JP_Farbe)))),IF(COUNTIF(Feiertage,DATE(Planungsjahr,6,AR71))&gt;0,"h","w")),"")</f>
      </c>
      <c r="AV72" s="179"/>
      <c r="AW72" s="223">
        <f>IF(ISNUMBER(AW71),IFERROR(11-1/(1/SUMPRODUCT(MAX((JP_StartSel=DATE(Planungsjahr,7,AW71))*Anzeige_S*((JP_Anzeige=TRUE)+NOT(Filter_Aktiv)&gt;0)*(11-JP_Farbe)))),IF(COUNTIF(Feiertage,DATE(Planungsjahr,7,AW71))&gt;0,"h",IF(COUNTIFS(U_Von,"&lt;="&amp;DATE(Planungsjahr,7,AW71),U_Bis,"&gt;="&amp;DATE(Planungsjahr,7,AW71))&gt;0,"u",""))),"")</f>
      </c>
      <c r="AX72" s="224">
        <f>IF(ISNUMBER(AW71),IFERROR(21-1/(1/SUMPRODUCT(MAX((JP_StartInhalt=DATE(Planungsjahr,7,AW71))*Anzeige_I*((JP_Anzeige=TRUE)+NOT(Filter_Aktiv)&gt;0)*(11-JP_Farbe)))),IF(COUNTIF(Feiertage,DATE(Planungsjahr,7,AW71))&gt;0,"h",IF(COUNTIFS(U_Von,"&lt;="&amp;DATE(Planungsjahr,7,AW71),U_Bis,"&gt;="&amp;DATE(Planungsjahr,7,AW71))&gt;0,"u",""))),"")</f>
      </c>
      <c r="AY72" s="225">
        <f>IF(ISNUMBER(AW71),IFERROR(31-1/(1/SUMPRODUCT(MAX((JP_PAL=DATE(Planungsjahr,7,AW71))*Anzeige_P*((JP_Anzeige=TRUE)+NOT(Filter_Aktiv)&gt;0)*(11-JP_Farbe)))),IF(COUNTIF(Feiertage,DATE(Planungsjahr,7,AW71))&gt;0,"h",IF(COUNTIFS(U_Von,"&lt;="&amp;DATE(Planungsjahr,7,AW71),U_Bis,"&gt;="&amp;DATE(Planungsjahr,7,AW71))&gt;0,"u",""))),"")</f>
      </c>
      <c r="AZ72" s="223">
        <f>IF(ISNUMBER(AZ71),IFERROR(11-1/(1/SUMPRODUCT(MAX((JP_StartSel=DATE(Planungsjahr,7,AZ71))*Anzeige_S*((JP_Anzeige=TRUE)+NOT(Filter_Aktiv)&gt;0)*(11-JP_Farbe)))),IF(COUNTIF(Feiertage,DATE(Planungsjahr,7,AZ71))&gt;0,"h",IF(COUNTIFS(U_Von,"&lt;="&amp;DATE(Planungsjahr,7,AZ71),U_Bis,"&gt;="&amp;DATE(Planungsjahr,7,AZ71))&gt;0,"u",""))),"")</f>
      </c>
      <c r="BA72" s="224">
        <f>IF(ISNUMBER(AZ71),IFERROR(21-1/(1/SUMPRODUCT(MAX((JP_StartInhalt=DATE(Planungsjahr,7,AZ71))*Anzeige_I*((JP_Anzeige=TRUE)+NOT(Filter_Aktiv)&gt;0)*(11-JP_Farbe)))),IF(COUNTIF(Feiertage,DATE(Planungsjahr,7,AZ71))&gt;0,"h",IF(COUNTIFS(U_Von,"&lt;="&amp;DATE(Planungsjahr,7,AZ71),U_Bis,"&gt;="&amp;DATE(Planungsjahr,7,AZ71))&gt;0,"u",""))),"")</f>
      </c>
      <c r="BB72" s="225">
        <f>IF(ISNUMBER(AZ71),IFERROR(31-1/(1/SUMPRODUCT(MAX((JP_PAL=DATE(Planungsjahr,7,AZ71))*Anzeige_P*((JP_Anzeige=TRUE)+NOT(Filter_Aktiv)&gt;0)*(11-JP_Farbe)))),IF(COUNTIF(Feiertage,DATE(Planungsjahr,7,AZ71))&gt;0,"h",IF(COUNTIFS(U_Von,"&lt;="&amp;DATE(Planungsjahr,7,AZ71),U_Bis,"&gt;="&amp;DATE(Planungsjahr,7,AZ71))&gt;0,"u",""))),"")</f>
      </c>
      <c r="BC72" s="223">
        <f>IF(ISNUMBER(BC71),IFERROR(11-1/(1/SUMPRODUCT(MAX((JP_StartSel=DATE(Planungsjahr,7,BC71))*Anzeige_S*((JP_Anzeige=TRUE)+NOT(Filter_Aktiv)&gt;0)*(11-JP_Farbe)))),IF(COUNTIF(Feiertage,DATE(Planungsjahr,7,BC71))&gt;0,"h",IF(COUNTIFS(U_Von,"&lt;="&amp;DATE(Planungsjahr,7,BC71),U_Bis,"&gt;="&amp;DATE(Planungsjahr,7,BC71))&gt;0,"u",""))),"")</f>
      </c>
      <c r="BD72" s="224">
        <f>IF(ISNUMBER(BC71),IFERROR(21-1/(1/SUMPRODUCT(MAX((JP_StartInhalt=DATE(Planungsjahr,7,BC71))*Anzeige_I*((JP_Anzeige=TRUE)+NOT(Filter_Aktiv)&gt;0)*(11-JP_Farbe)))),IF(COUNTIF(Feiertage,DATE(Planungsjahr,7,BC71))&gt;0,"h",IF(COUNTIFS(U_Von,"&lt;="&amp;DATE(Planungsjahr,7,BC71),U_Bis,"&gt;="&amp;DATE(Planungsjahr,7,BC71))&gt;0,"u",""))),"")</f>
      </c>
      <c r="BE72" s="225">
        <f>IF(ISNUMBER(BC71),IFERROR(31-1/(1/SUMPRODUCT(MAX((JP_PAL=DATE(Planungsjahr,7,BC71))*Anzeige_P*((JP_Anzeige=TRUE)+NOT(Filter_Aktiv)&gt;0)*(11-JP_Farbe)))),IF(COUNTIF(Feiertage,DATE(Planungsjahr,7,BC71))&gt;0,"h",IF(COUNTIFS(U_Von,"&lt;="&amp;DATE(Planungsjahr,7,BC71),U_Bis,"&gt;="&amp;DATE(Planungsjahr,7,BC71))&gt;0,"u",""))),"")</f>
      </c>
      <c r="BF72" s="223">
        <f>IF(ISNUMBER(BF71),IFERROR(11-1/(1/SUMPRODUCT(MAX((JP_StartSel=DATE(Planungsjahr,7,BF71))*Anzeige_S*((JP_Anzeige=TRUE)+NOT(Filter_Aktiv)&gt;0)*(11-JP_Farbe)))),IF(COUNTIF(Feiertage,DATE(Planungsjahr,7,BF71))&gt;0,"h",IF(COUNTIFS(U_Von,"&lt;="&amp;DATE(Planungsjahr,7,BF71),U_Bis,"&gt;="&amp;DATE(Planungsjahr,7,BF71))&gt;0,"u",""))),"")</f>
      </c>
      <c r="BG72" s="224">
        <f>IF(ISNUMBER(BF71),IFERROR(21-1/(1/SUMPRODUCT(MAX((JP_StartInhalt=DATE(Planungsjahr,7,BF71))*Anzeige_I*((JP_Anzeige=TRUE)+NOT(Filter_Aktiv)&gt;0)*(11-JP_Farbe)))),IF(COUNTIF(Feiertage,DATE(Planungsjahr,7,BF71))&gt;0,"h",IF(COUNTIFS(U_Von,"&lt;="&amp;DATE(Planungsjahr,7,BF71),U_Bis,"&gt;="&amp;DATE(Planungsjahr,7,BF71))&gt;0,"u",""))),"")</f>
      </c>
      <c r="BH72" s="225">
        <f>IF(ISNUMBER(BF71),IFERROR(31-1/(1/SUMPRODUCT(MAX((JP_PAL=DATE(Planungsjahr,7,BF71))*Anzeige_P*((JP_Anzeige=TRUE)+NOT(Filter_Aktiv)&gt;0)*(11-JP_Farbe)))),IF(COUNTIF(Feiertage,DATE(Planungsjahr,7,BF71))&gt;0,"h",IF(COUNTIFS(U_Von,"&lt;="&amp;DATE(Planungsjahr,7,BF71),U_Bis,"&gt;="&amp;DATE(Planungsjahr,7,BF71))&gt;0,"u",""))),"")</f>
      </c>
      <c r="BI72" s="223">
        <f>IF(ISNUMBER(BI71),IFERROR(11-1/(1/SUMPRODUCT(MAX((JP_StartSel=DATE(Planungsjahr,7,BI71))*Anzeige_S*((JP_Anzeige=TRUE)+NOT(Filter_Aktiv)&gt;0)*(11-JP_Farbe)))),IF(COUNTIF(Feiertage,DATE(Planungsjahr,7,BI71))&gt;0,"h",IF(COUNTIFS(U_Von,"&lt;="&amp;DATE(Planungsjahr,7,BI71),U_Bis,"&gt;="&amp;DATE(Planungsjahr,7,BI71))&gt;0,"u",""))),"")</f>
      </c>
      <c r="BJ72" s="224">
        <f>IF(ISNUMBER(BI71),IFERROR(21-1/(1/SUMPRODUCT(MAX((JP_StartInhalt=DATE(Planungsjahr,7,BI71))*Anzeige_I*((JP_Anzeige=TRUE)+NOT(Filter_Aktiv)&gt;0)*(11-JP_Farbe)))),IF(COUNTIF(Feiertage,DATE(Planungsjahr,7,BI71))&gt;0,"h",IF(COUNTIFS(U_Von,"&lt;="&amp;DATE(Planungsjahr,7,BI71),U_Bis,"&gt;="&amp;DATE(Planungsjahr,7,BI71))&gt;0,"u",""))),"")</f>
      </c>
      <c r="BK72" s="225">
        <f>IF(ISNUMBER(BI71),IFERROR(31-1/(1/SUMPRODUCT(MAX((JP_PAL=DATE(Planungsjahr,7,BI71))*Anzeige_P*((JP_Anzeige=TRUE)+NOT(Filter_Aktiv)&gt;0)*(11-JP_Farbe)))),IF(COUNTIF(Feiertage,DATE(Planungsjahr,7,BI71))&gt;0,"h",IF(COUNTIFS(U_Von,"&lt;="&amp;DATE(Planungsjahr,7,BI71),U_Bis,"&gt;="&amp;DATE(Planungsjahr,7,BI71))&gt;0,"u",""))),"")</f>
      </c>
      <c r="BL72" s="223">
        <f>IF(ISNUMBER(BL71),IFERROR(11-1/(1/SUMPRODUCT(MAX((JP_StartSel=DATE(Planungsjahr,7,BL71))*Anzeige_S*((JP_Anzeige=TRUE)+NOT(Filter_Aktiv)&gt;0)*(11-JP_Farbe)))),IF(COUNTIF(Feiertage,DATE(Planungsjahr,7,BL71))&gt;0,"h","w")),"")</f>
      </c>
      <c r="BM72" s="224">
        <f>IF(ISNUMBER(BL71),IFERROR(21-1/(1/SUMPRODUCT(MAX((JP_StartInhalt=DATE(Planungsjahr,7,BL71))*Anzeige_I*((JP_Anzeige=TRUE)+NOT(Filter_Aktiv)&gt;0)*(11-JP_Farbe)))),IF(COUNTIF(Feiertage,DATE(Planungsjahr,7,BL71))&gt;0,"h","w")),"")</f>
      </c>
      <c r="BN72" s="225">
        <f>IF(ISNUMBER(BL71),IFERROR(31-1/(1/SUMPRODUCT(MAX((JP_PAL=DATE(Planungsjahr,7,BL71))*Anzeige_P*((JP_Anzeige=TRUE)+NOT(Filter_Aktiv)&gt;0)*(11-JP_Farbe)))),IF(COUNTIF(Feiertage,DATE(Planungsjahr,7,BL71))&gt;0,"h","w")),"")</f>
      </c>
      <c r="BO72" s="223">
        <f>IF(ISNUMBER(BO71),IFERROR(11-1/(1/SUMPRODUCT(MAX((JP_StartSel=DATE(Planungsjahr,7,BO71))*Anzeige_S*((JP_Anzeige=TRUE)+NOT(Filter_Aktiv)&gt;0)*(11-JP_Farbe)))),IF(COUNTIF(Feiertage,DATE(Planungsjahr,7,BO71))&gt;0,"h","w")),"")</f>
      </c>
      <c r="BP72" s="224">
        <f>IF(ISNUMBER(BO71),IFERROR(21-1/(1/SUMPRODUCT(MAX((JP_StartInhalt=DATE(Planungsjahr,7,BO71))*Anzeige_I*((JP_Anzeige=TRUE)+NOT(Filter_Aktiv)&gt;0)*(11-JP_Farbe)))),IF(COUNTIF(Feiertage,DATE(Planungsjahr,7,BO71))&gt;0,"h","w")),"")</f>
      </c>
      <c r="BQ72" s="225">
        <f>IF(ISNUMBER(BO71),IFERROR(31-1/(1/SUMPRODUCT(MAX((JP_PAL=DATE(Planungsjahr,7,BO71))*Anzeige_P*((JP_Anzeige=TRUE)+NOT(Filter_Aktiv)&gt;0)*(11-JP_Farbe)))),IF(COUNTIF(Feiertage,DATE(Planungsjahr,7,BO71))&gt;0,"h","w")),"")</f>
      </c>
      <c r="BS72" s="179"/>
      <c r="BT72" s="223">
        <f>IF(ISNUMBER(BT71),IFERROR(11-1/(1/SUMPRODUCT(MAX((JP_StartSel=DATE(Planungsjahr,8,BT71))*Anzeige_S*((JP_Anzeige=TRUE)+NOT(Filter_Aktiv)&gt;0)*(11-JP_Farbe)))),IF(COUNTIF(Feiertage,DATE(Planungsjahr,8,BT71))&gt;0,"h",IF(COUNTIFS(U_Von,"&lt;="&amp;DATE(Planungsjahr,8,BT71),U_Bis,"&gt;="&amp;DATE(Planungsjahr,8,BT71))&gt;0,"u",""))),"")</f>
      </c>
      <c r="BU72" s="224">
        <f>IF(ISNUMBER(BT71),IFERROR(21-1/(1/SUMPRODUCT(MAX((JP_StartInhalt=DATE(Planungsjahr,8,BT71))*Anzeige_I*((JP_Anzeige=TRUE)+NOT(Filter_Aktiv)&gt;0)*(11-JP_Farbe)))),IF(COUNTIF(Feiertage,DATE(Planungsjahr,8,BT71))&gt;0,"h",IF(COUNTIFS(U_Von,"&lt;="&amp;DATE(Planungsjahr,8,BT71),U_Bis,"&gt;="&amp;DATE(Planungsjahr,8,BT71))&gt;0,"u",""))),"")</f>
      </c>
      <c r="BV72" s="225">
        <f>IF(ISNUMBER(BT71),IFERROR(31-1/(1/SUMPRODUCT(MAX((JP_PAL=DATE(Planungsjahr,8,BT71))*Anzeige_P*((JP_Anzeige=TRUE)+NOT(Filter_Aktiv)&gt;0)*(11-JP_Farbe)))),IF(COUNTIF(Feiertage,DATE(Planungsjahr,8,BT71))&gt;0,"h",IF(COUNTIFS(U_Von,"&lt;="&amp;DATE(Planungsjahr,8,BT71),U_Bis,"&gt;="&amp;DATE(Planungsjahr,8,BT71))&gt;0,"u",""))),"")</f>
      </c>
      <c r="BW72" s="223">
        <f>IF(ISNUMBER(BW71),IFERROR(11-1/(1/SUMPRODUCT(MAX((JP_StartSel=DATE(Planungsjahr,8,BW71))*Anzeige_S*((JP_Anzeige=TRUE)+NOT(Filter_Aktiv)&gt;0)*(11-JP_Farbe)))),IF(COUNTIF(Feiertage,DATE(Planungsjahr,8,BW71))&gt;0,"h",IF(COUNTIFS(U_Von,"&lt;="&amp;DATE(Planungsjahr,8,BW71),U_Bis,"&gt;="&amp;DATE(Planungsjahr,8,BW71))&gt;0,"u",""))),"")</f>
      </c>
      <c r="BX72" s="224">
        <f>IF(ISNUMBER(BW71),IFERROR(21-1/(1/SUMPRODUCT(MAX((JP_StartInhalt=DATE(Planungsjahr,8,BW71))*Anzeige_I*((JP_Anzeige=TRUE)+NOT(Filter_Aktiv)&gt;0)*(11-JP_Farbe)))),IF(COUNTIF(Feiertage,DATE(Planungsjahr,8,BW71))&gt;0,"h",IF(COUNTIFS(U_Von,"&lt;="&amp;DATE(Planungsjahr,8,BW71),U_Bis,"&gt;="&amp;DATE(Planungsjahr,8,BW71))&gt;0,"u",""))),"")</f>
      </c>
      <c r="BY72" s="225">
        <f>IF(ISNUMBER(BW71),IFERROR(31-1/(1/SUMPRODUCT(MAX((JP_PAL=DATE(Planungsjahr,8,BW71))*Anzeige_P*((JP_Anzeige=TRUE)+NOT(Filter_Aktiv)&gt;0)*(11-JP_Farbe)))),IF(COUNTIF(Feiertage,DATE(Planungsjahr,8,BW71))&gt;0,"h",IF(COUNTIFS(U_Von,"&lt;="&amp;DATE(Planungsjahr,8,BW71),U_Bis,"&gt;="&amp;DATE(Planungsjahr,8,BW71))&gt;0,"u",""))),"")</f>
      </c>
      <c r="BZ72" s="223">
        <f>IF(ISNUMBER(BZ71),IFERROR(11-1/(1/SUMPRODUCT(MAX((JP_StartSel=DATE(Planungsjahr,8,BZ71))*Anzeige_S*((JP_Anzeige=TRUE)+NOT(Filter_Aktiv)&gt;0)*(11-JP_Farbe)))),IF(COUNTIF(Feiertage,DATE(Planungsjahr,8,BZ71))&gt;0,"h",IF(COUNTIFS(U_Von,"&lt;="&amp;DATE(Planungsjahr,8,BZ71),U_Bis,"&gt;="&amp;DATE(Planungsjahr,8,BZ71))&gt;0,"u",""))),"")</f>
      </c>
      <c r="CA72" s="224">
        <f>IF(ISNUMBER(BZ71),IFERROR(21-1/(1/SUMPRODUCT(MAX((JP_StartInhalt=DATE(Planungsjahr,8,BZ71))*Anzeige_I*((JP_Anzeige=TRUE)+NOT(Filter_Aktiv)&gt;0)*(11-JP_Farbe)))),IF(COUNTIF(Feiertage,DATE(Planungsjahr,8,BZ71))&gt;0,"h",IF(COUNTIFS(U_Von,"&lt;="&amp;DATE(Planungsjahr,8,BZ71),U_Bis,"&gt;="&amp;DATE(Planungsjahr,8,BZ71))&gt;0,"u",""))),"")</f>
      </c>
      <c r="CB72" s="225">
        <f>IF(ISNUMBER(BZ71),IFERROR(31-1/(1/SUMPRODUCT(MAX((JP_PAL=DATE(Planungsjahr,8,BZ71))*Anzeige_P*((JP_Anzeige=TRUE)+NOT(Filter_Aktiv)&gt;0)*(11-JP_Farbe)))),IF(COUNTIF(Feiertage,DATE(Planungsjahr,8,BZ71))&gt;0,"h",IF(COUNTIFS(U_Von,"&lt;="&amp;DATE(Planungsjahr,8,BZ71),U_Bis,"&gt;="&amp;DATE(Planungsjahr,8,BZ71))&gt;0,"u",""))),"")</f>
      </c>
      <c r="CC72" s="223">
        <f>IF(ISNUMBER(CC71),IFERROR(11-1/(1/SUMPRODUCT(MAX((JP_StartSel=DATE(Planungsjahr,8,CC71))*Anzeige_S*((JP_Anzeige=TRUE)+NOT(Filter_Aktiv)&gt;0)*(11-JP_Farbe)))),IF(COUNTIF(Feiertage,DATE(Planungsjahr,8,CC71))&gt;0,"h",IF(COUNTIFS(U_Von,"&lt;="&amp;DATE(Planungsjahr,8,CC71),U_Bis,"&gt;="&amp;DATE(Planungsjahr,8,CC71))&gt;0,"u",""))),"")</f>
      </c>
      <c r="CD72" s="224">
        <f>IF(ISNUMBER(CC71),IFERROR(21-1/(1/SUMPRODUCT(MAX((JP_StartInhalt=DATE(Planungsjahr,8,CC71))*Anzeige_I*((JP_Anzeige=TRUE)+NOT(Filter_Aktiv)&gt;0)*(11-JP_Farbe)))),IF(COUNTIF(Feiertage,DATE(Planungsjahr,8,CC71))&gt;0,"h",IF(COUNTIFS(U_Von,"&lt;="&amp;DATE(Planungsjahr,8,CC71),U_Bis,"&gt;="&amp;DATE(Planungsjahr,8,CC71))&gt;0,"u",""))),"")</f>
      </c>
      <c r="CE72" s="225">
        <f>IF(ISNUMBER(CC71),IFERROR(31-1/(1/SUMPRODUCT(MAX((JP_PAL=DATE(Planungsjahr,8,CC71))*Anzeige_P*((JP_Anzeige=TRUE)+NOT(Filter_Aktiv)&gt;0)*(11-JP_Farbe)))),IF(COUNTIF(Feiertage,DATE(Planungsjahr,8,CC71))&gt;0,"h",IF(COUNTIFS(U_Von,"&lt;="&amp;DATE(Planungsjahr,8,CC71),U_Bis,"&gt;="&amp;DATE(Planungsjahr,8,CC71))&gt;0,"u",""))),"")</f>
      </c>
      <c r="CF72" s="223">
        <f>IF(ISNUMBER(CF71),IFERROR(11-1/(1/SUMPRODUCT(MAX((JP_StartSel=DATE(Planungsjahr,8,CF71))*Anzeige_S*((JP_Anzeige=TRUE)+NOT(Filter_Aktiv)&gt;0)*(11-JP_Farbe)))),IF(COUNTIF(Feiertage,DATE(Planungsjahr,8,CF71))&gt;0,"h",IF(COUNTIFS(U_Von,"&lt;="&amp;DATE(Planungsjahr,8,CF71),U_Bis,"&gt;="&amp;DATE(Planungsjahr,8,CF71))&gt;0,"u",""))),"")</f>
      </c>
      <c r="CG72" s="224">
        <f>IF(ISNUMBER(CF71),IFERROR(21-1/(1/SUMPRODUCT(MAX((JP_StartInhalt=DATE(Planungsjahr,8,CF71))*Anzeige_I*((JP_Anzeige=TRUE)+NOT(Filter_Aktiv)&gt;0)*(11-JP_Farbe)))),IF(COUNTIF(Feiertage,DATE(Planungsjahr,8,CF71))&gt;0,"h",IF(COUNTIFS(U_Von,"&lt;="&amp;DATE(Planungsjahr,8,CF71),U_Bis,"&gt;="&amp;DATE(Planungsjahr,8,CF71))&gt;0,"u",""))),"")</f>
      </c>
      <c r="CH72" s="225">
        <f>IF(ISNUMBER(CF71),IFERROR(31-1/(1/SUMPRODUCT(MAX((JP_PAL=DATE(Planungsjahr,8,CF71))*Anzeige_P*((JP_Anzeige=TRUE)+NOT(Filter_Aktiv)&gt;0)*(11-JP_Farbe)))),IF(COUNTIF(Feiertage,DATE(Planungsjahr,8,CF71))&gt;0,"h",IF(COUNTIFS(U_Von,"&lt;="&amp;DATE(Planungsjahr,8,CF71),U_Bis,"&gt;="&amp;DATE(Planungsjahr,8,CF71))&gt;0,"u",""))),"")</f>
      </c>
      <c r="CI72" s="223">
        <f>IF(ISNUMBER(CI71),IFERROR(11-1/(1/SUMPRODUCT(MAX((JP_StartSel=DATE(Planungsjahr,8,CI71))*Anzeige_S*((JP_Anzeige=TRUE)+NOT(Filter_Aktiv)&gt;0)*(11-JP_Farbe)))),IF(COUNTIF(Feiertage,DATE(Planungsjahr,8,CI71))&gt;0,"h","w")),"")</f>
      </c>
      <c r="CJ72" s="224">
        <f>IF(ISNUMBER(CI71),IFERROR(21-1/(1/SUMPRODUCT(MAX((JP_StartInhalt=DATE(Planungsjahr,8,CI71))*Anzeige_I*((JP_Anzeige=TRUE)+NOT(Filter_Aktiv)&gt;0)*(11-JP_Farbe)))),IF(COUNTIF(Feiertage,DATE(Planungsjahr,8,CI71))&gt;0,"h","w")),"")</f>
      </c>
      <c r="CK72" s="225">
        <f>IF(ISNUMBER(CI71),IFERROR(31-1/(1/SUMPRODUCT(MAX((JP_PAL=DATE(Planungsjahr,8,CI71))*Anzeige_P*((JP_Anzeige=TRUE)+NOT(Filter_Aktiv)&gt;0)*(11-JP_Farbe)))),IF(COUNTIF(Feiertage,DATE(Planungsjahr,8,CI71))&gt;0,"h","w")),"")</f>
      </c>
      <c r="CL72" s="223">
        <f>IF(ISNUMBER(CL71),IFERROR(11-1/(1/SUMPRODUCT(MAX((JP_StartSel=DATE(Planungsjahr,8,CL71))*Anzeige_S*((JP_Anzeige=TRUE)+NOT(Filter_Aktiv)&gt;0)*(11-JP_Farbe)))),IF(COUNTIF(Feiertage,DATE(Planungsjahr,8,CL71))&gt;0,"h","w")),"")</f>
      </c>
      <c r="CM72" s="224">
        <f>IF(ISNUMBER(CL71),IFERROR(21-1/(1/SUMPRODUCT(MAX((JP_StartInhalt=DATE(Planungsjahr,8,CL71))*Anzeige_I*((JP_Anzeige=TRUE)+NOT(Filter_Aktiv)&gt;0)*(11-JP_Farbe)))),IF(COUNTIF(Feiertage,DATE(Planungsjahr,8,CL71))&gt;0,"h","w")),"")</f>
      </c>
      <c r="CN72" s="225">
        <f>IF(ISNUMBER(CL71),IFERROR(31-1/(1/SUMPRODUCT(MAX((JP_PAL=DATE(Planungsjahr,8,CL71))*Anzeige_P*((JP_Anzeige=TRUE)+NOT(Filter_Aktiv)&gt;0)*(11-JP_Farbe)))),IF(COUNTIF(Feiertage,DATE(Planungsjahr,8,CL71))&gt;0,"h","w")),"")</f>
      </c>
    </row>
    <row r="73" spans="2:92" ht="15.95" customHeight="1" x14ac:dyDescent="0.25">
      <c r="B73" s="177">
        <f>IF(OR(ISNUMBER(C73),ISNUMBER(U73)),_xlfn.ISOWEEKNUM(DATE(Planungsjahr,5,1)-WEEKDAY(DATE(Planungsjahr,5,1),2)+36),"")</f>
        <v>22</v>
      </c>
      <c r="C73" s="188">
        <f>IF(MONTH(DATE(Planungsjahr,5,1)-WEEKDAY(DATE(Planungsjahr,5,1),2)+36)=5,DAY(DATE(Planungsjahr,5,1)-WEEKDAY(DATE(Planungsjahr,5,1),2)+36),"")</f>
        <v>31</v>
      </c>
      <c r="D73" s="188"/>
      <c r="E73" s="188"/>
      <c r="F73" s="188" t="str">
        <f>IF(MONTH(DATE(Planungsjahr,5,1)-WEEKDAY(DATE(Planungsjahr,5,1),2)+37)=5,DAY(DATE(Planungsjahr,5,1)-WEEKDAY(DATE(Planungsjahr,5,1),2)+37),"")</f>
        <v/>
      </c>
      <c r="G73" s="188"/>
      <c r="H73" s="188"/>
      <c r="I73" s="188" t="str">
        <f>IF(MONTH(DATE(Planungsjahr,5,1)-WEEKDAY(DATE(Planungsjahr,5,1),2)+38)=5,DAY(DATE(Planungsjahr,5,1)-WEEKDAY(DATE(Planungsjahr,5,1),2)+38),"")</f>
        <v/>
      </c>
      <c r="J73" s="188"/>
      <c r="K73" s="188"/>
      <c r="L73" s="188" t="str">
        <f>IF(MONTH(DATE(Planungsjahr,5,1)-WEEKDAY(DATE(Planungsjahr,5,1),2)+39)=5,DAY(DATE(Planungsjahr,5,1)-WEEKDAY(DATE(Planungsjahr,5,1),2)+39),"")</f>
        <v/>
      </c>
      <c r="M73" s="188"/>
      <c r="N73" s="188"/>
      <c r="O73" s="188" t="str">
        <f>IF(MONTH(DATE(Planungsjahr,5,1)-WEEKDAY(DATE(Planungsjahr,5,1),2)+40)=5,DAY(DATE(Planungsjahr,5,1)-WEEKDAY(DATE(Planungsjahr,5,1),2)+40),"")</f>
        <v/>
      </c>
      <c r="P73" s="188"/>
      <c r="Q73" s="188"/>
      <c r="R73" s="188" t="str">
        <f>IF(MONTH(DATE(Planungsjahr,5,1)-WEEKDAY(DATE(Planungsjahr,5,1),2)+41)=5,DAY(DATE(Planungsjahr,5,1)-WEEKDAY(DATE(Planungsjahr,5,1),2)+41),"")</f>
        <v/>
      </c>
      <c r="S73" s="188"/>
      <c r="T73" s="188"/>
      <c r="U73" s="188" t="str">
        <f>IF(MONTH(DATE(Planungsjahr,5,1)-WEEKDAY(DATE(Planungsjahr,5,1),2)+42)=5,DAY(DATE(Planungsjahr,5,1)-WEEKDAY(DATE(Planungsjahr,5,1),2)+42),"")</f>
        <v/>
      </c>
      <c r="V73" s="188"/>
      <c r="W73" s="190"/>
      <c r="Y73" s="177" t="str">
        <f>IF(OR(ISNUMBER(Z73),ISNUMBER(AR73)),_xlfn.ISOWEEKNUM(DATE(Planungsjahr,6,1)-WEEKDAY(DATE(Planungsjahr,6,1),2)+36),"")</f>
        <v/>
      </c>
      <c r="Z73" s="188" t="str">
        <f>IF(MONTH(DATE(Planungsjahr,6,1)-WEEKDAY(DATE(Planungsjahr,6,1),2)+36)=6,DAY(DATE(Planungsjahr,6,1)-WEEKDAY(DATE(Planungsjahr,6,1),2)+36),"")</f>
        <v/>
      </c>
      <c r="AA73" s="188"/>
      <c r="AB73" s="188"/>
      <c r="AC73" s="188" t="str">
        <f>IF(MONTH(DATE(Planungsjahr,6,1)-WEEKDAY(DATE(Planungsjahr,6,1),2)+37)=6,DAY(DATE(Planungsjahr,6,1)-WEEKDAY(DATE(Planungsjahr,6,1),2)+37),"")</f>
        <v/>
      </c>
      <c r="AD73" s="188"/>
      <c r="AE73" s="188"/>
      <c r="AF73" s="188" t="str">
        <f>IF(MONTH(DATE(Planungsjahr,6,1)-WEEKDAY(DATE(Planungsjahr,6,1),2)+38)=6,DAY(DATE(Planungsjahr,6,1)-WEEKDAY(DATE(Planungsjahr,6,1),2)+38),"")</f>
        <v/>
      </c>
      <c r="AG73" s="188"/>
      <c r="AH73" s="188"/>
      <c r="AI73" s="188" t="str">
        <f>IF(MONTH(DATE(Planungsjahr,6,1)-WEEKDAY(DATE(Planungsjahr,6,1),2)+39)=6,DAY(DATE(Planungsjahr,6,1)-WEEKDAY(DATE(Planungsjahr,6,1),2)+39),"")</f>
        <v/>
      </c>
      <c r="AJ73" s="188"/>
      <c r="AK73" s="188"/>
      <c r="AL73" s="188" t="str">
        <f>IF(MONTH(DATE(Planungsjahr,6,1)-WEEKDAY(DATE(Planungsjahr,6,1),2)+40)=6,DAY(DATE(Planungsjahr,6,1)-WEEKDAY(DATE(Planungsjahr,6,1),2)+40),"")</f>
        <v/>
      </c>
      <c r="AM73" s="188"/>
      <c r="AN73" s="188"/>
      <c r="AO73" s="188" t="str">
        <f>IF(MONTH(DATE(Planungsjahr,6,1)-WEEKDAY(DATE(Planungsjahr,6,1),2)+41)=6,DAY(DATE(Planungsjahr,6,1)-WEEKDAY(DATE(Planungsjahr,6,1),2)+41),"")</f>
        <v/>
      </c>
      <c r="AP73" s="188"/>
      <c r="AQ73" s="188"/>
      <c r="AR73" s="188" t="str">
        <f>IF(MONTH(DATE(Planungsjahr,6,1)-WEEKDAY(DATE(Planungsjahr,6,1),2)+42)=6,DAY(DATE(Planungsjahr,6,1)-WEEKDAY(DATE(Planungsjahr,6,1),2)+42),"")</f>
        <v/>
      </c>
      <c r="AS73" s="188"/>
      <c r="AT73" s="190"/>
      <c r="AV73" s="177" t="str">
        <f>IF(OR(ISNUMBER(AW73),ISNUMBER(BO73)),_xlfn.ISOWEEKNUM(DATE(Planungsjahr,7,1)-WEEKDAY(DATE(Planungsjahr,7,1),2)+36),"")</f>
        <v/>
      </c>
      <c r="AW73" s="188" t="str">
        <f>IF(MONTH(DATE(Planungsjahr,7,1)-WEEKDAY(DATE(Planungsjahr,7,1),2)+36)=7,DAY(DATE(Planungsjahr,7,1)-WEEKDAY(DATE(Planungsjahr,7,1),2)+36),"")</f>
        <v/>
      </c>
      <c r="AX73" s="188"/>
      <c r="AY73" s="188"/>
      <c r="AZ73" s="188" t="str">
        <f>IF(MONTH(DATE(Planungsjahr,7,1)-WEEKDAY(DATE(Planungsjahr,7,1),2)+37)=7,DAY(DATE(Planungsjahr,7,1)-WEEKDAY(DATE(Planungsjahr,7,1),2)+37),"")</f>
        <v/>
      </c>
      <c r="BA73" s="188"/>
      <c r="BB73" s="188"/>
      <c r="BC73" s="188" t="str">
        <f>IF(MONTH(DATE(Planungsjahr,7,1)-WEEKDAY(DATE(Planungsjahr,7,1),2)+38)=7,DAY(DATE(Planungsjahr,7,1)-WEEKDAY(DATE(Planungsjahr,7,1),2)+38),"")</f>
        <v/>
      </c>
      <c r="BD73" s="188"/>
      <c r="BE73" s="188"/>
      <c r="BF73" s="188" t="str">
        <f>IF(MONTH(DATE(Planungsjahr,7,1)-WEEKDAY(DATE(Planungsjahr,7,1),2)+39)=7,DAY(DATE(Planungsjahr,7,1)-WEEKDAY(DATE(Planungsjahr,7,1),2)+39),"")</f>
        <v/>
      </c>
      <c r="BG73" s="188"/>
      <c r="BH73" s="188"/>
      <c r="BI73" s="188" t="str">
        <f>IF(MONTH(DATE(Planungsjahr,7,1)-WEEKDAY(DATE(Planungsjahr,7,1),2)+40)=7,DAY(DATE(Planungsjahr,7,1)-WEEKDAY(DATE(Planungsjahr,7,1),2)+40),"")</f>
        <v/>
      </c>
      <c r="BJ73" s="188"/>
      <c r="BK73" s="188"/>
      <c r="BL73" s="188" t="str">
        <f>IF(MONTH(DATE(Planungsjahr,7,1)-WEEKDAY(DATE(Planungsjahr,7,1),2)+41)=7,DAY(DATE(Planungsjahr,7,1)-WEEKDAY(DATE(Planungsjahr,7,1),2)+41),"")</f>
        <v/>
      </c>
      <c r="BM73" s="188"/>
      <c r="BN73" s="188"/>
      <c r="BO73" s="188" t="str">
        <f>IF(MONTH(DATE(Planungsjahr,7,1)-WEEKDAY(DATE(Planungsjahr,7,1),2)+42)=7,DAY(DATE(Planungsjahr,7,1)-WEEKDAY(DATE(Planungsjahr,7,1),2)+42),"")</f>
        <v/>
      </c>
      <c r="BP73" s="188"/>
      <c r="BQ73" s="190"/>
      <c r="BS73" s="177">
        <f>IF(OR(ISNUMBER(BT73),ISNUMBER(CL73)),_xlfn.ISOWEEKNUM(DATE(Planungsjahr,8,1)-WEEKDAY(DATE(Planungsjahr,8,1),2)+36),"")</f>
        <v>35</v>
      </c>
      <c r="BT73" s="188">
        <f>IF(MONTH(DATE(Planungsjahr,8,1)-WEEKDAY(DATE(Planungsjahr,8,1),2)+36)=8,DAY(DATE(Planungsjahr,8,1)-WEEKDAY(DATE(Planungsjahr,8,1),2)+36),"")</f>
        <v>30</v>
      </c>
      <c r="BU73" s="188"/>
      <c r="BV73" s="188"/>
      <c r="BW73" s="188">
        <f>IF(MONTH(DATE(Planungsjahr,8,1)-WEEKDAY(DATE(Planungsjahr,8,1),2)+37)=8,DAY(DATE(Planungsjahr,8,1)-WEEKDAY(DATE(Planungsjahr,8,1),2)+37),"")</f>
        <v>31</v>
      </c>
      <c r="BX73" s="188"/>
      <c r="BY73" s="188"/>
      <c r="BZ73" s="188" t="str">
        <f>IF(MONTH(DATE(Planungsjahr,8,1)-WEEKDAY(DATE(Planungsjahr,8,1),2)+38)=8,DAY(DATE(Planungsjahr,8,1)-WEEKDAY(DATE(Planungsjahr,8,1),2)+38),"")</f>
        <v/>
      </c>
      <c r="CA73" s="188"/>
      <c r="CB73" s="188"/>
      <c r="CC73" s="188" t="str">
        <f>IF(MONTH(DATE(Planungsjahr,8,1)-WEEKDAY(DATE(Planungsjahr,8,1),2)+39)=8,DAY(DATE(Planungsjahr,8,1)-WEEKDAY(DATE(Planungsjahr,8,1),2)+39),"")</f>
        <v/>
      </c>
      <c r="CD73" s="188"/>
      <c r="CE73" s="188"/>
      <c r="CF73" s="188" t="str">
        <f>IF(MONTH(DATE(Planungsjahr,8,1)-WEEKDAY(DATE(Planungsjahr,8,1),2)+40)=8,DAY(DATE(Planungsjahr,8,1)-WEEKDAY(DATE(Planungsjahr,8,1),2)+40),"")</f>
        <v/>
      </c>
      <c r="CG73" s="188"/>
      <c r="CH73" s="188"/>
      <c r="CI73" s="188" t="str">
        <f>IF(MONTH(DATE(Planungsjahr,8,1)-WEEKDAY(DATE(Planungsjahr,8,1),2)+41)=8,DAY(DATE(Planungsjahr,8,1)-WEEKDAY(DATE(Planungsjahr,8,1),2)+41),"")</f>
        <v/>
      </c>
      <c r="CJ73" s="188"/>
      <c r="CK73" s="188"/>
      <c r="CL73" s="188" t="str">
        <f>IF(MONTH(DATE(Planungsjahr,8,1)-WEEKDAY(DATE(Planungsjahr,8,1),2)+42)=8,DAY(DATE(Planungsjahr,8,1)-WEEKDAY(DATE(Planungsjahr,8,1),2)+42),"")</f>
        <v/>
      </c>
      <c r="CM73" s="188"/>
      <c r="CN73" s="190"/>
    </row>
    <row r="74" spans="2:92" ht="10.5" customHeight="1" x14ac:dyDescent="0.25">
      <c r="B74" s="181"/>
      <c r="C74" s="223">
        <f>IF(ISNUMBER(C73),IFERROR(11-1/(1/SUMPRODUCT(MAX((JP_StartSel=DATE(Planungsjahr,5,C73))*Anzeige_S*((JP_Anzeige=TRUE)+NOT(Filter_Aktiv)&gt;0)*(11-JP_Farbe)))),IF(COUNTIF(Feiertage,DATE(Planungsjahr,5,C73))&gt;0,"h",IF(COUNTIFS(U_Von,"&lt;="&amp;DATE(Planungsjahr,5,C73),U_Bis,"&gt;="&amp;DATE(Planungsjahr,5,C73))&gt;0,"u",""))),"")</f>
      </c>
      <c r="D74" s="224">
        <f>IF(ISNUMBER(C73),IFERROR(21-1/(1/SUMPRODUCT(MAX((JP_StartInhalt=DATE(Planungsjahr,5,C73))*Anzeige_I*((JP_Anzeige=TRUE)+NOT(Filter_Aktiv)&gt;0)*(11-JP_Farbe)))),IF(COUNTIF(Feiertage,DATE(Planungsjahr,5,C73))&gt;0,"h",IF(COUNTIFS(U_Von,"&lt;="&amp;DATE(Planungsjahr,5,C73),U_Bis,"&gt;="&amp;DATE(Planungsjahr,5,C73))&gt;0,"u",""))),"")</f>
      </c>
      <c r="E74" s="225">
        <f>IF(ISNUMBER(C73),IFERROR(31-1/(1/SUMPRODUCT(MAX((JP_PAL=DATE(Planungsjahr,5,C73))*Anzeige_P*((JP_Anzeige=TRUE)+NOT(Filter_Aktiv)&gt;0)*(11-JP_Farbe)))),IF(COUNTIF(Feiertage,DATE(Planungsjahr,5,C73))&gt;0,"h",IF(COUNTIFS(U_Von,"&lt;="&amp;DATE(Planungsjahr,5,C73),U_Bis,"&gt;="&amp;DATE(Planungsjahr,5,C73))&gt;0,"u",""))),"")</f>
      </c>
      <c r="F74" s="223">
        <f>IF(ISNUMBER(F73),IFERROR(11-1/(1/SUMPRODUCT(MAX((JP_StartSel=DATE(Planungsjahr,5,F73))*Anzeige_S*((JP_Anzeige=TRUE)+NOT(Filter_Aktiv)&gt;0)*(11-JP_Farbe)))),IF(COUNTIF(Feiertage,DATE(Planungsjahr,5,F73))&gt;0,"h",IF(COUNTIFS(U_Von,"&lt;="&amp;DATE(Planungsjahr,5,F73),U_Bis,"&gt;="&amp;DATE(Planungsjahr,5,F73))&gt;0,"u",""))),"")</f>
      </c>
      <c r="G74" s="224">
        <f>IF(ISNUMBER(F73),IFERROR(21-1/(1/SUMPRODUCT(MAX((JP_StartInhalt=DATE(Planungsjahr,5,F73))*Anzeige_I*((JP_Anzeige=TRUE)+NOT(Filter_Aktiv)&gt;0)*(11-JP_Farbe)))),IF(COUNTIF(Feiertage,DATE(Planungsjahr,5,F73))&gt;0,"h",IF(COUNTIFS(U_Von,"&lt;="&amp;DATE(Planungsjahr,5,F73),U_Bis,"&gt;="&amp;DATE(Planungsjahr,5,F73))&gt;0,"u",""))),"")</f>
      </c>
      <c r="H74" s="225">
        <f>IF(ISNUMBER(F73),IFERROR(31-1/(1/SUMPRODUCT(MAX((JP_PAL=DATE(Planungsjahr,5,F73))*Anzeige_P*((JP_Anzeige=TRUE)+NOT(Filter_Aktiv)&gt;0)*(11-JP_Farbe)))),IF(COUNTIF(Feiertage,DATE(Planungsjahr,5,F73))&gt;0,"h",IF(COUNTIFS(U_Von,"&lt;="&amp;DATE(Planungsjahr,5,F73),U_Bis,"&gt;="&amp;DATE(Planungsjahr,5,F73))&gt;0,"u",""))),"")</f>
      </c>
      <c r="I74" s="223">
        <f>IF(ISNUMBER(I73),IFERROR(11-1/(1/SUMPRODUCT(MAX((JP_StartSel=DATE(Planungsjahr,5,I73))*Anzeige_S*((JP_Anzeige=TRUE)+NOT(Filter_Aktiv)&gt;0)*(11-JP_Farbe)))),IF(COUNTIF(Feiertage,DATE(Planungsjahr,5,I73))&gt;0,"h",IF(COUNTIFS(U_Von,"&lt;="&amp;DATE(Planungsjahr,5,I73),U_Bis,"&gt;="&amp;DATE(Planungsjahr,5,I73))&gt;0,"u",""))),"")</f>
      </c>
      <c r="J74" s="224">
        <f>IF(ISNUMBER(I73),IFERROR(21-1/(1/SUMPRODUCT(MAX((JP_StartInhalt=DATE(Planungsjahr,5,I73))*Anzeige_I*((JP_Anzeige=TRUE)+NOT(Filter_Aktiv)&gt;0)*(11-JP_Farbe)))),IF(COUNTIF(Feiertage,DATE(Planungsjahr,5,I73))&gt;0,"h",IF(COUNTIFS(U_Von,"&lt;="&amp;DATE(Planungsjahr,5,I73),U_Bis,"&gt;="&amp;DATE(Planungsjahr,5,I73))&gt;0,"u",""))),"")</f>
      </c>
      <c r="K74" s="225">
        <f>IF(ISNUMBER(I73),IFERROR(31-1/(1/SUMPRODUCT(MAX((JP_PAL=DATE(Planungsjahr,5,I73))*Anzeige_P*((JP_Anzeige=TRUE)+NOT(Filter_Aktiv)&gt;0)*(11-JP_Farbe)))),IF(COUNTIF(Feiertage,DATE(Planungsjahr,5,I73))&gt;0,"h",IF(COUNTIFS(U_Von,"&lt;="&amp;DATE(Planungsjahr,5,I73),U_Bis,"&gt;="&amp;DATE(Planungsjahr,5,I73))&gt;0,"u",""))),"")</f>
      </c>
      <c r="L74" s="223">
        <f>IF(ISNUMBER(L73),IFERROR(11-1/(1/SUMPRODUCT(MAX((JP_StartSel=DATE(Planungsjahr,5,L73))*Anzeige_S*((JP_Anzeige=TRUE)+NOT(Filter_Aktiv)&gt;0)*(11-JP_Farbe)))),IF(COUNTIF(Feiertage,DATE(Planungsjahr,5,L73))&gt;0,"h",IF(COUNTIFS(U_Von,"&lt;="&amp;DATE(Planungsjahr,5,L73),U_Bis,"&gt;="&amp;DATE(Planungsjahr,5,L73))&gt;0,"u",""))),"")</f>
      </c>
      <c r="M74" s="224">
        <f>IF(ISNUMBER(L73),IFERROR(21-1/(1/SUMPRODUCT(MAX((JP_StartInhalt=DATE(Planungsjahr,5,L73))*Anzeige_I*((JP_Anzeige=TRUE)+NOT(Filter_Aktiv)&gt;0)*(11-JP_Farbe)))),IF(COUNTIF(Feiertage,DATE(Planungsjahr,5,L73))&gt;0,"h",IF(COUNTIFS(U_Von,"&lt;="&amp;DATE(Planungsjahr,5,L73),U_Bis,"&gt;="&amp;DATE(Planungsjahr,5,L73))&gt;0,"u",""))),"")</f>
      </c>
      <c r="N74" s="225">
        <f>IF(ISNUMBER(L73),IFERROR(31-1/(1/SUMPRODUCT(MAX((JP_PAL=DATE(Planungsjahr,5,L73))*Anzeige_P*((JP_Anzeige=TRUE)+NOT(Filter_Aktiv)&gt;0)*(11-JP_Farbe)))),IF(COUNTIF(Feiertage,DATE(Planungsjahr,5,L73))&gt;0,"h",IF(COUNTIFS(U_Von,"&lt;="&amp;DATE(Planungsjahr,5,L73),U_Bis,"&gt;="&amp;DATE(Planungsjahr,5,L73))&gt;0,"u",""))),"")</f>
      </c>
      <c r="O74" s="223">
        <f>IF(ISNUMBER(O73),IFERROR(11-1/(1/SUMPRODUCT(MAX((JP_StartSel=DATE(Planungsjahr,5,O73))*Anzeige_S*((JP_Anzeige=TRUE)+NOT(Filter_Aktiv)&gt;0)*(11-JP_Farbe)))),IF(COUNTIF(Feiertage,DATE(Planungsjahr,5,O73))&gt;0,"h",IF(COUNTIFS(U_Von,"&lt;="&amp;DATE(Planungsjahr,5,O73),U_Bis,"&gt;="&amp;DATE(Planungsjahr,5,O73))&gt;0,"u",""))),"")</f>
      </c>
      <c r="P74" s="224">
        <f>IF(ISNUMBER(O73),IFERROR(21-1/(1/SUMPRODUCT(MAX((JP_StartInhalt=DATE(Planungsjahr,5,O73))*Anzeige_I*((JP_Anzeige=TRUE)+NOT(Filter_Aktiv)&gt;0)*(11-JP_Farbe)))),IF(COUNTIF(Feiertage,DATE(Planungsjahr,5,O73))&gt;0,"h",IF(COUNTIFS(U_Von,"&lt;="&amp;DATE(Planungsjahr,5,O73),U_Bis,"&gt;="&amp;DATE(Planungsjahr,5,O73))&gt;0,"u",""))),"")</f>
      </c>
      <c r="Q74" s="225">
        <f>IF(ISNUMBER(O73),IFERROR(31-1/(1/SUMPRODUCT(MAX((JP_PAL=DATE(Planungsjahr,5,O73))*Anzeige_P*((JP_Anzeige=TRUE)+NOT(Filter_Aktiv)&gt;0)*(11-JP_Farbe)))),IF(COUNTIF(Feiertage,DATE(Planungsjahr,5,O73))&gt;0,"h",IF(COUNTIFS(U_Von,"&lt;="&amp;DATE(Planungsjahr,5,O73),U_Bis,"&gt;="&amp;DATE(Planungsjahr,5,O73))&gt;0,"u",""))),"")</f>
      </c>
      <c r="R74" s="223">
        <f>IF(ISNUMBER(R73),IFERROR(11-1/(1/SUMPRODUCT(MAX((JP_StartSel=DATE(Planungsjahr,5,R73))*Anzeige_S*((JP_Anzeige=TRUE)+NOT(Filter_Aktiv)&gt;0)*(11-JP_Farbe)))),IF(COUNTIF(Feiertage,DATE(Planungsjahr,5,R73))&gt;0,"h","w")),"")</f>
      </c>
      <c r="S74" s="224">
        <f>IF(ISNUMBER(R73),IFERROR(21-1/(1/SUMPRODUCT(MAX((JP_StartInhalt=DATE(Planungsjahr,5,R73))*Anzeige_I*((JP_Anzeige=TRUE)+NOT(Filter_Aktiv)&gt;0)*(11-JP_Farbe)))),IF(COUNTIF(Feiertage,DATE(Planungsjahr,5,R73))&gt;0,"h","w")),"")</f>
      </c>
      <c r="T74" s="225">
        <f>IF(ISNUMBER(R73),IFERROR(31-1/(1/SUMPRODUCT(MAX((JP_PAL=DATE(Planungsjahr,5,R73))*Anzeige_P*((JP_Anzeige=TRUE)+NOT(Filter_Aktiv)&gt;0)*(11-JP_Farbe)))),IF(COUNTIF(Feiertage,DATE(Planungsjahr,5,R73))&gt;0,"h","w")),"")</f>
      </c>
      <c r="U74" s="223">
        <f>IF(ISNUMBER(U73),IFERROR(11-1/(1/SUMPRODUCT(MAX((JP_StartSel=DATE(Planungsjahr,5,U73))*Anzeige_S*((JP_Anzeige=TRUE)+NOT(Filter_Aktiv)&gt;0)*(11-JP_Farbe)))),IF(COUNTIF(Feiertage,DATE(Planungsjahr,5,U73))&gt;0,"h","w")),"")</f>
      </c>
      <c r="V74" s="224">
        <f>IF(ISNUMBER(U73),IFERROR(21-1/(1/SUMPRODUCT(MAX((JP_StartInhalt=DATE(Planungsjahr,5,U73))*Anzeige_I*((JP_Anzeige=TRUE)+NOT(Filter_Aktiv)&gt;0)*(11-JP_Farbe)))),IF(COUNTIF(Feiertage,DATE(Planungsjahr,5,U73))&gt;0,"h","w")),"")</f>
      </c>
      <c r="W74" s="225">
        <f>IF(ISNUMBER(U73),IFERROR(31-1/(1/SUMPRODUCT(MAX((JP_PAL=DATE(Planungsjahr,5,U73))*Anzeige_P*((JP_Anzeige=TRUE)+NOT(Filter_Aktiv)&gt;0)*(11-JP_Farbe)))),IF(COUNTIF(Feiertage,DATE(Planungsjahr,5,U73))&gt;0,"h","w")),"")</f>
      </c>
      <c r="Y74" s="181"/>
      <c r="Z74" s="223">
        <f>IF(ISNUMBER(Z73),IFERROR(11-1/(1/SUMPRODUCT(MAX((JP_StartSel=DATE(Planungsjahr,6,Z73))*Anzeige_S*((JP_Anzeige=TRUE)+NOT(Filter_Aktiv)&gt;0)*(11-JP_Farbe)))),IF(COUNTIF(Feiertage,DATE(Planungsjahr,6,Z73))&gt;0,"h",IF(COUNTIFS(U_Von,"&lt;="&amp;DATE(Planungsjahr,6,Z73),U_Bis,"&gt;="&amp;DATE(Planungsjahr,6,Z73))&gt;0,"u",""))),"")</f>
      </c>
      <c r="AA74" s="224">
        <f>IF(ISNUMBER(Z73),IFERROR(21-1/(1/SUMPRODUCT(MAX((JP_StartInhalt=DATE(Planungsjahr,6,Z73))*Anzeige_I*((JP_Anzeige=TRUE)+NOT(Filter_Aktiv)&gt;0)*(11-JP_Farbe)))),IF(COUNTIF(Feiertage,DATE(Planungsjahr,6,Z73))&gt;0,"h",IF(COUNTIFS(U_Von,"&lt;="&amp;DATE(Planungsjahr,6,Z73),U_Bis,"&gt;="&amp;DATE(Planungsjahr,6,Z73))&gt;0,"u",""))),"")</f>
      </c>
      <c r="AB74" s="225">
        <f>IF(ISNUMBER(Z73),IFERROR(31-1/(1/SUMPRODUCT(MAX((JP_PAL=DATE(Planungsjahr,6,Z73))*Anzeige_P*((JP_Anzeige=TRUE)+NOT(Filter_Aktiv)&gt;0)*(11-JP_Farbe)))),IF(COUNTIF(Feiertage,DATE(Planungsjahr,6,Z73))&gt;0,"h",IF(COUNTIFS(U_Von,"&lt;="&amp;DATE(Planungsjahr,6,Z73),U_Bis,"&gt;="&amp;DATE(Planungsjahr,6,Z73))&gt;0,"u",""))),"")</f>
      </c>
      <c r="AC74" s="223">
        <f>IF(ISNUMBER(AC73),IFERROR(11-1/(1/SUMPRODUCT(MAX((JP_StartSel=DATE(Planungsjahr,6,AC73))*Anzeige_S*((JP_Anzeige=TRUE)+NOT(Filter_Aktiv)&gt;0)*(11-JP_Farbe)))),IF(COUNTIF(Feiertage,DATE(Planungsjahr,6,AC73))&gt;0,"h",IF(COUNTIFS(U_Von,"&lt;="&amp;DATE(Planungsjahr,6,AC73),U_Bis,"&gt;="&amp;DATE(Planungsjahr,6,AC73))&gt;0,"u",""))),"")</f>
      </c>
      <c r="AD74" s="224">
        <f>IF(ISNUMBER(AC73),IFERROR(21-1/(1/SUMPRODUCT(MAX((JP_StartInhalt=DATE(Planungsjahr,6,AC73))*Anzeige_I*((JP_Anzeige=TRUE)+NOT(Filter_Aktiv)&gt;0)*(11-JP_Farbe)))),IF(COUNTIF(Feiertage,DATE(Planungsjahr,6,AC73))&gt;0,"h",IF(COUNTIFS(U_Von,"&lt;="&amp;DATE(Planungsjahr,6,AC73),U_Bis,"&gt;="&amp;DATE(Planungsjahr,6,AC73))&gt;0,"u",""))),"")</f>
      </c>
      <c r="AE74" s="225">
        <f>IF(ISNUMBER(AC73),IFERROR(31-1/(1/SUMPRODUCT(MAX((JP_PAL=DATE(Planungsjahr,6,AC73))*Anzeige_P*((JP_Anzeige=TRUE)+NOT(Filter_Aktiv)&gt;0)*(11-JP_Farbe)))),IF(COUNTIF(Feiertage,DATE(Planungsjahr,6,AC73))&gt;0,"h",IF(COUNTIFS(U_Von,"&lt;="&amp;DATE(Planungsjahr,6,AC73),U_Bis,"&gt;="&amp;DATE(Planungsjahr,6,AC73))&gt;0,"u",""))),"")</f>
      </c>
      <c r="AF74" s="223">
        <f>IF(ISNUMBER(AF73),IFERROR(11-1/(1/SUMPRODUCT(MAX((JP_StartSel=DATE(Planungsjahr,6,AF73))*Anzeige_S*((JP_Anzeige=TRUE)+NOT(Filter_Aktiv)&gt;0)*(11-JP_Farbe)))),IF(COUNTIF(Feiertage,DATE(Planungsjahr,6,AF73))&gt;0,"h",IF(COUNTIFS(U_Von,"&lt;="&amp;DATE(Planungsjahr,6,AF73),U_Bis,"&gt;="&amp;DATE(Planungsjahr,6,AF73))&gt;0,"u",""))),"")</f>
      </c>
      <c r="AG74" s="224">
        <f>IF(ISNUMBER(AF73),IFERROR(21-1/(1/SUMPRODUCT(MAX((JP_StartInhalt=DATE(Planungsjahr,6,AF73))*Anzeige_I*((JP_Anzeige=TRUE)+NOT(Filter_Aktiv)&gt;0)*(11-JP_Farbe)))),IF(COUNTIF(Feiertage,DATE(Planungsjahr,6,AF73))&gt;0,"h",IF(COUNTIFS(U_Von,"&lt;="&amp;DATE(Planungsjahr,6,AF73),U_Bis,"&gt;="&amp;DATE(Planungsjahr,6,AF73))&gt;0,"u",""))),"")</f>
      </c>
      <c r="AH74" s="225">
        <f>IF(ISNUMBER(AF73),IFERROR(31-1/(1/SUMPRODUCT(MAX((JP_PAL=DATE(Planungsjahr,6,AF73))*Anzeige_P*((JP_Anzeige=TRUE)+NOT(Filter_Aktiv)&gt;0)*(11-JP_Farbe)))),IF(COUNTIF(Feiertage,DATE(Planungsjahr,6,AF73))&gt;0,"h",IF(COUNTIFS(U_Von,"&lt;="&amp;DATE(Planungsjahr,6,AF73),U_Bis,"&gt;="&amp;DATE(Planungsjahr,6,AF73))&gt;0,"u",""))),"")</f>
      </c>
      <c r="AI74" s="223">
        <f>IF(ISNUMBER(AI73),IFERROR(11-1/(1/SUMPRODUCT(MAX((JP_StartSel=DATE(Planungsjahr,6,AI73))*Anzeige_S*((JP_Anzeige=TRUE)+NOT(Filter_Aktiv)&gt;0)*(11-JP_Farbe)))),IF(COUNTIF(Feiertage,DATE(Planungsjahr,6,AI73))&gt;0,"h",IF(COUNTIFS(U_Von,"&lt;="&amp;DATE(Planungsjahr,6,AI73),U_Bis,"&gt;="&amp;DATE(Planungsjahr,6,AI73))&gt;0,"u",""))),"")</f>
      </c>
      <c r="AJ74" s="224">
        <f>IF(ISNUMBER(AI73),IFERROR(21-1/(1/SUMPRODUCT(MAX((JP_StartInhalt=DATE(Planungsjahr,6,AI73))*Anzeige_I*((JP_Anzeige=TRUE)+NOT(Filter_Aktiv)&gt;0)*(11-JP_Farbe)))),IF(COUNTIF(Feiertage,DATE(Planungsjahr,6,AI73))&gt;0,"h",IF(COUNTIFS(U_Von,"&lt;="&amp;DATE(Planungsjahr,6,AI73),U_Bis,"&gt;="&amp;DATE(Planungsjahr,6,AI73))&gt;0,"u",""))),"")</f>
      </c>
      <c r="AK74" s="225">
        <f>IF(ISNUMBER(AI73),IFERROR(31-1/(1/SUMPRODUCT(MAX((JP_PAL=DATE(Planungsjahr,6,AI73))*Anzeige_P*((JP_Anzeige=TRUE)+NOT(Filter_Aktiv)&gt;0)*(11-JP_Farbe)))),IF(COUNTIF(Feiertage,DATE(Planungsjahr,6,AI73))&gt;0,"h",IF(COUNTIFS(U_Von,"&lt;="&amp;DATE(Planungsjahr,6,AI73),U_Bis,"&gt;="&amp;DATE(Planungsjahr,6,AI73))&gt;0,"u",""))),"")</f>
      </c>
      <c r="AL74" s="223">
        <f>IF(ISNUMBER(AL73),IFERROR(11-1/(1/SUMPRODUCT(MAX((JP_StartSel=DATE(Planungsjahr,6,AL73))*Anzeige_S*((JP_Anzeige=TRUE)+NOT(Filter_Aktiv)&gt;0)*(11-JP_Farbe)))),IF(COUNTIF(Feiertage,DATE(Planungsjahr,6,AL73))&gt;0,"h",IF(COUNTIFS(U_Von,"&lt;="&amp;DATE(Planungsjahr,6,AL73),U_Bis,"&gt;="&amp;DATE(Planungsjahr,6,AL73))&gt;0,"u",""))),"")</f>
      </c>
      <c r="AM74" s="224">
        <f>IF(ISNUMBER(AL73),IFERROR(21-1/(1/SUMPRODUCT(MAX((JP_StartInhalt=DATE(Planungsjahr,6,AL73))*Anzeige_I*((JP_Anzeige=TRUE)+NOT(Filter_Aktiv)&gt;0)*(11-JP_Farbe)))),IF(COUNTIF(Feiertage,DATE(Planungsjahr,6,AL73))&gt;0,"h",IF(COUNTIFS(U_Von,"&lt;="&amp;DATE(Planungsjahr,6,AL73),U_Bis,"&gt;="&amp;DATE(Planungsjahr,6,AL73))&gt;0,"u",""))),"")</f>
      </c>
      <c r="AN74" s="225">
        <f>IF(ISNUMBER(AL73),IFERROR(31-1/(1/SUMPRODUCT(MAX((JP_PAL=DATE(Planungsjahr,6,AL73))*Anzeige_P*((JP_Anzeige=TRUE)+NOT(Filter_Aktiv)&gt;0)*(11-JP_Farbe)))),IF(COUNTIF(Feiertage,DATE(Planungsjahr,6,AL73))&gt;0,"h",IF(COUNTIFS(U_Von,"&lt;="&amp;DATE(Planungsjahr,6,AL73),U_Bis,"&gt;="&amp;DATE(Planungsjahr,6,AL73))&gt;0,"u",""))),"")</f>
      </c>
      <c r="AO74" s="223">
        <f>IF(ISNUMBER(AO73),IFERROR(11-1/(1/SUMPRODUCT(MAX((JP_StartSel=DATE(Planungsjahr,6,AO73))*Anzeige_S*((JP_Anzeige=TRUE)+NOT(Filter_Aktiv)&gt;0)*(11-JP_Farbe)))),IF(COUNTIF(Feiertage,DATE(Planungsjahr,6,AO73))&gt;0,"h","w")),"")</f>
      </c>
      <c r="AP74" s="224">
        <f>IF(ISNUMBER(AO73),IFERROR(21-1/(1/SUMPRODUCT(MAX((JP_StartInhalt=DATE(Planungsjahr,6,AO73))*Anzeige_I*((JP_Anzeige=TRUE)+NOT(Filter_Aktiv)&gt;0)*(11-JP_Farbe)))),IF(COUNTIF(Feiertage,DATE(Planungsjahr,6,AO73))&gt;0,"h","w")),"")</f>
      </c>
      <c r="AQ74" s="225">
        <f>IF(ISNUMBER(AO73),IFERROR(31-1/(1/SUMPRODUCT(MAX((JP_PAL=DATE(Planungsjahr,6,AO73))*Anzeige_P*((JP_Anzeige=TRUE)+NOT(Filter_Aktiv)&gt;0)*(11-JP_Farbe)))),IF(COUNTIF(Feiertage,DATE(Planungsjahr,6,AO73))&gt;0,"h","w")),"")</f>
      </c>
      <c r="AR74" s="223">
        <f>IF(ISNUMBER(AR73),IFERROR(11-1/(1/SUMPRODUCT(MAX((JP_StartSel=DATE(Planungsjahr,6,AR73))*Anzeige_S*((JP_Anzeige=TRUE)+NOT(Filter_Aktiv)&gt;0)*(11-JP_Farbe)))),IF(COUNTIF(Feiertage,DATE(Planungsjahr,6,AR73))&gt;0,"h","w")),"")</f>
      </c>
      <c r="AS74" s="224">
        <f>IF(ISNUMBER(AR73),IFERROR(21-1/(1/SUMPRODUCT(MAX((JP_StartInhalt=DATE(Planungsjahr,6,AR73))*Anzeige_I*((JP_Anzeige=TRUE)+NOT(Filter_Aktiv)&gt;0)*(11-JP_Farbe)))),IF(COUNTIF(Feiertage,DATE(Planungsjahr,6,AR73))&gt;0,"h","w")),"")</f>
      </c>
      <c r="AT74" s="225">
        <f>IF(ISNUMBER(AR73),IFERROR(31-1/(1/SUMPRODUCT(MAX((JP_PAL=DATE(Planungsjahr,6,AR73))*Anzeige_P*((JP_Anzeige=TRUE)+NOT(Filter_Aktiv)&gt;0)*(11-JP_Farbe)))),IF(COUNTIF(Feiertage,DATE(Planungsjahr,6,AR73))&gt;0,"h","w")),"")</f>
      </c>
      <c r="AV74" s="181"/>
      <c r="AW74" s="223">
        <f>IF(ISNUMBER(AW73),IFERROR(11-1/(1/SUMPRODUCT(MAX((JP_StartSel=DATE(Planungsjahr,7,AW73))*Anzeige_S*((JP_Anzeige=TRUE)+NOT(Filter_Aktiv)&gt;0)*(11-JP_Farbe)))),IF(COUNTIF(Feiertage,DATE(Planungsjahr,7,AW73))&gt;0,"h",IF(COUNTIFS(U_Von,"&lt;="&amp;DATE(Planungsjahr,7,AW73),U_Bis,"&gt;="&amp;DATE(Planungsjahr,7,AW73))&gt;0,"u",""))),"")</f>
      </c>
      <c r="AX74" s="224">
        <f>IF(ISNUMBER(AW73),IFERROR(21-1/(1/SUMPRODUCT(MAX((JP_StartInhalt=DATE(Planungsjahr,7,AW73))*Anzeige_I*((JP_Anzeige=TRUE)+NOT(Filter_Aktiv)&gt;0)*(11-JP_Farbe)))),IF(COUNTIF(Feiertage,DATE(Planungsjahr,7,AW73))&gt;0,"h",IF(COUNTIFS(U_Von,"&lt;="&amp;DATE(Planungsjahr,7,AW73),U_Bis,"&gt;="&amp;DATE(Planungsjahr,7,AW73))&gt;0,"u",""))),"")</f>
      </c>
      <c r="AY74" s="225">
        <f>IF(ISNUMBER(AW73),IFERROR(31-1/(1/SUMPRODUCT(MAX((JP_PAL=DATE(Planungsjahr,7,AW73))*Anzeige_P*((JP_Anzeige=TRUE)+NOT(Filter_Aktiv)&gt;0)*(11-JP_Farbe)))),IF(COUNTIF(Feiertage,DATE(Planungsjahr,7,AW73))&gt;0,"h",IF(COUNTIFS(U_Von,"&lt;="&amp;DATE(Planungsjahr,7,AW73),U_Bis,"&gt;="&amp;DATE(Planungsjahr,7,AW73))&gt;0,"u",""))),"")</f>
      </c>
      <c r="AZ74" s="223">
        <f>IF(ISNUMBER(AZ73),IFERROR(11-1/(1/SUMPRODUCT(MAX((JP_StartSel=DATE(Planungsjahr,7,AZ73))*Anzeige_S*((JP_Anzeige=TRUE)+NOT(Filter_Aktiv)&gt;0)*(11-JP_Farbe)))),IF(COUNTIF(Feiertage,DATE(Planungsjahr,7,AZ73))&gt;0,"h",IF(COUNTIFS(U_Von,"&lt;="&amp;DATE(Planungsjahr,7,AZ73),U_Bis,"&gt;="&amp;DATE(Planungsjahr,7,AZ73))&gt;0,"u",""))),"")</f>
      </c>
      <c r="BA74" s="224">
        <f>IF(ISNUMBER(AZ73),IFERROR(21-1/(1/SUMPRODUCT(MAX((JP_StartInhalt=DATE(Planungsjahr,7,AZ73))*Anzeige_I*((JP_Anzeige=TRUE)+NOT(Filter_Aktiv)&gt;0)*(11-JP_Farbe)))),IF(COUNTIF(Feiertage,DATE(Planungsjahr,7,AZ73))&gt;0,"h",IF(COUNTIFS(U_Von,"&lt;="&amp;DATE(Planungsjahr,7,AZ73),U_Bis,"&gt;="&amp;DATE(Planungsjahr,7,AZ73))&gt;0,"u",""))),"")</f>
      </c>
      <c r="BB74" s="225">
        <f>IF(ISNUMBER(AZ73),IFERROR(31-1/(1/SUMPRODUCT(MAX((JP_PAL=DATE(Planungsjahr,7,AZ73))*Anzeige_P*((JP_Anzeige=TRUE)+NOT(Filter_Aktiv)&gt;0)*(11-JP_Farbe)))),IF(COUNTIF(Feiertage,DATE(Planungsjahr,7,AZ73))&gt;0,"h",IF(COUNTIFS(U_Von,"&lt;="&amp;DATE(Planungsjahr,7,AZ73),U_Bis,"&gt;="&amp;DATE(Planungsjahr,7,AZ73))&gt;0,"u",""))),"")</f>
      </c>
      <c r="BC74" s="223">
        <f>IF(ISNUMBER(BC73),IFERROR(11-1/(1/SUMPRODUCT(MAX((JP_StartSel=DATE(Planungsjahr,7,BC73))*Anzeige_S*((JP_Anzeige=TRUE)+NOT(Filter_Aktiv)&gt;0)*(11-JP_Farbe)))),IF(COUNTIF(Feiertage,DATE(Planungsjahr,7,BC73))&gt;0,"h",IF(COUNTIFS(U_Von,"&lt;="&amp;DATE(Planungsjahr,7,BC73),U_Bis,"&gt;="&amp;DATE(Planungsjahr,7,BC73))&gt;0,"u",""))),"")</f>
      </c>
      <c r="BD74" s="224">
        <f>IF(ISNUMBER(BC73),IFERROR(21-1/(1/SUMPRODUCT(MAX((JP_StartInhalt=DATE(Planungsjahr,7,BC73))*Anzeige_I*((JP_Anzeige=TRUE)+NOT(Filter_Aktiv)&gt;0)*(11-JP_Farbe)))),IF(COUNTIF(Feiertage,DATE(Planungsjahr,7,BC73))&gt;0,"h",IF(COUNTIFS(U_Von,"&lt;="&amp;DATE(Planungsjahr,7,BC73),U_Bis,"&gt;="&amp;DATE(Planungsjahr,7,BC73))&gt;0,"u",""))),"")</f>
      </c>
      <c r="BE74" s="225">
        <f>IF(ISNUMBER(BC73),IFERROR(31-1/(1/SUMPRODUCT(MAX((JP_PAL=DATE(Planungsjahr,7,BC73))*Anzeige_P*((JP_Anzeige=TRUE)+NOT(Filter_Aktiv)&gt;0)*(11-JP_Farbe)))),IF(COUNTIF(Feiertage,DATE(Planungsjahr,7,BC73))&gt;0,"h",IF(COUNTIFS(U_Von,"&lt;="&amp;DATE(Planungsjahr,7,BC73),U_Bis,"&gt;="&amp;DATE(Planungsjahr,7,BC73))&gt;0,"u",""))),"")</f>
      </c>
      <c r="BF74" s="223">
        <f>IF(ISNUMBER(BF73),IFERROR(11-1/(1/SUMPRODUCT(MAX((JP_StartSel=DATE(Planungsjahr,7,BF73))*Anzeige_S*((JP_Anzeige=TRUE)+NOT(Filter_Aktiv)&gt;0)*(11-JP_Farbe)))),IF(COUNTIF(Feiertage,DATE(Planungsjahr,7,BF73))&gt;0,"h",IF(COUNTIFS(U_Von,"&lt;="&amp;DATE(Planungsjahr,7,BF73),U_Bis,"&gt;="&amp;DATE(Planungsjahr,7,BF73))&gt;0,"u",""))),"")</f>
      </c>
      <c r="BG74" s="224">
        <f>IF(ISNUMBER(BF73),IFERROR(21-1/(1/SUMPRODUCT(MAX((JP_StartInhalt=DATE(Planungsjahr,7,BF73))*Anzeige_I*((JP_Anzeige=TRUE)+NOT(Filter_Aktiv)&gt;0)*(11-JP_Farbe)))),IF(COUNTIF(Feiertage,DATE(Planungsjahr,7,BF73))&gt;0,"h",IF(COUNTIFS(U_Von,"&lt;="&amp;DATE(Planungsjahr,7,BF73),U_Bis,"&gt;="&amp;DATE(Planungsjahr,7,BF73))&gt;0,"u",""))),"")</f>
      </c>
      <c r="BH74" s="225">
        <f>IF(ISNUMBER(BF73),IFERROR(31-1/(1/SUMPRODUCT(MAX((JP_PAL=DATE(Planungsjahr,7,BF73))*Anzeige_P*((JP_Anzeige=TRUE)+NOT(Filter_Aktiv)&gt;0)*(11-JP_Farbe)))),IF(COUNTIF(Feiertage,DATE(Planungsjahr,7,BF73))&gt;0,"h",IF(COUNTIFS(U_Von,"&lt;="&amp;DATE(Planungsjahr,7,BF73),U_Bis,"&gt;="&amp;DATE(Planungsjahr,7,BF73))&gt;0,"u",""))),"")</f>
      </c>
      <c r="BI74" s="223">
        <f>IF(ISNUMBER(BI73),IFERROR(11-1/(1/SUMPRODUCT(MAX((JP_StartSel=DATE(Planungsjahr,7,BI73))*Anzeige_S*((JP_Anzeige=TRUE)+NOT(Filter_Aktiv)&gt;0)*(11-JP_Farbe)))),IF(COUNTIF(Feiertage,DATE(Planungsjahr,7,BI73))&gt;0,"h",IF(COUNTIFS(U_Von,"&lt;="&amp;DATE(Planungsjahr,7,BI73),U_Bis,"&gt;="&amp;DATE(Planungsjahr,7,BI73))&gt;0,"u",""))),"")</f>
      </c>
      <c r="BJ74" s="224">
        <f>IF(ISNUMBER(BI73),IFERROR(21-1/(1/SUMPRODUCT(MAX((JP_StartInhalt=DATE(Planungsjahr,7,BI73))*Anzeige_I*((JP_Anzeige=TRUE)+NOT(Filter_Aktiv)&gt;0)*(11-JP_Farbe)))),IF(COUNTIF(Feiertage,DATE(Planungsjahr,7,BI73))&gt;0,"h",IF(COUNTIFS(U_Von,"&lt;="&amp;DATE(Planungsjahr,7,BI73),U_Bis,"&gt;="&amp;DATE(Planungsjahr,7,BI73))&gt;0,"u",""))),"")</f>
      </c>
      <c r="BK74" s="225">
        <f>IF(ISNUMBER(BI73),IFERROR(31-1/(1/SUMPRODUCT(MAX((JP_PAL=DATE(Planungsjahr,7,BI73))*Anzeige_P*((JP_Anzeige=TRUE)+NOT(Filter_Aktiv)&gt;0)*(11-JP_Farbe)))),IF(COUNTIF(Feiertage,DATE(Planungsjahr,7,BI73))&gt;0,"h",IF(COUNTIFS(U_Von,"&lt;="&amp;DATE(Planungsjahr,7,BI73),U_Bis,"&gt;="&amp;DATE(Planungsjahr,7,BI73))&gt;0,"u",""))),"")</f>
      </c>
      <c r="BL74" s="223">
        <f>IF(ISNUMBER(BL73),IFERROR(11-1/(1/SUMPRODUCT(MAX((JP_StartSel=DATE(Planungsjahr,7,BL73))*Anzeige_S*((JP_Anzeige=TRUE)+NOT(Filter_Aktiv)&gt;0)*(11-JP_Farbe)))),IF(COUNTIF(Feiertage,DATE(Planungsjahr,7,BL73))&gt;0,"h","w")),"")</f>
      </c>
      <c r="BM74" s="224">
        <f>IF(ISNUMBER(BL73),IFERROR(21-1/(1/SUMPRODUCT(MAX((JP_StartInhalt=DATE(Planungsjahr,7,BL73))*Anzeige_I*((JP_Anzeige=TRUE)+NOT(Filter_Aktiv)&gt;0)*(11-JP_Farbe)))),IF(COUNTIF(Feiertage,DATE(Planungsjahr,7,BL73))&gt;0,"h","w")),"")</f>
      </c>
      <c r="BN74" s="225">
        <f>IF(ISNUMBER(BL73),IFERROR(31-1/(1/SUMPRODUCT(MAX((JP_PAL=DATE(Planungsjahr,7,BL73))*Anzeige_P*((JP_Anzeige=TRUE)+NOT(Filter_Aktiv)&gt;0)*(11-JP_Farbe)))),IF(COUNTIF(Feiertage,DATE(Planungsjahr,7,BL73))&gt;0,"h","w")),"")</f>
      </c>
      <c r="BO74" s="223">
        <f>IF(ISNUMBER(BO73),IFERROR(11-1/(1/SUMPRODUCT(MAX((JP_StartSel=DATE(Planungsjahr,7,BO73))*Anzeige_S*((JP_Anzeige=TRUE)+NOT(Filter_Aktiv)&gt;0)*(11-JP_Farbe)))),IF(COUNTIF(Feiertage,DATE(Planungsjahr,7,BO73))&gt;0,"h","w")),"")</f>
      </c>
      <c r="BP74" s="224">
        <f>IF(ISNUMBER(BO73),IFERROR(21-1/(1/SUMPRODUCT(MAX((JP_StartInhalt=DATE(Planungsjahr,7,BO73))*Anzeige_I*((JP_Anzeige=TRUE)+NOT(Filter_Aktiv)&gt;0)*(11-JP_Farbe)))),IF(COUNTIF(Feiertage,DATE(Planungsjahr,7,BO73))&gt;0,"h","w")),"")</f>
      </c>
      <c r="BQ74" s="225">
        <f>IF(ISNUMBER(BO73),IFERROR(31-1/(1/SUMPRODUCT(MAX((JP_PAL=DATE(Planungsjahr,7,BO73))*Anzeige_P*((JP_Anzeige=TRUE)+NOT(Filter_Aktiv)&gt;0)*(11-JP_Farbe)))),IF(COUNTIF(Feiertage,DATE(Planungsjahr,7,BO73))&gt;0,"h","w")),"")</f>
      </c>
      <c r="BS74" s="181"/>
      <c r="BT74" s="223">
        <f>IF(ISNUMBER(BT73),IFERROR(11-1/(1/SUMPRODUCT(MAX((JP_StartSel=DATE(Planungsjahr,8,BT73))*Anzeige_S*((JP_Anzeige=TRUE)+NOT(Filter_Aktiv)&gt;0)*(11-JP_Farbe)))),IF(COUNTIF(Feiertage,DATE(Planungsjahr,8,BT73))&gt;0,"h",IF(COUNTIFS(U_Von,"&lt;="&amp;DATE(Planungsjahr,8,BT73),U_Bis,"&gt;="&amp;DATE(Planungsjahr,8,BT73))&gt;0,"u",""))),"")</f>
      </c>
      <c r="BU74" s="224">
        <f>IF(ISNUMBER(BT73),IFERROR(21-1/(1/SUMPRODUCT(MAX((JP_StartInhalt=DATE(Planungsjahr,8,BT73))*Anzeige_I*((JP_Anzeige=TRUE)+NOT(Filter_Aktiv)&gt;0)*(11-JP_Farbe)))),IF(COUNTIF(Feiertage,DATE(Planungsjahr,8,BT73))&gt;0,"h",IF(COUNTIFS(U_Von,"&lt;="&amp;DATE(Planungsjahr,8,BT73),U_Bis,"&gt;="&amp;DATE(Planungsjahr,8,BT73))&gt;0,"u",""))),"")</f>
      </c>
      <c r="BV74" s="225">
        <f>IF(ISNUMBER(BT73),IFERROR(31-1/(1/SUMPRODUCT(MAX((JP_PAL=DATE(Planungsjahr,8,BT73))*Anzeige_P*((JP_Anzeige=TRUE)+NOT(Filter_Aktiv)&gt;0)*(11-JP_Farbe)))),IF(COUNTIF(Feiertage,DATE(Planungsjahr,8,BT73))&gt;0,"h",IF(COUNTIFS(U_Von,"&lt;="&amp;DATE(Planungsjahr,8,BT73),U_Bis,"&gt;="&amp;DATE(Planungsjahr,8,BT73))&gt;0,"u",""))),"")</f>
      </c>
      <c r="BW74" s="223">
        <f>IF(ISNUMBER(BW73),IFERROR(11-1/(1/SUMPRODUCT(MAX((JP_StartSel=DATE(Planungsjahr,8,BW73))*Anzeige_S*((JP_Anzeige=TRUE)+NOT(Filter_Aktiv)&gt;0)*(11-JP_Farbe)))),IF(COUNTIF(Feiertage,DATE(Planungsjahr,8,BW73))&gt;0,"h",IF(COUNTIFS(U_Von,"&lt;="&amp;DATE(Planungsjahr,8,BW73),U_Bis,"&gt;="&amp;DATE(Planungsjahr,8,BW73))&gt;0,"u",""))),"")</f>
      </c>
      <c r="BX74" s="224">
        <f>IF(ISNUMBER(BW73),IFERROR(21-1/(1/SUMPRODUCT(MAX((JP_StartInhalt=DATE(Planungsjahr,8,BW73))*Anzeige_I*((JP_Anzeige=TRUE)+NOT(Filter_Aktiv)&gt;0)*(11-JP_Farbe)))),IF(COUNTIF(Feiertage,DATE(Planungsjahr,8,BW73))&gt;0,"h",IF(COUNTIFS(U_Von,"&lt;="&amp;DATE(Planungsjahr,8,BW73),U_Bis,"&gt;="&amp;DATE(Planungsjahr,8,BW73))&gt;0,"u",""))),"")</f>
      </c>
      <c r="BY74" s="225">
        <f>IF(ISNUMBER(BW73),IFERROR(31-1/(1/SUMPRODUCT(MAX((JP_PAL=DATE(Planungsjahr,8,BW73))*Anzeige_P*((JP_Anzeige=TRUE)+NOT(Filter_Aktiv)&gt;0)*(11-JP_Farbe)))),IF(COUNTIF(Feiertage,DATE(Planungsjahr,8,BW73))&gt;0,"h",IF(COUNTIFS(U_Von,"&lt;="&amp;DATE(Planungsjahr,8,BW73),U_Bis,"&gt;="&amp;DATE(Planungsjahr,8,BW73))&gt;0,"u",""))),"")</f>
      </c>
      <c r="BZ74" s="223">
        <f>IF(ISNUMBER(BZ73),IFERROR(11-1/(1/SUMPRODUCT(MAX((JP_StartSel=DATE(Planungsjahr,8,BZ73))*Anzeige_S*((JP_Anzeige=TRUE)+NOT(Filter_Aktiv)&gt;0)*(11-JP_Farbe)))),IF(COUNTIF(Feiertage,DATE(Planungsjahr,8,BZ73))&gt;0,"h",IF(COUNTIFS(U_Von,"&lt;="&amp;DATE(Planungsjahr,8,BZ73),U_Bis,"&gt;="&amp;DATE(Planungsjahr,8,BZ73))&gt;0,"u",""))),"")</f>
      </c>
      <c r="CA74" s="224">
        <f>IF(ISNUMBER(BZ73),IFERROR(21-1/(1/SUMPRODUCT(MAX((JP_StartInhalt=DATE(Planungsjahr,8,BZ73))*Anzeige_I*((JP_Anzeige=TRUE)+NOT(Filter_Aktiv)&gt;0)*(11-JP_Farbe)))),IF(COUNTIF(Feiertage,DATE(Planungsjahr,8,BZ73))&gt;0,"h",IF(COUNTIFS(U_Von,"&lt;="&amp;DATE(Planungsjahr,8,BZ73),U_Bis,"&gt;="&amp;DATE(Planungsjahr,8,BZ73))&gt;0,"u",""))),"")</f>
      </c>
      <c r="CB74" s="225">
        <f>IF(ISNUMBER(BZ73),IFERROR(31-1/(1/SUMPRODUCT(MAX((JP_PAL=DATE(Planungsjahr,8,BZ73))*Anzeige_P*((JP_Anzeige=TRUE)+NOT(Filter_Aktiv)&gt;0)*(11-JP_Farbe)))),IF(COUNTIF(Feiertage,DATE(Planungsjahr,8,BZ73))&gt;0,"h",IF(COUNTIFS(U_Von,"&lt;="&amp;DATE(Planungsjahr,8,BZ73),U_Bis,"&gt;="&amp;DATE(Planungsjahr,8,BZ73))&gt;0,"u",""))),"")</f>
      </c>
      <c r="CC74" s="223">
        <f>IF(ISNUMBER(CC73),IFERROR(11-1/(1/SUMPRODUCT(MAX((JP_StartSel=DATE(Planungsjahr,8,CC73))*Anzeige_S*((JP_Anzeige=TRUE)+NOT(Filter_Aktiv)&gt;0)*(11-JP_Farbe)))),IF(COUNTIF(Feiertage,DATE(Planungsjahr,8,CC73))&gt;0,"h",IF(COUNTIFS(U_Von,"&lt;="&amp;DATE(Planungsjahr,8,CC73),U_Bis,"&gt;="&amp;DATE(Planungsjahr,8,CC73))&gt;0,"u",""))),"")</f>
      </c>
      <c r="CD74" s="224">
        <f>IF(ISNUMBER(CC73),IFERROR(21-1/(1/SUMPRODUCT(MAX((JP_StartInhalt=DATE(Planungsjahr,8,CC73))*Anzeige_I*((JP_Anzeige=TRUE)+NOT(Filter_Aktiv)&gt;0)*(11-JP_Farbe)))),IF(COUNTIF(Feiertage,DATE(Planungsjahr,8,CC73))&gt;0,"h",IF(COUNTIFS(U_Von,"&lt;="&amp;DATE(Planungsjahr,8,CC73),U_Bis,"&gt;="&amp;DATE(Planungsjahr,8,CC73))&gt;0,"u",""))),"")</f>
      </c>
      <c r="CE74" s="225">
        <f>IF(ISNUMBER(CC73),IFERROR(31-1/(1/SUMPRODUCT(MAX((JP_PAL=DATE(Planungsjahr,8,CC73))*Anzeige_P*((JP_Anzeige=TRUE)+NOT(Filter_Aktiv)&gt;0)*(11-JP_Farbe)))),IF(COUNTIF(Feiertage,DATE(Planungsjahr,8,CC73))&gt;0,"h",IF(COUNTIFS(U_Von,"&lt;="&amp;DATE(Planungsjahr,8,CC73),U_Bis,"&gt;="&amp;DATE(Planungsjahr,8,CC73))&gt;0,"u",""))),"")</f>
      </c>
      <c r="CF74" s="223">
        <f>IF(ISNUMBER(CF73),IFERROR(11-1/(1/SUMPRODUCT(MAX((JP_StartSel=DATE(Planungsjahr,8,CF73))*Anzeige_S*((JP_Anzeige=TRUE)+NOT(Filter_Aktiv)&gt;0)*(11-JP_Farbe)))),IF(COUNTIF(Feiertage,DATE(Planungsjahr,8,CF73))&gt;0,"h",IF(COUNTIFS(U_Von,"&lt;="&amp;DATE(Planungsjahr,8,CF73),U_Bis,"&gt;="&amp;DATE(Planungsjahr,8,CF73))&gt;0,"u",""))),"")</f>
      </c>
      <c r="CG74" s="224">
        <f>IF(ISNUMBER(CF73),IFERROR(21-1/(1/SUMPRODUCT(MAX((JP_StartInhalt=DATE(Planungsjahr,8,CF73))*Anzeige_I*((JP_Anzeige=TRUE)+NOT(Filter_Aktiv)&gt;0)*(11-JP_Farbe)))),IF(COUNTIF(Feiertage,DATE(Planungsjahr,8,CF73))&gt;0,"h",IF(COUNTIFS(U_Von,"&lt;="&amp;DATE(Planungsjahr,8,CF73),U_Bis,"&gt;="&amp;DATE(Planungsjahr,8,CF73))&gt;0,"u",""))),"")</f>
      </c>
      <c r="CH74" s="225">
        <f>IF(ISNUMBER(CF73),IFERROR(31-1/(1/SUMPRODUCT(MAX((JP_PAL=DATE(Planungsjahr,8,CF73))*Anzeige_P*((JP_Anzeige=TRUE)+NOT(Filter_Aktiv)&gt;0)*(11-JP_Farbe)))),IF(COUNTIF(Feiertage,DATE(Planungsjahr,8,CF73))&gt;0,"h",IF(COUNTIFS(U_Von,"&lt;="&amp;DATE(Planungsjahr,8,CF73),U_Bis,"&gt;="&amp;DATE(Planungsjahr,8,CF73))&gt;0,"u",""))),"")</f>
      </c>
      <c r="CI74" s="223">
        <f>IF(ISNUMBER(CI73),IFERROR(11-1/(1/SUMPRODUCT(MAX((JP_StartSel=DATE(Planungsjahr,8,CI73))*Anzeige_S*((JP_Anzeige=TRUE)+NOT(Filter_Aktiv)&gt;0)*(11-JP_Farbe)))),IF(COUNTIF(Feiertage,DATE(Planungsjahr,8,CI73))&gt;0,"h","w")),"")</f>
      </c>
      <c r="CJ74" s="224">
        <f>IF(ISNUMBER(CI73),IFERROR(21-1/(1/SUMPRODUCT(MAX((JP_StartInhalt=DATE(Planungsjahr,8,CI73))*Anzeige_I*((JP_Anzeige=TRUE)+NOT(Filter_Aktiv)&gt;0)*(11-JP_Farbe)))),IF(COUNTIF(Feiertage,DATE(Planungsjahr,8,CI73))&gt;0,"h","w")),"")</f>
      </c>
      <c r="CK74" s="225">
        <f>IF(ISNUMBER(CI73),IFERROR(31-1/(1/SUMPRODUCT(MAX((JP_PAL=DATE(Planungsjahr,8,CI73))*Anzeige_P*((JP_Anzeige=TRUE)+NOT(Filter_Aktiv)&gt;0)*(11-JP_Farbe)))),IF(COUNTIF(Feiertage,DATE(Planungsjahr,8,CI73))&gt;0,"h","w")),"")</f>
      </c>
      <c r="CL74" s="223">
        <f>IF(ISNUMBER(CL73),IFERROR(11-1/(1/SUMPRODUCT(MAX((JP_StartSel=DATE(Planungsjahr,8,CL73))*Anzeige_S*((JP_Anzeige=TRUE)+NOT(Filter_Aktiv)&gt;0)*(11-JP_Farbe)))),IF(COUNTIF(Feiertage,DATE(Planungsjahr,8,CL73))&gt;0,"h","w")),"")</f>
      </c>
      <c r="CM74" s="224">
        <f>IF(ISNUMBER(CL73),IFERROR(21-1/(1/SUMPRODUCT(MAX((JP_StartInhalt=DATE(Planungsjahr,8,CL73))*Anzeige_I*((JP_Anzeige=TRUE)+NOT(Filter_Aktiv)&gt;0)*(11-JP_Farbe)))),IF(COUNTIF(Feiertage,DATE(Planungsjahr,8,CL73))&gt;0,"h","w")),"")</f>
      </c>
      <c r="CN74" s="225">
        <f>IF(ISNUMBER(CL73),IFERROR(31-1/(1/SUMPRODUCT(MAX((JP_PAL=DATE(Planungsjahr,8,CL73))*Anzeige_P*((JP_Anzeige=TRUE)+NOT(Filter_Aktiv)&gt;0)*(11-JP_Farbe)))),IF(COUNTIF(Feiertage,DATE(Planungsjahr,8,CL73))&gt;0,"h","w")),"")</f>
      </c>
    </row>
    <row r="75" spans="2:92" ht="21.95" customHeight="1" x14ac:dyDescent="0.25">
      <c r="B75" s="184" t="str">
        <f t="array" ref="B75">_xlfn.TEXTJOIN("  ·  ",TRUE,IF(MONTH(Feiertage)=5,TEXT(DAY(Feiertage),"00")&amp;"."&amp;TEXT(MONTH(Feiertage),"00")&amp;". "&amp;Feiertage_Name,""),IF(ISNUMBER(U_Von)*ISNUMBER(U_Bis)*(U_Von&lt;=DATE(Planungsjahr,5+1,0))*(U_Bis&gt;=DATE(Planungsjahr,5,1)),"Urlaub "&amp;TEXT(DAY(U_Von),"00")&amp;"."&amp;TEXT(MONTH(U_Von),"00")&amp;".–"&amp;TEXT(DAY(U_Bis),"00")&amp;"."&amp;TEXT(MONTH(U_Bis),"00")&amp;"."&amp;IF(U_Wer="",""," "&amp;U_Wer),""))</f>
      </c>
      <c r="C75" s="184"/>
      <c r="D75" s="184"/>
      <c r="E75" s="184"/>
      <c r="F75" s="184"/>
      <c r="G75" s="184"/>
      <c r="H75" s="184"/>
      <c r="I75" s="184"/>
      <c r="J75" s="184"/>
      <c r="K75" s="184"/>
      <c r="L75" s="184"/>
      <c r="M75" s="184"/>
      <c r="N75" s="184"/>
      <c r="O75" s="184"/>
      <c r="P75" s="184"/>
      <c r="Q75" s="184"/>
      <c r="R75" s="184"/>
      <c r="S75" s="184"/>
      <c r="T75" s="184"/>
      <c r="U75" s="184"/>
      <c r="V75" s="184"/>
      <c r="W75" s="184"/>
      <c r="Y75" s="184" t="str">
        <f t="array" ref="Y75">_xlfn.TEXTJOIN("  ·  ",TRUE,IF(MONTH(Feiertage)=6,TEXT(DAY(Feiertage),"00")&amp;"."&amp;TEXT(MONTH(Feiertage),"00")&amp;". "&amp;Feiertage_Name,""),IF(ISNUMBER(U_Von)*ISNUMBER(U_Bis)*(U_Von&lt;=DATE(Planungsjahr,6+1,0))*(U_Bis&gt;=DATE(Planungsjahr,6,1)),"Urlaub "&amp;TEXT(DAY(U_Von),"00")&amp;"."&amp;TEXT(MONTH(U_Von),"00")&amp;".–"&amp;TEXT(DAY(U_Bis),"00")&amp;"."&amp;TEXT(MONTH(U_Bis),"00")&amp;"."&amp;IF(U_Wer="",""," "&amp;U_Wer),""))</f>
      </c>
      <c r="Z75" s="184"/>
      <c r="AA75" s="184"/>
      <c r="AB75" s="184"/>
      <c r="AC75" s="184"/>
      <c r="AD75" s="184"/>
      <c r="AE75" s="184"/>
      <c r="AF75" s="184"/>
      <c r="AG75" s="184"/>
      <c r="AH75" s="184"/>
      <c r="AI75" s="184"/>
      <c r="AJ75" s="184"/>
      <c r="AK75" s="184"/>
      <c r="AL75" s="184"/>
      <c r="AM75" s="184"/>
      <c r="AN75" s="184"/>
      <c r="AO75" s="184"/>
      <c r="AP75" s="184"/>
      <c r="AQ75" s="184"/>
      <c r="AR75" s="184"/>
      <c r="AS75" s="184"/>
      <c r="AT75" s="184"/>
      <c r="AV75" s="184" t="str">
        <f t="array" ref="AV75">_xlfn.TEXTJOIN("  ·  ",TRUE,IF(MONTH(Feiertage)=7,TEXT(DAY(Feiertage),"00")&amp;"."&amp;TEXT(MONTH(Feiertage),"00")&amp;". "&amp;Feiertage_Name,""),IF(ISNUMBER(U_Von)*ISNUMBER(U_Bis)*(U_Von&lt;=DATE(Planungsjahr,7+1,0))*(U_Bis&gt;=DATE(Planungsjahr,7,1)),"Urlaub "&amp;TEXT(DAY(U_Von),"00")&amp;"."&amp;TEXT(MONTH(U_Von),"00")&amp;".–"&amp;TEXT(DAY(U_Bis),"00")&amp;"."&amp;TEXT(MONTH(U_Bis),"00")&amp;"."&amp;IF(U_Wer="",""," "&amp;U_Wer),""))</f>
      </c>
      <c r="AW75" s="184"/>
      <c r="AX75" s="184"/>
      <c r="AY75" s="184"/>
      <c r="AZ75" s="184"/>
      <c r="BA75" s="184"/>
      <c r="BB75" s="184"/>
      <c r="BC75" s="184"/>
      <c r="BD75" s="184"/>
      <c r="BE75" s="184"/>
      <c r="BF75" s="184"/>
      <c r="BG75" s="184"/>
      <c r="BH75" s="184"/>
      <c r="BI75" s="184"/>
      <c r="BJ75" s="184"/>
      <c r="BK75" s="184"/>
      <c r="BL75" s="184"/>
      <c r="BM75" s="184"/>
      <c r="BN75" s="184"/>
      <c r="BO75" s="184"/>
      <c r="BP75" s="184"/>
      <c r="BQ75" s="184"/>
      <c r="BS75" s="184" t="str">
        <f t="array" ref="BS75">_xlfn.TEXTJOIN("  ·  ",TRUE,IF(MONTH(Feiertage)=8,TEXT(DAY(Feiertage),"00")&amp;"."&amp;TEXT(MONTH(Feiertage),"00")&amp;". "&amp;Feiertage_Name,""),IF(ISNUMBER(U_Von)*ISNUMBER(U_Bis)*(U_Von&lt;=DATE(Planungsjahr,8+1,0))*(U_Bis&gt;=DATE(Planungsjahr,8,1)),"Urlaub "&amp;TEXT(DAY(U_Von),"00")&amp;"."&amp;TEXT(MONTH(U_Von),"00")&amp;".–"&amp;TEXT(DAY(U_Bis),"00")&amp;"."&amp;TEXT(MONTH(U_Bis),"00")&amp;"."&amp;IF(U_Wer="",""," "&amp;U_Wer),""))</f>
      </c>
      <c r="BT75" s="184"/>
      <c r="BU75" s="184"/>
      <c r="BV75" s="184"/>
      <c r="BW75" s="184"/>
      <c r="BX75" s="184"/>
      <c r="BY75" s="184"/>
      <c r="BZ75" s="184"/>
      <c r="CA75" s="184"/>
      <c r="CB75" s="184"/>
      <c r="CC75" s="184"/>
      <c r="CD75" s="184"/>
      <c r="CE75" s="184"/>
      <c r="CF75" s="184"/>
      <c r="CG75" s="184"/>
      <c r="CH75" s="184"/>
      <c r="CI75" s="184"/>
      <c r="CJ75" s="184"/>
      <c r="CK75" s="184"/>
      <c r="CL75" s="184"/>
      <c r="CM75" s="184"/>
      <c r="CN75" s="184"/>
    </row>
    <row r="76" x14ac:dyDescent="0.25" ht="11.5" customHeight="1">
      <c r="B76" s="226">
        <f>Hilfsdaten!$D$36</f>
      </c>
      <c r="C76" s="227" t="str">
        <f>Hilfsdaten!$C$36</f>
      </c>
      <c r="D76" s="215"/>
      <c r="E76" s="215"/>
      <c r="F76" s="215"/>
      <c r="G76" s="215"/>
      <c r="H76" s="215"/>
      <c r="I76" s="215"/>
      <c r="J76" s="215"/>
      <c r="K76" s="215"/>
      <c r="L76" s="215"/>
      <c r="M76" s="215"/>
      <c r="N76" s="215"/>
      <c r="O76" s="215"/>
      <c r="P76" s="215"/>
      <c r="Q76" s="215"/>
      <c r="R76" s="215"/>
      <c r="S76" s="215"/>
      <c r="T76" s="215"/>
      <c r="U76" s="215"/>
      <c r="V76" s="215"/>
      <c r="W76" s="215"/>
      <c r="Y76" s="226">
        <f>Hilfsdaten!$D$39</f>
      </c>
      <c r="Z76" s="227" t="str">
        <f>Hilfsdaten!$C$39</f>
      </c>
      <c r="AA76" s="215"/>
      <c r="AB76" s="215"/>
      <c r="AC76" s="215"/>
      <c r="AD76" s="215"/>
      <c r="AE76" s="215"/>
      <c r="AF76" s="215"/>
      <c r="AG76" s="215"/>
      <c r="AH76" s="215"/>
      <c r="AI76" s="215"/>
      <c r="AJ76" s="215"/>
      <c r="AK76" s="215"/>
      <c r="AL76" s="215"/>
      <c r="AM76" s="215"/>
      <c r="AN76" s="215"/>
      <c r="AO76" s="215"/>
      <c r="AP76" s="215"/>
      <c r="AQ76" s="215"/>
      <c r="AR76" s="215"/>
      <c r="AS76" s="215"/>
      <c r="AT76" s="215"/>
      <c r="AV76" s="226">
        <f>Hilfsdaten!$D$42</f>
      </c>
      <c r="AW76" s="227" t="str">
        <f>Hilfsdaten!$C$42</f>
      </c>
      <c r="AX76" s="215"/>
      <c r="AY76" s="215"/>
      <c r="AZ76" s="215"/>
      <c r="BA76" s="215"/>
      <c r="BB76" s="215"/>
      <c r="BC76" s="215"/>
      <c r="BD76" s="215"/>
      <c r="BE76" s="215"/>
      <c r="BF76" s="215"/>
      <c r="BG76" s="215"/>
      <c r="BH76" s="215"/>
      <c r="BI76" s="215"/>
      <c r="BJ76" s="215"/>
      <c r="BK76" s="215"/>
      <c r="BL76" s="215"/>
      <c r="BM76" s="215"/>
      <c r="BN76" s="215"/>
      <c r="BO76" s="215"/>
      <c r="BP76" s="215"/>
      <c r="BQ76" s="215"/>
      <c r="BS76" s="226">
        <f>Hilfsdaten!$D$45</f>
      </c>
      <c r="BT76" s="227" t="str">
        <f>Hilfsdaten!$C$45</f>
      </c>
      <c r="BU76" s="215"/>
      <c r="BV76" s="215"/>
      <c r="BW76" s="215"/>
      <c r="BX76" s="215"/>
      <c r="BY76" s="215"/>
      <c r="BZ76" s="215"/>
      <c r="CA76" s="215"/>
      <c r="CB76" s="215"/>
      <c r="CC76" s="215"/>
      <c r="CD76" s="215"/>
      <c r="CE76" s="215"/>
      <c r="CF76" s="215"/>
      <c r="CG76" s="215"/>
      <c r="CH76" s="215"/>
      <c r="CI76" s="215"/>
      <c r="CJ76" s="215"/>
      <c r="CK76" s="215"/>
      <c r="CL76" s="215"/>
      <c r="CM76" s="215"/>
      <c r="CN76" s="215"/>
    </row>
    <row r="77" ht="11.5" customHeight="1">
      <c r="B77" s="226">
        <f>Hilfsdaten!$D$37</f>
      </c>
      <c r="C77" s="227" t="str">
        <f>Hilfsdaten!$C$37</f>
      </c>
      <c r="D77" s="217"/>
      <c r="E77" s="217"/>
      <c r="F77" s="217"/>
      <c r="G77" s="217"/>
      <c r="H77" s="217"/>
      <c r="I77" s="217"/>
      <c r="J77" s="217"/>
      <c r="K77" s="217"/>
      <c r="L77" s="217"/>
      <c r="M77" s="217"/>
      <c r="N77" s="217"/>
      <c r="O77" s="217"/>
      <c r="P77" s="217"/>
      <c r="Q77" s="217"/>
      <c r="R77" s="217"/>
      <c r="S77" s="217"/>
      <c r="T77" s="217"/>
      <c r="U77" s="217"/>
      <c r="V77" s="217"/>
      <c r="W77" s="217"/>
      <c r="Y77" s="226">
        <f>Hilfsdaten!$D$40</f>
      </c>
      <c r="Z77" s="227" t="str">
        <f>Hilfsdaten!$C$40</f>
      </c>
      <c r="AA77" s="217"/>
      <c r="AB77" s="217"/>
      <c r="AC77" s="217"/>
      <c r="AD77" s="217"/>
      <c r="AE77" s="217"/>
      <c r="AF77" s="217"/>
      <c r="AG77" s="217"/>
      <c r="AH77" s="217"/>
      <c r="AI77" s="217"/>
      <c r="AJ77" s="217"/>
      <c r="AK77" s="217"/>
      <c r="AL77" s="217"/>
      <c r="AM77" s="217"/>
      <c r="AN77" s="217"/>
      <c r="AO77" s="217"/>
      <c r="AP77" s="217"/>
      <c r="AQ77" s="217"/>
      <c r="AR77" s="217"/>
      <c r="AS77" s="217"/>
      <c r="AT77" s="217"/>
      <c r="AV77" s="226">
        <f>Hilfsdaten!$D$43</f>
      </c>
      <c r="AW77" s="227" t="str">
        <f>Hilfsdaten!$C$43</f>
      </c>
      <c r="AX77" s="217"/>
      <c r="AY77" s="217"/>
      <c r="AZ77" s="217"/>
      <c r="BA77" s="217"/>
      <c r="BB77" s="217"/>
      <c r="BC77" s="217"/>
      <c r="BD77" s="217"/>
      <c r="BE77" s="217"/>
      <c r="BF77" s="217"/>
      <c r="BG77" s="217"/>
      <c r="BH77" s="217"/>
      <c r="BI77" s="217"/>
      <c r="BJ77" s="217"/>
      <c r="BK77" s="217"/>
      <c r="BL77" s="217"/>
      <c r="BM77" s="217"/>
      <c r="BN77" s="217"/>
      <c r="BO77" s="217"/>
      <c r="BP77" s="217"/>
      <c r="BQ77" s="217"/>
      <c r="BS77" s="226">
        <f>Hilfsdaten!$D$46</f>
      </c>
      <c r="BT77" s="227" t="str">
        <f>Hilfsdaten!$C$46</f>
      </c>
      <c r="BU77" s="217"/>
      <c r="BV77" s="217"/>
      <c r="BW77" s="217"/>
      <c r="BX77" s="217"/>
      <c r="BY77" s="217"/>
      <c r="BZ77" s="217"/>
      <c r="CA77" s="217"/>
      <c r="CB77" s="217"/>
      <c r="CC77" s="217"/>
      <c r="CD77" s="217"/>
      <c r="CE77" s="217"/>
      <c r="CF77" s="217"/>
      <c r="CG77" s="217"/>
      <c r="CH77" s="217"/>
      <c r="CI77" s="217"/>
      <c r="CJ77" s="217"/>
      <c r="CK77" s="217"/>
      <c r="CL77" s="217"/>
      <c r="CM77" s="217"/>
      <c r="CN77" s="217"/>
    </row>
    <row r="78" ht="11.5" customHeight="1">
      <c r="B78" s="226">
        <f>Hilfsdaten!$D$38</f>
      </c>
      <c r="C78" s="227" t="str">
        <f>Hilfsdaten!$C$38</f>
      </c>
      <c r="D78" s="219"/>
      <c r="E78" s="219"/>
      <c r="F78" s="219"/>
      <c r="G78" s="219"/>
      <c r="H78" s="219"/>
      <c r="I78" s="219"/>
      <c r="J78" s="219"/>
      <c r="K78" s="219"/>
      <c r="L78" s="219"/>
      <c r="M78" s="219"/>
      <c r="N78" s="219"/>
      <c r="O78" s="219"/>
      <c r="P78" s="219"/>
      <c r="Q78" s="219"/>
      <c r="R78" s="219"/>
      <c r="S78" s="219"/>
      <c r="T78" s="219"/>
      <c r="U78" s="219"/>
      <c r="V78" s="219"/>
      <c r="W78" s="219"/>
      <c r="Y78" s="226">
        <f>Hilfsdaten!$D$41</f>
      </c>
      <c r="Z78" s="227" t="str">
        <f>Hilfsdaten!$C$41</f>
      </c>
      <c r="AA78" s="219"/>
      <c r="AB78" s="219"/>
      <c r="AC78" s="219"/>
      <c r="AD78" s="219"/>
      <c r="AE78" s="219"/>
      <c r="AF78" s="219"/>
      <c r="AG78" s="219"/>
      <c r="AH78" s="219"/>
      <c r="AI78" s="219"/>
      <c r="AJ78" s="219"/>
      <c r="AK78" s="219"/>
      <c r="AL78" s="219"/>
      <c r="AM78" s="219"/>
      <c r="AN78" s="219"/>
      <c r="AO78" s="219"/>
      <c r="AP78" s="219"/>
      <c r="AQ78" s="219"/>
      <c r="AR78" s="219"/>
      <c r="AS78" s="219"/>
      <c r="AT78" s="219"/>
      <c r="AV78" s="226">
        <f>Hilfsdaten!$D$44</f>
      </c>
      <c r="AW78" s="227" t="str">
        <f>Hilfsdaten!$C$44</f>
      </c>
      <c r="AX78" s="219"/>
      <c r="AY78" s="219"/>
      <c r="AZ78" s="219"/>
      <c r="BA78" s="219"/>
      <c r="BB78" s="219"/>
      <c r="BC78" s="219"/>
      <c r="BD78" s="219"/>
      <c r="BE78" s="219"/>
      <c r="BF78" s="219"/>
      <c r="BG78" s="219"/>
      <c r="BH78" s="219"/>
      <c r="BI78" s="219"/>
      <c r="BJ78" s="219"/>
      <c r="BK78" s="219"/>
      <c r="BL78" s="219"/>
      <c r="BM78" s="219"/>
      <c r="BN78" s="219"/>
      <c r="BO78" s="219"/>
      <c r="BP78" s="219"/>
      <c r="BQ78" s="219"/>
      <c r="BS78" s="226">
        <f>Hilfsdaten!$D$47</f>
      </c>
      <c r="BT78" s="227" t="str">
        <f>Hilfsdaten!$C$47</f>
      </c>
      <c r="BU78" s="219"/>
      <c r="BV78" s="219"/>
      <c r="BW78" s="219"/>
      <c r="BX78" s="219"/>
      <c r="BY78" s="219"/>
      <c r="BZ78" s="219"/>
      <c r="CA78" s="219"/>
      <c r="CB78" s="219"/>
      <c r="CC78" s="219"/>
      <c r="CD78" s="219"/>
      <c r="CE78" s="219"/>
      <c r="CF78" s="219"/>
      <c r="CG78" s="219"/>
      <c r="CH78" s="219"/>
      <c r="CI78" s="219"/>
      <c r="CJ78" s="219"/>
      <c r="CK78" s="219"/>
      <c r="CL78" s="219"/>
      <c r="CM78" s="219"/>
      <c r="CN78" s="219"/>
    </row>
    <row r="79" spans="2:92" ht="20.100000000000001" customHeight="1" x14ac:dyDescent="0.25">
      <c r="B79" s="172" t="str">
        <f>"September "&amp;Planungsjahr</f>
        <v>September 2027</v>
      </c>
      <c r="C79" s="173"/>
      <c r="D79" s="173"/>
      <c r="E79" s="173"/>
      <c r="F79" s="173"/>
      <c r="G79" s="173"/>
      <c r="H79" s="173"/>
      <c r="I79" s="173"/>
      <c r="J79" s="173"/>
      <c r="K79" s="173"/>
      <c r="L79" s="173"/>
      <c r="M79" s="173"/>
      <c r="N79" s="173"/>
      <c r="O79" s="173"/>
      <c r="P79" s="173"/>
      <c r="Q79" s="173"/>
      <c r="R79" s="173"/>
      <c r="S79" s="173"/>
      <c r="T79" s="173"/>
      <c r="U79" s="173"/>
      <c r="V79" s="173"/>
      <c r="W79" s="174"/>
      <c r="Y79" s="172" t="str">
        <f>"Oktober "&amp;Planungsjahr</f>
        <v>Oktober 2027</v>
      </c>
      <c r="Z79" s="173"/>
      <c r="AA79" s="173"/>
      <c r="AB79" s="173"/>
      <c r="AC79" s="173"/>
      <c r="AD79" s="173"/>
      <c r="AE79" s="173"/>
      <c r="AF79" s="173"/>
      <c r="AG79" s="173"/>
      <c r="AH79" s="173"/>
      <c r="AI79" s="173"/>
      <c r="AJ79" s="173"/>
      <c r="AK79" s="173"/>
      <c r="AL79" s="173"/>
      <c r="AM79" s="173"/>
      <c r="AN79" s="173"/>
      <c r="AO79" s="173"/>
      <c r="AP79" s="173"/>
      <c r="AQ79" s="173"/>
      <c r="AR79" s="173"/>
      <c r="AS79" s="173"/>
      <c r="AT79" s="174"/>
      <c r="AV79" s="172" t="str">
        <f>"November "&amp;Planungsjahr</f>
        <v>November 2027</v>
      </c>
      <c r="AW79" s="173"/>
      <c r="AX79" s="173"/>
      <c r="AY79" s="173"/>
      <c r="AZ79" s="173"/>
      <c r="BA79" s="173"/>
      <c r="BB79" s="173"/>
      <c r="BC79" s="173"/>
      <c r="BD79" s="173"/>
      <c r="BE79" s="173"/>
      <c r="BF79" s="173"/>
      <c r="BG79" s="173"/>
      <c r="BH79" s="173"/>
      <c r="BI79" s="173"/>
      <c r="BJ79" s="173"/>
      <c r="BK79" s="173"/>
      <c r="BL79" s="173"/>
      <c r="BM79" s="173"/>
      <c r="BN79" s="173"/>
      <c r="BO79" s="173"/>
      <c r="BP79" s="173"/>
      <c r="BQ79" s="174"/>
      <c r="BS79" s="172" t="str">
        <f>"Dezember "&amp;Planungsjahr</f>
        <v>Dezember 2027</v>
      </c>
      <c r="BT79" s="173"/>
      <c r="BU79" s="173"/>
      <c r="BV79" s="173"/>
      <c r="BW79" s="173"/>
      <c r="BX79" s="173"/>
      <c r="BY79" s="173"/>
      <c r="BZ79" s="173"/>
      <c r="CA79" s="173"/>
      <c r="CB79" s="173"/>
      <c r="CC79" s="173"/>
      <c r="CD79" s="173"/>
      <c r="CE79" s="173"/>
      <c r="CF79" s="173"/>
      <c r="CG79" s="173"/>
      <c r="CH79" s="173"/>
      <c r="CI79" s="173"/>
      <c r="CJ79" s="173"/>
      <c r="CK79" s="173"/>
      <c r="CL79" s="173"/>
      <c r="CM79" s="173"/>
      <c r="CN79" s="174"/>
    </row>
    <row r="80" spans="2:92" ht="14.1" customHeight="1" x14ac:dyDescent="0.25">
      <c r="B80" s="175" t="s">
        <v>72</v>
      </c>
      <c r="C80" s="191" t="s">
        <v>73</v>
      </c>
      <c r="D80" s="191"/>
      <c r="E80" s="191"/>
      <c r="F80" s="191" t="s">
        <v>74</v>
      </c>
      <c r="G80" s="191"/>
      <c r="H80" s="191"/>
      <c r="I80" s="191" t="s">
        <v>75</v>
      </c>
      <c r="J80" s="191"/>
      <c r="K80" s="191"/>
      <c r="L80" s="191" t="s">
        <v>76</v>
      </c>
      <c r="M80" s="191"/>
      <c r="N80" s="191"/>
      <c r="O80" s="191" t="s">
        <v>77</v>
      </c>
      <c r="P80" s="191"/>
      <c r="Q80" s="191"/>
      <c r="R80" s="191" t="s">
        <v>78</v>
      </c>
      <c r="S80" s="191"/>
      <c r="T80" s="191"/>
      <c r="U80" s="191" t="s">
        <v>79</v>
      </c>
      <c r="V80" s="191"/>
      <c r="W80" s="193"/>
      <c r="Y80" s="175" t="s">
        <v>72</v>
      </c>
      <c r="Z80" s="191" t="s">
        <v>73</v>
      </c>
      <c r="AA80" s="191"/>
      <c r="AB80" s="191"/>
      <c r="AC80" s="191" t="s">
        <v>74</v>
      </c>
      <c r="AD80" s="191"/>
      <c r="AE80" s="191"/>
      <c r="AF80" s="191" t="s">
        <v>75</v>
      </c>
      <c r="AG80" s="191"/>
      <c r="AH80" s="191"/>
      <c r="AI80" s="191" t="s">
        <v>76</v>
      </c>
      <c r="AJ80" s="191"/>
      <c r="AK80" s="191"/>
      <c r="AL80" s="191" t="s">
        <v>77</v>
      </c>
      <c r="AM80" s="191"/>
      <c r="AN80" s="191"/>
      <c r="AO80" s="191" t="s">
        <v>78</v>
      </c>
      <c r="AP80" s="191"/>
      <c r="AQ80" s="191"/>
      <c r="AR80" s="191" t="s">
        <v>79</v>
      </c>
      <c r="AS80" s="191"/>
      <c r="AT80" s="193"/>
      <c r="AV80" s="175" t="s">
        <v>72</v>
      </c>
      <c r="AW80" s="191" t="s">
        <v>73</v>
      </c>
      <c r="AX80" s="191"/>
      <c r="AY80" s="191"/>
      <c r="AZ80" s="191" t="s">
        <v>74</v>
      </c>
      <c r="BA80" s="191"/>
      <c r="BB80" s="191"/>
      <c r="BC80" s="191" t="s">
        <v>75</v>
      </c>
      <c r="BD80" s="191"/>
      <c r="BE80" s="191"/>
      <c r="BF80" s="191" t="s">
        <v>76</v>
      </c>
      <c r="BG80" s="191"/>
      <c r="BH80" s="191"/>
      <c r="BI80" s="191" t="s">
        <v>77</v>
      </c>
      <c r="BJ80" s="191"/>
      <c r="BK80" s="191"/>
      <c r="BL80" s="191" t="s">
        <v>78</v>
      </c>
      <c r="BM80" s="191"/>
      <c r="BN80" s="191"/>
      <c r="BO80" s="191" t="s">
        <v>79</v>
      </c>
      <c r="BP80" s="191"/>
      <c r="BQ80" s="193"/>
      <c r="BS80" s="175" t="s">
        <v>72</v>
      </c>
      <c r="BT80" s="191" t="s">
        <v>73</v>
      </c>
      <c r="BU80" s="191"/>
      <c r="BV80" s="191"/>
      <c r="BW80" s="191" t="s">
        <v>74</v>
      </c>
      <c r="BX80" s="191"/>
      <c r="BY80" s="191"/>
      <c r="BZ80" s="191" t="s">
        <v>75</v>
      </c>
      <c r="CA80" s="191"/>
      <c r="CB80" s="191"/>
      <c r="CC80" s="191" t="s">
        <v>76</v>
      </c>
      <c r="CD80" s="191"/>
      <c r="CE80" s="191"/>
      <c r="CF80" s="191" t="s">
        <v>77</v>
      </c>
      <c r="CG80" s="191"/>
      <c r="CH80" s="191"/>
      <c r="CI80" s="191" t="s">
        <v>78</v>
      </c>
      <c r="CJ80" s="191"/>
      <c r="CK80" s="191"/>
      <c r="CL80" s="191" t="s">
        <v>79</v>
      </c>
      <c r="CM80" s="191"/>
      <c r="CN80" s="193"/>
    </row>
    <row r="81" spans="2:92" ht="15.95" customHeight="1" x14ac:dyDescent="0.25">
      <c r="B81" s="177">
        <f>IF(OR(ISNUMBER(C81),ISNUMBER(U81)),_xlfn.ISOWEEKNUM(DATE(Planungsjahr,9,1)-WEEKDAY(DATE(Planungsjahr,9,1),2)+1),"")</f>
        <v>35</v>
      </c>
      <c r="C81" s="188" t="str">
        <f>IF(MONTH(DATE(Planungsjahr,9,1)-WEEKDAY(DATE(Planungsjahr,9,1),2)+1)=9,DAY(DATE(Planungsjahr,9,1)-WEEKDAY(DATE(Planungsjahr,9,1),2)+1),"")</f>
        <v/>
      </c>
      <c r="D81" s="188"/>
      <c r="E81" s="188"/>
      <c r="F81" s="188" t="str">
        <f>IF(MONTH(DATE(Planungsjahr,9,1)-WEEKDAY(DATE(Planungsjahr,9,1),2)+2)=9,DAY(DATE(Planungsjahr,9,1)-WEEKDAY(DATE(Planungsjahr,9,1),2)+2),"")</f>
        <v/>
      </c>
      <c r="G81" s="188"/>
      <c r="H81" s="188"/>
      <c r="I81" s="188">
        <f>IF(MONTH(DATE(Planungsjahr,9,1)-WEEKDAY(DATE(Planungsjahr,9,1),2)+3)=9,DAY(DATE(Planungsjahr,9,1)-WEEKDAY(DATE(Planungsjahr,9,1),2)+3),"")</f>
        <v>1</v>
      </c>
      <c r="J81" s="188"/>
      <c r="K81" s="188"/>
      <c r="L81" s="188">
        <f>IF(MONTH(DATE(Planungsjahr,9,1)-WEEKDAY(DATE(Planungsjahr,9,1),2)+4)=9,DAY(DATE(Planungsjahr,9,1)-WEEKDAY(DATE(Planungsjahr,9,1),2)+4),"")</f>
        <v>2</v>
      </c>
      <c r="M81" s="188"/>
      <c r="N81" s="188"/>
      <c r="O81" s="188">
        <f>IF(MONTH(DATE(Planungsjahr,9,1)-WEEKDAY(DATE(Planungsjahr,9,1),2)+5)=9,DAY(DATE(Planungsjahr,9,1)-WEEKDAY(DATE(Planungsjahr,9,1),2)+5),"")</f>
        <v>3</v>
      </c>
      <c r="P81" s="188"/>
      <c r="Q81" s="188"/>
      <c r="R81" s="188">
        <f>IF(MONTH(DATE(Planungsjahr,9,1)-WEEKDAY(DATE(Planungsjahr,9,1),2)+6)=9,DAY(DATE(Planungsjahr,9,1)-WEEKDAY(DATE(Planungsjahr,9,1),2)+6),"")</f>
        <v>4</v>
      </c>
      <c r="S81" s="188"/>
      <c r="T81" s="188"/>
      <c r="U81" s="188">
        <f>IF(MONTH(DATE(Planungsjahr,9,1)-WEEKDAY(DATE(Planungsjahr,9,1),2)+7)=9,DAY(DATE(Planungsjahr,9,1)-WEEKDAY(DATE(Planungsjahr,9,1),2)+7),"")</f>
        <v>5</v>
      </c>
      <c r="V81" s="188"/>
      <c r="W81" s="190"/>
      <c r="Y81" s="177">
        <f>IF(OR(ISNUMBER(Z81),ISNUMBER(AR81)),_xlfn.ISOWEEKNUM(DATE(Planungsjahr,10,1)-WEEKDAY(DATE(Planungsjahr,10,1),2)+1),"")</f>
        <v>39</v>
      </c>
      <c r="Z81" s="188" t="str">
        <f>IF(MONTH(DATE(Planungsjahr,10,1)-WEEKDAY(DATE(Planungsjahr,10,1),2)+1)=10,DAY(DATE(Planungsjahr,10,1)-WEEKDAY(DATE(Planungsjahr,10,1),2)+1),"")</f>
        <v/>
      </c>
      <c r="AA81" s="188"/>
      <c r="AB81" s="188"/>
      <c r="AC81" s="188" t="str">
        <f>IF(MONTH(DATE(Planungsjahr,10,1)-WEEKDAY(DATE(Planungsjahr,10,1),2)+2)=10,DAY(DATE(Planungsjahr,10,1)-WEEKDAY(DATE(Planungsjahr,10,1),2)+2),"")</f>
        <v/>
      </c>
      <c r="AD81" s="188"/>
      <c r="AE81" s="188"/>
      <c r="AF81" s="188" t="str">
        <f>IF(MONTH(DATE(Planungsjahr,10,1)-WEEKDAY(DATE(Planungsjahr,10,1),2)+3)=10,DAY(DATE(Planungsjahr,10,1)-WEEKDAY(DATE(Planungsjahr,10,1),2)+3),"")</f>
        <v/>
      </c>
      <c r="AG81" s="188"/>
      <c r="AH81" s="188"/>
      <c r="AI81" s="188" t="str">
        <f>IF(MONTH(DATE(Planungsjahr,10,1)-WEEKDAY(DATE(Planungsjahr,10,1),2)+4)=10,DAY(DATE(Planungsjahr,10,1)-WEEKDAY(DATE(Planungsjahr,10,1),2)+4),"")</f>
        <v/>
      </c>
      <c r="AJ81" s="188"/>
      <c r="AK81" s="188"/>
      <c r="AL81" s="188">
        <f>IF(MONTH(DATE(Planungsjahr,10,1)-WEEKDAY(DATE(Planungsjahr,10,1),2)+5)=10,DAY(DATE(Planungsjahr,10,1)-WEEKDAY(DATE(Planungsjahr,10,1),2)+5),"")</f>
        <v>1</v>
      </c>
      <c r="AM81" s="188"/>
      <c r="AN81" s="188"/>
      <c r="AO81" s="188">
        <f>IF(MONTH(DATE(Planungsjahr,10,1)-WEEKDAY(DATE(Planungsjahr,10,1),2)+6)=10,DAY(DATE(Planungsjahr,10,1)-WEEKDAY(DATE(Planungsjahr,10,1),2)+6),"")</f>
        <v>2</v>
      </c>
      <c r="AP81" s="188"/>
      <c r="AQ81" s="188"/>
      <c r="AR81" s="188">
        <f>IF(MONTH(DATE(Planungsjahr,10,1)-WEEKDAY(DATE(Planungsjahr,10,1),2)+7)=10,DAY(DATE(Planungsjahr,10,1)-WEEKDAY(DATE(Planungsjahr,10,1),2)+7),"")</f>
        <v>3</v>
      </c>
      <c r="AS81" s="188"/>
      <c r="AT81" s="190"/>
      <c r="AV81" s="177">
        <f>IF(OR(ISNUMBER(AW81),ISNUMBER(BO81)),_xlfn.ISOWEEKNUM(DATE(Planungsjahr,11,1)-WEEKDAY(DATE(Planungsjahr,11,1),2)+1),"")</f>
        <v>44</v>
      </c>
      <c r="AW81" s="188">
        <f>IF(MONTH(DATE(Planungsjahr,11,1)-WEEKDAY(DATE(Planungsjahr,11,1),2)+1)=11,DAY(DATE(Planungsjahr,11,1)-WEEKDAY(DATE(Planungsjahr,11,1),2)+1),"")</f>
        <v>1</v>
      </c>
      <c r="AX81" s="188"/>
      <c r="AY81" s="188"/>
      <c r="AZ81" s="188">
        <f>IF(MONTH(DATE(Planungsjahr,11,1)-WEEKDAY(DATE(Planungsjahr,11,1),2)+2)=11,DAY(DATE(Planungsjahr,11,1)-WEEKDAY(DATE(Planungsjahr,11,1),2)+2),"")</f>
        <v>2</v>
      </c>
      <c r="BA81" s="188"/>
      <c r="BB81" s="188"/>
      <c r="BC81" s="188">
        <f>IF(MONTH(DATE(Planungsjahr,11,1)-WEEKDAY(DATE(Planungsjahr,11,1),2)+3)=11,DAY(DATE(Planungsjahr,11,1)-WEEKDAY(DATE(Planungsjahr,11,1),2)+3),"")</f>
        <v>3</v>
      </c>
      <c r="BD81" s="188"/>
      <c r="BE81" s="188"/>
      <c r="BF81" s="188">
        <f>IF(MONTH(DATE(Planungsjahr,11,1)-WEEKDAY(DATE(Planungsjahr,11,1),2)+4)=11,DAY(DATE(Planungsjahr,11,1)-WEEKDAY(DATE(Planungsjahr,11,1),2)+4),"")</f>
        <v>4</v>
      </c>
      <c r="BG81" s="188"/>
      <c r="BH81" s="188"/>
      <c r="BI81" s="188">
        <f>IF(MONTH(DATE(Planungsjahr,11,1)-WEEKDAY(DATE(Planungsjahr,11,1),2)+5)=11,DAY(DATE(Planungsjahr,11,1)-WEEKDAY(DATE(Planungsjahr,11,1),2)+5),"")</f>
        <v>5</v>
      </c>
      <c r="BJ81" s="188"/>
      <c r="BK81" s="188"/>
      <c r="BL81" s="188">
        <f>IF(MONTH(DATE(Planungsjahr,11,1)-WEEKDAY(DATE(Planungsjahr,11,1),2)+6)=11,DAY(DATE(Planungsjahr,11,1)-WEEKDAY(DATE(Planungsjahr,11,1),2)+6),"")</f>
        <v>6</v>
      </c>
      <c r="BM81" s="188"/>
      <c r="BN81" s="188"/>
      <c r="BO81" s="188">
        <f>IF(MONTH(DATE(Planungsjahr,11,1)-WEEKDAY(DATE(Planungsjahr,11,1),2)+7)=11,DAY(DATE(Planungsjahr,11,1)-WEEKDAY(DATE(Planungsjahr,11,1),2)+7),"")</f>
        <v>7</v>
      </c>
      <c r="BP81" s="188"/>
      <c r="BQ81" s="190"/>
      <c r="BS81" s="177">
        <f>IF(OR(ISNUMBER(BT81),ISNUMBER(CL81)),_xlfn.ISOWEEKNUM(DATE(Planungsjahr,12,1)-WEEKDAY(DATE(Planungsjahr,12,1),2)+1),"")</f>
        <v>48</v>
      </c>
      <c r="BT81" s="188" t="str">
        <f>IF(MONTH(DATE(Planungsjahr,12,1)-WEEKDAY(DATE(Planungsjahr,12,1),2)+1)=12,DAY(DATE(Planungsjahr,12,1)-WEEKDAY(DATE(Planungsjahr,12,1),2)+1),"")</f>
        <v/>
      </c>
      <c r="BU81" s="188"/>
      <c r="BV81" s="188"/>
      <c r="BW81" s="188" t="str">
        <f>IF(MONTH(DATE(Planungsjahr,12,1)-WEEKDAY(DATE(Planungsjahr,12,1),2)+2)=12,DAY(DATE(Planungsjahr,12,1)-WEEKDAY(DATE(Planungsjahr,12,1),2)+2),"")</f>
        <v/>
      </c>
      <c r="BX81" s="188"/>
      <c r="BY81" s="188"/>
      <c r="BZ81" s="188">
        <f>IF(MONTH(DATE(Planungsjahr,12,1)-WEEKDAY(DATE(Planungsjahr,12,1),2)+3)=12,DAY(DATE(Planungsjahr,12,1)-WEEKDAY(DATE(Planungsjahr,12,1),2)+3),"")</f>
        <v>1</v>
      </c>
      <c r="CA81" s="188"/>
      <c r="CB81" s="188"/>
      <c r="CC81" s="188">
        <f>IF(MONTH(DATE(Planungsjahr,12,1)-WEEKDAY(DATE(Planungsjahr,12,1),2)+4)=12,DAY(DATE(Planungsjahr,12,1)-WEEKDAY(DATE(Planungsjahr,12,1),2)+4),"")</f>
        <v>2</v>
      </c>
      <c r="CD81" s="188"/>
      <c r="CE81" s="188"/>
      <c r="CF81" s="188">
        <f>IF(MONTH(DATE(Planungsjahr,12,1)-WEEKDAY(DATE(Planungsjahr,12,1),2)+5)=12,DAY(DATE(Planungsjahr,12,1)-WEEKDAY(DATE(Planungsjahr,12,1),2)+5),"")</f>
        <v>3</v>
      </c>
      <c r="CG81" s="188"/>
      <c r="CH81" s="188"/>
      <c r="CI81" s="188">
        <f>IF(MONTH(DATE(Planungsjahr,12,1)-WEEKDAY(DATE(Planungsjahr,12,1),2)+6)=12,DAY(DATE(Planungsjahr,12,1)-WEEKDAY(DATE(Planungsjahr,12,1),2)+6),"")</f>
        <v>4</v>
      </c>
      <c r="CJ81" s="188"/>
      <c r="CK81" s="188"/>
      <c r="CL81" s="188">
        <f>IF(MONTH(DATE(Planungsjahr,12,1)-WEEKDAY(DATE(Planungsjahr,12,1),2)+7)=12,DAY(DATE(Planungsjahr,12,1)-WEEKDAY(DATE(Planungsjahr,12,1),2)+7),"")</f>
        <v>5</v>
      </c>
      <c r="CM81" s="188"/>
      <c r="CN81" s="190"/>
    </row>
    <row r="82" spans="2:92" ht="10.5" customHeight="1" x14ac:dyDescent="0.25">
      <c r="B82" s="179"/>
      <c r="C82" s="223">
        <f>IF(ISNUMBER(C81),IFERROR(11-1/(1/SUMPRODUCT(MAX((JP_StartSel=DATE(Planungsjahr,9,C81))*Anzeige_S*((JP_Anzeige=TRUE)+NOT(Filter_Aktiv)&gt;0)*(11-JP_Farbe)))),IF(COUNTIF(Feiertage,DATE(Planungsjahr,9,C81))&gt;0,"h",IF(COUNTIFS(U_Von,"&lt;="&amp;DATE(Planungsjahr,9,C81),U_Bis,"&gt;="&amp;DATE(Planungsjahr,9,C81))&gt;0,"u",""))),"")</f>
      </c>
      <c r="D82" s="224">
        <f>IF(ISNUMBER(C81),IFERROR(21-1/(1/SUMPRODUCT(MAX((JP_StartInhalt=DATE(Planungsjahr,9,C81))*Anzeige_I*((JP_Anzeige=TRUE)+NOT(Filter_Aktiv)&gt;0)*(11-JP_Farbe)))),IF(COUNTIF(Feiertage,DATE(Planungsjahr,9,C81))&gt;0,"h",IF(COUNTIFS(U_Von,"&lt;="&amp;DATE(Planungsjahr,9,C81),U_Bis,"&gt;="&amp;DATE(Planungsjahr,9,C81))&gt;0,"u",""))),"")</f>
      </c>
      <c r="E82" s="225">
        <f>IF(ISNUMBER(C81),IFERROR(31-1/(1/SUMPRODUCT(MAX((JP_PAL=DATE(Planungsjahr,9,C81))*Anzeige_P*((JP_Anzeige=TRUE)+NOT(Filter_Aktiv)&gt;0)*(11-JP_Farbe)))),IF(COUNTIF(Feiertage,DATE(Planungsjahr,9,C81))&gt;0,"h",IF(COUNTIFS(U_Von,"&lt;="&amp;DATE(Planungsjahr,9,C81),U_Bis,"&gt;="&amp;DATE(Planungsjahr,9,C81))&gt;0,"u",""))),"")</f>
      </c>
      <c r="F82" s="223">
        <f>IF(ISNUMBER(F81),IFERROR(11-1/(1/SUMPRODUCT(MAX((JP_StartSel=DATE(Planungsjahr,9,F81))*Anzeige_S*((JP_Anzeige=TRUE)+NOT(Filter_Aktiv)&gt;0)*(11-JP_Farbe)))),IF(COUNTIF(Feiertage,DATE(Planungsjahr,9,F81))&gt;0,"h",IF(COUNTIFS(U_Von,"&lt;="&amp;DATE(Planungsjahr,9,F81),U_Bis,"&gt;="&amp;DATE(Planungsjahr,9,F81))&gt;0,"u",""))),"")</f>
      </c>
      <c r="G82" s="224">
        <f>IF(ISNUMBER(F81),IFERROR(21-1/(1/SUMPRODUCT(MAX((JP_StartInhalt=DATE(Planungsjahr,9,F81))*Anzeige_I*((JP_Anzeige=TRUE)+NOT(Filter_Aktiv)&gt;0)*(11-JP_Farbe)))),IF(COUNTIF(Feiertage,DATE(Planungsjahr,9,F81))&gt;0,"h",IF(COUNTIFS(U_Von,"&lt;="&amp;DATE(Planungsjahr,9,F81),U_Bis,"&gt;="&amp;DATE(Planungsjahr,9,F81))&gt;0,"u",""))),"")</f>
      </c>
      <c r="H82" s="225">
        <f>IF(ISNUMBER(F81),IFERROR(31-1/(1/SUMPRODUCT(MAX((JP_PAL=DATE(Planungsjahr,9,F81))*Anzeige_P*((JP_Anzeige=TRUE)+NOT(Filter_Aktiv)&gt;0)*(11-JP_Farbe)))),IF(COUNTIF(Feiertage,DATE(Planungsjahr,9,F81))&gt;0,"h",IF(COUNTIFS(U_Von,"&lt;="&amp;DATE(Planungsjahr,9,F81),U_Bis,"&gt;="&amp;DATE(Planungsjahr,9,F81))&gt;0,"u",""))),"")</f>
      </c>
      <c r="I82" s="223">
        <f>IF(ISNUMBER(I81),IFERROR(11-1/(1/SUMPRODUCT(MAX((JP_StartSel=DATE(Planungsjahr,9,I81))*Anzeige_S*((JP_Anzeige=TRUE)+NOT(Filter_Aktiv)&gt;0)*(11-JP_Farbe)))),IF(COUNTIF(Feiertage,DATE(Planungsjahr,9,I81))&gt;0,"h",IF(COUNTIFS(U_Von,"&lt;="&amp;DATE(Planungsjahr,9,I81),U_Bis,"&gt;="&amp;DATE(Planungsjahr,9,I81))&gt;0,"u",""))),"")</f>
      </c>
      <c r="J82" s="224">
        <f>IF(ISNUMBER(I81),IFERROR(21-1/(1/SUMPRODUCT(MAX((JP_StartInhalt=DATE(Planungsjahr,9,I81))*Anzeige_I*((JP_Anzeige=TRUE)+NOT(Filter_Aktiv)&gt;0)*(11-JP_Farbe)))),IF(COUNTIF(Feiertage,DATE(Planungsjahr,9,I81))&gt;0,"h",IF(COUNTIFS(U_Von,"&lt;="&amp;DATE(Planungsjahr,9,I81),U_Bis,"&gt;="&amp;DATE(Planungsjahr,9,I81))&gt;0,"u",""))),"")</f>
      </c>
      <c r="K82" s="225">
        <f>IF(ISNUMBER(I81),IFERROR(31-1/(1/SUMPRODUCT(MAX((JP_PAL=DATE(Planungsjahr,9,I81))*Anzeige_P*((JP_Anzeige=TRUE)+NOT(Filter_Aktiv)&gt;0)*(11-JP_Farbe)))),IF(COUNTIF(Feiertage,DATE(Planungsjahr,9,I81))&gt;0,"h",IF(COUNTIFS(U_Von,"&lt;="&amp;DATE(Planungsjahr,9,I81),U_Bis,"&gt;="&amp;DATE(Planungsjahr,9,I81))&gt;0,"u",""))),"")</f>
      </c>
      <c r="L82" s="223">
        <f>IF(ISNUMBER(L81),IFERROR(11-1/(1/SUMPRODUCT(MAX((JP_StartSel=DATE(Planungsjahr,9,L81))*Anzeige_S*((JP_Anzeige=TRUE)+NOT(Filter_Aktiv)&gt;0)*(11-JP_Farbe)))),IF(COUNTIF(Feiertage,DATE(Planungsjahr,9,L81))&gt;0,"h",IF(COUNTIFS(U_Von,"&lt;="&amp;DATE(Planungsjahr,9,L81),U_Bis,"&gt;="&amp;DATE(Planungsjahr,9,L81))&gt;0,"u",""))),"")</f>
      </c>
      <c r="M82" s="224">
        <f>IF(ISNUMBER(L81),IFERROR(21-1/(1/SUMPRODUCT(MAX((JP_StartInhalt=DATE(Planungsjahr,9,L81))*Anzeige_I*((JP_Anzeige=TRUE)+NOT(Filter_Aktiv)&gt;0)*(11-JP_Farbe)))),IF(COUNTIF(Feiertage,DATE(Planungsjahr,9,L81))&gt;0,"h",IF(COUNTIFS(U_Von,"&lt;="&amp;DATE(Planungsjahr,9,L81),U_Bis,"&gt;="&amp;DATE(Planungsjahr,9,L81))&gt;0,"u",""))),"")</f>
      </c>
      <c r="N82" s="225">
        <f>IF(ISNUMBER(L81),IFERROR(31-1/(1/SUMPRODUCT(MAX((JP_PAL=DATE(Planungsjahr,9,L81))*Anzeige_P*((JP_Anzeige=TRUE)+NOT(Filter_Aktiv)&gt;0)*(11-JP_Farbe)))),IF(COUNTIF(Feiertage,DATE(Planungsjahr,9,L81))&gt;0,"h",IF(COUNTIFS(U_Von,"&lt;="&amp;DATE(Planungsjahr,9,L81),U_Bis,"&gt;="&amp;DATE(Planungsjahr,9,L81))&gt;0,"u",""))),"")</f>
      </c>
      <c r="O82" s="223">
        <f>IF(ISNUMBER(O81),IFERROR(11-1/(1/SUMPRODUCT(MAX((JP_StartSel=DATE(Planungsjahr,9,O81))*Anzeige_S*((JP_Anzeige=TRUE)+NOT(Filter_Aktiv)&gt;0)*(11-JP_Farbe)))),IF(COUNTIF(Feiertage,DATE(Planungsjahr,9,O81))&gt;0,"h",IF(COUNTIFS(U_Von,"&lt;="&amp;DATE(Planungsjahr,9,O81),U_Bis,"&gt;="&amp;DATE(Planungsjahr,9,O81))&gt;0,"u",""))),"")</f>
      </c>
      <c r="P82" s="224">
        <f>IF(ISNUMBER(O81),IFERROR(21-1/(1/SUMPRODUCT(MAX((JP_StartInhalt=DATE(Planungsjahr,9,O81))*Anzeige_I*((JP_Anzeige=TRUE)+NOT(Filter_Aktiv)&gt;0)*(11-JP_Farbe)))),IF(COUNTIF(Feiertage,DATE(Planungsjahr,9,O81))&gt;0,"h",IF(COUNTIFS(U_Von,"&lt;="&amp;DATE(Planungsjahr,9,O81),U_Bis,"&gt;="&amp;DATE(Planungsjahr,9,O81))&gt;0,"u",""))),"")</f>
      </c>
      <c r="Q82" s="225">
        <f>IF(ISNUMBER(O81),IFERROR(31-1/(1/SUMPRODUCT(MAX((JP_PAL=DATE(Planungsjahr,9,O81))*Anzeige_P*((JP_Anzeige=TRUE)+NOT(Filter_Aktiv)&gt;0)*(11-JP_Farbe)))),IF(COUNTIF(Feiertage,DATE(Planungsjahr,9,O81))&gt;0,"h",IF(COUNTIFS(U_Von,"&lt;="&amp;DATE(Planungsjahr,9,O81),U_Bis,"&gt;="&amp;DATE(Planungsjahr,9,O81))&gt;0,"u",""))),"")</f>
      </c>
      <c r="R82" s="223">
        <f>IF(ISNUMBER(R81),IFERROR(11-1/(1/SUMPRODUCT(MAX((JP_StartSel=DATE(Planungsjahr,9,R81))*Anzeige_S*((JP_Anzeige=TRUE)+NOT(Filter_Aktiv)&gt;0)*(11-JP_Farbe)))),IF(COUNTIF(Feiertage,DATE(Planungsjahr,9,R81))&gt;0,"h","w")),"")</f>
      </c>
      <c r="S82" s="224">
        <f>IF(ISNUMBER(R81),IFERROR(21-1/(1/SUMPRODUCT(MAX((JP_StartInhalt=DATE(Planungsjahr,9,R81))*Anzeige_I*((JP_Anzeige=TRUE)+NOT(Filter_Aktiv)&gt;0)*(11-JP_Farbe)))),IF(COUNTIF(Feiertage,DATE(Planungsjahr,9,R81))&gt;0,"h","w")),"")</f>
      </c>
      <c r="T82" s="225">
        <f>IF(ISNUMBER(R81),IFERROR(31-1/(1/SUMPRODUCT(MAX((JP_PAL=DATE(Planungsjahr,9,R81))*Anzeige_P*((JP_Anzeige=TRUE)+NOT(Filter_Aktiv)&gt;0)*(11-JP_Farbe)))),IF(COUNTIF(Feiertage,DATE(Planungsjahr,9,R81))&gt;0,"h","w")),"")</f>
      </c>
      <c r="U82" s="223">
        <f>IF(ISNUMBER(U81),IFERROR(11-1/(1/SUMPRODUCT(MAX((JP_StartSel=DATE(Planungsjahr,9,U81))*Anzeige_S*((JP_Anzeige=TRUE)+NOT(Filter_Aktiv)&gt;0)*(11-JP_Farbe)))),IF(COUNTIF(Feiertage,DATE(Planungsjahr,9,U81))&gt;0,"h","w")),"")</f>
      </c>
      <c r="V82" s="224">
        <f>IF(ISNUMBER(U81),IFERROR(21-1/(1/SUMPRODUCT(MAX((JP_StartInhalt=DATE(Planungsjahr,9,U81))*Anzeige_I*((JP_Anzeige=TRUE)+NOT(Filter_Aktiv)&gt;0)*(11-JP_Farbe)))),IF(COUNTIF(Feiertage,DATE(Planungsjahr,9,U81))&gt;0,"h","w")),"")</f>
      </c>
      <c r="W82" s="225">
        <f>IF(ISNUMBER(U81),IFERROR(31-1/(1/SUMPRODUCT(MAX((JP_PAL=DATE(Planungsjahr,9,U81))*Anzeige_P*((JP_Anzeige=TRUE)+NOT(Filter_Aktiv)&gt;0)*(11-JP_Farbe)))),IF(COUNTIF(Feiertage,DATE(Planungsjahr,9,U81))&gt;0,"h","w")),"")</f>
      </c>
      <c r="Y82" s="179"/>
      <c r="Z82" s="223">
        <f>IF(ISNUMBER(Z81),IFERROR(11-1/(1/SUMPRODUCT(MAX((JP_StartSel=DATE(Planungsjahr,10,Z81))*Anzeige_S*((JP_Anzeige=TRUE)+NOT(Filter_Aktiv)&gt;0)*(11-JP_Farbe)))),IF(COUNTIF(Feiertage,DATE(Planungsjahr,10,Z81))&gt;0,"h",IF(COUNTIFS(U_Von,"&lt;="&amp;DATE(Planungsjahr,10,Z81),U_Bis,"&gt;="&amp;DATE(Planungsjahr,10,Z81))&gt;0,"u",""))),"")</f>
      </c>
      <c r="AA82" s="224">
        <f>IF(ISNUMBER(Z81),IFERROR(21-1/(1/SUMPRODUCT(MAX((JP_StartInhalt=DATE(Planungsjahr,10,Z81))*Anzeige_I*((JP_Anzeige=TRUE)+NOT(Filter_Aktiv)&gt;0)*(11-JP_Farbe)))),IF(COUNTIF(Feiertage,DATE(Planungsjahr,10,Z81))&gt;0,"h",IF(COUNTIFS(U_Von,"&lt;="&amp;DATE(Planungsjahr,10,Z81),U_Bis,"&gt;="&amp;DATE(Planungsjahr,10,Z81))&gt;0,"u",""))),"")</f>
      </c>
      <c r="AB82" s="225">
        <f>IF(ISNUMBER(Z81),IFERROR(31-1/(1/SUMPRODUCT(MAX((JP_PAL=DATE(Planungsjahr,10,Z81))*Anzeige_P*((JP_Anzeige=TRUE)+NOT(Filter_Aktiv)&gt;0)*(11-JP_Farbe)))),IF(COUNTIF(Feiertage,DATE(Planungsjahr,10,Z81))&gt;0,"h",IF(COUNTIFS(U_Von,"&lt;="&amp;DATE(Planungsjahr,10,Z81),U_Bis,"&gt;="&amp;DATE(Planungsjahr,10,Z81))&gt;0,"u",""))),"")</f>
      </c>
      <c r="AC82" s="223">
        <f>IF(ISNUMBER(AC81),IFERROR(11-1/(1/SUMPRODUCT(MAX((JP_StartSel=DATE(Planungsjahr,10,AC81))*Anzeige_S*((JP_Anzeige=TRUE)+NOT(Filter_Aktiv)&gt;0)*(11-JP_Farbe)))),IF(COUNTIF(Feiertage,DATE(Planungsjahr,10,AC81))&gt;0,"h",IF(COUNTIFS(U_Von,"&lt;="&amp;DATE(Planungsjahr,10,AC81),U_Bis,"&gt;="&amp;DATE(Planungsjahr,10,AC81))&gt;0,"u",""))),"")</f>
      </c>
      <c r="AD82" s="224">
        <f>IF(ISNUMBER(AC81),IFERROR(21-1/(1/SUMPRODUCT(MAX((JP_StartInhalt=DATE(Planungsjahr,10,AC81))*Anzeige_I*((JP_Anzeige=TRUE)+NOT(Filter_Aktiv)&gt;0)*(11-JP_Farbe)))),IF(COUNTIF(Feiertage,DATE(Planungsjahr,10,AC81))&gt;0,"h",IF(COUNTIFS(U_Von,"&lt;="&amp;DATE(Planungsjahr,10,AC81),U_Bis,"&gt;="&amp;DATE(Planungsjahr,10,AC81))&gt;0,"u",""))),"")</f>
      </c>
      <c r="AE82" s="225">
        <f>IF(ISNUMBER(AC81),IFERROR(31-1/(1/SUMPRODUCT(MAX((JP_PAL=DATE(Planungsjahr,10,AC81))*Anzeige_P*((JP_Anzeige=TRUE)+NOT(Filter_Aktiv)&gt;0)*(11-JP_Farbe)))),IF(COUNTIF(Feiertage,DATE(Planungsjahr,10,AC81))&gt;0,"h",IF(COUNTIFS(U_Von,"&lt;="&amp;DATE(Planungsjahr,10,AC81),U_Bis,"&gt;="&amp;DATE(Planungsjahr,10,AC81))&gt;0,"u",""))),"")</f>
      </c>
      <c r="AF82" s="223">
        <f>IF(ISNUMBER(AF81),IFERROR(11-1/(1/SUMPRODUCT(MAX((JP_StartSel=DATE(Planungsjahr,10,AF81))*Anzeige_S*((JP_Anzeige=TRUE)+NOT(Filter_Aktiv)&gt;0)*(11-JP_Farbe)))),IF(COUNTIF(Feiertage,DATE(Planungsjahr,10,AF81))&gt;0,"h",IF(COUNTIFS(U_Von,"&lt;="&amp;DATE(Planungsjahr,10,AF81),U_Bis,"&gt;="&amp;DATE(Planungsjahr,10,AF81))&gt;0,"u",""))),"")</f>
      </c>
      <c r="AG82" s="224">
        <f>IF(ISNUMBER(AF81),IFERROR(21-1/(1/SUMPRODUCT(MAX((JP_StartInhalt=DATE(Planungsjahr,10,AF81))*Anzeige_I*((JP_Anzeige=TRUE)+NOT(Filter_Aktiv)&gt;0)*(11-JP_Farbe)))),IF(COUNTIF(Feiertage,DATE(Planungsjahr,10,AF81))&gt;0,"h",IF(COUNTIFS(U_Von,"&lt;="&amp;DATE(Planungsjahr,10,AF81),U_Bis,"&gt;="&amp;DATE(Planungsjahr,10,AF81))&gt;0,"u",""))),"")</f>
      </c>
      <c r="AH82" s="225">
        <f>IF(ISNUMBER(AF81),IFERROR(31-1/(1/SUMPRODUCT(MAX((JP_PAL=DATE(Planungsjahr,10,AF81))*Anzeige_P*((JP_Anzeige=TRUE)+NOT(Filter_Aktiv)&gt;0)*(11-JP_Farbe)))),IF(COUNTIF(Feiertage,DATE(Planungsjahr,10,AF81))&gt;0,"h",IF(COUNTIFS(U_Von,"&lt;="&amp;DATE(Planungsjahr,10,AF81),U_Bis,"&gt;="&amp;DATE(Planungsjahr,10,AF81))&gt;0,"u",""))),"")</f>
      </c>
      <c r="AI82" s="223">
        <f>IF(ISNUMBER(AI81),IFERROR(11-1/(1/SUMPRODUCT(MAX((JP_StartSel=DATE(Planungsjahr,10,AI81))*Anzeige_S*((JP_Anzeige=TRUE)+NOT(Filter_Aktiv)&gt;0)*(11-JP_Farbe)))),IF(COUNTIF(Feiertage,DATE(Planungsjahr,10,AI81))&gt;0,"h",IF(COUNTIFS(U_Von,"&lt;="&amp;DATE(Planungsjahr,10,AI81),U_Bis,"&gt;="&amp;DATE(Planungsjahr,10,AI81))&gt;0,"u",""))),"")</f>
      </c>
      <c r="AJ82" s="224">
        <f>IF(ISNUMBER(AI81),IFERROR(21-1/(1/SUMPRODUCT(MAX((JP_StartInhalt=DATE(Planungsjahr,10,AI81))*Anzeige_I*((JP_Anzeige=TRUE)+NOT(Filter_Aktiv)&gt;0)*(11-JP_Farbe)))),IF(COUNTIF(Feiertage,DATE(Planungsjahr,10,AI81))&gt;0,"h",IF(COUNTIFS(U_Von,"&lt;="&amp;DATE(Planungsjahr,10,AI81),U_Bis,"&gt;="&amp;DATE(Planungsjahr,10,AI81))&gt;0,"u",""))),"")</f>
      </c>
      <c r="AK82" s="225">
        <f>IF(ISNUMBER(AI81),IFERROR(31-1/(1/SUMPRODUCT(MAX((JP_PAL=DATE(Planungsjahr,10,AI81))*Anzeige_P*((JP_Anzeige=TRUE)+NOT(Filter_Aktiv)&gt;0)*(11-JP_Farbe)))),IF(COUNTIF(Feiertage,DATE(Planungsjahr,10,AI81))&gt;0,"h",IF(COUNTIFS(U_Von,"&lt;="&amp;DATE(Planungsjahr,10,AI81),U_Bis,"&gt;="&amp;DATE(Planungsjahr,10,AI81))&gt;0,"u",""))),"")</f>
      </c>
      <c r="AL82" s="223">
        <f>IF(ISNUMBER(AL81),IFERROR(11-1/(1/SUMPRODUCT(MAX((JP_StartSel=DATE(Planungsjahr,10,AL81))*Anzeige_S*((JP_Anzeige=TRUE)+NOT(Filter_Aktiv)&gt;0)*(11-JP_Farbe)))),IF(COUNTIF(Feiertage,DATE(Planungsjahr,10,AL81))&gt;0,"h",IF(COUNTIFS(U_Von,"&lt;="&amp;DATE(Planungsjahr,10,AL81),U_Bis,"&gt;="&amp;DATE(Planungsjahr,10,AL81))&gt;0,"u",""))),"")</f>
      </c>
      <c r="AM82" s="224">
        <f>IF(ISNUMBER(AL81),IFERROR(21-1/(1/SUMPRODUCT(MAX((JP_StartInhalt=DATE(Planungsjahr,10,AL81))*Anzeige_I*((JP_Anzeige=TRUE)+NOT(Filter_Aktiv)&gt;0)*(11-JP_Farbe)))),IF(COUNTIF(Feiertage,DATE(Planungsjahr,10,AL81))&gt;0,"h",IF(COUNTIFS(U_Von,"&lt;="&amp;DATE(Planungsjahr,10,AL81),U_Bis,"&gt;="&amp;DATE(Planungsjahr,10,AL81))&gt;0,"u",""))),"")</f>
      </c>
      <c r="AN82" s="225">
        <f>IF(ISNUMBER(AL81),IFERROR(31-1/(1/SUMPRODUCT(MAX((JP_PAL=DATE(Planungsjahr,10,AL81))*Anzeige_P*((JP_Anzeige=TRUE)+NOT(Filter_Aktiv)&gt;0)*(11-JP_Farbe)))),IF(COUNTIF(Feiertage,DATE(Planungsjahr,10,AL81))&gt;0,"h",IF(COUNTIFS(U_Von,"&lt;="&amp;DATE(Planungsjahr,10,AL81),U_Bis,"&gt;="&amp;DATE(Planungsjahr,10,AL81))&gt;0,"u",""))),"")</f>
      </c>
      <c r="AO82" s="223">
        <f>IF(ISNUMBER(AO81),IFERROR(11-1/(1/SUMPRODUCT(MAX((JP_StartSel=DATE(Planungsjahr,10,AO81))*Anzeige_S*((JP_Anzeige=TRUE)+NOT(Filter_Aktiv)&gt;0)*(11-JP_Farbe)))),IF(COUNTIF(Feiertage,DATE(Planungsjahr,10,AO81))&gt;0,"h","w")),"")</f>
      </c>
      <c r="AP82" s="224">
        <f>IF(ISNUMBER(AO81),IFERROR(21-1/(1/SUMPRODUCT(MAX((JP_StartInhalt=DATE(Planungsjahr,10,AO81))*Anzeige_I*((JP_Anzeige=TRUE)+NOT(Filter_Aktiv)&gt;0)*(11-JP_Farbe)))),IF(COUNTIF(Feiertage,DATE(Planungsjahr,10,AO81))&gt;0,"h","w")),"")</f>
      </c>
      <c r="AQ82" s="225">
        <f>IF(ISNUMBER(AO81),IFERROR(31-1/(1/SUMPRODUCT(MAX((JP_PAL=DATE(Planungsjahr,10,AO81))*Anzeige_P*((JP_Anzeige=TRUE)+NOT(Filter_Aktiv)&gt;0)*(11-JP_Farbe)))),IF(COUNTIF(Feiertage,DATE(Planungsjahr,10,AO81))&gt;0,"h","w")),"")</f>
      </c>
      <c r="AR82" s="223">
        <f>IF(ISNUMBER(AR81),IFERROR(11-1/(1/SUMPRODUCT(MAX((JP_StartSel=DATE(Planungsjahr,10,AR81))*Anzeige_S*((JP_Anzeige=TRUE)+NOT(Filter_Aktiv)&gt;0)*(11-JP_Farbe)))),IF(COUNTIF(Feiertage,DATE(Planungsjahr,10,AR81))&gt;0,"h","w")),"")</f>
      </c>
      <c r="AS82" s="224">
        <f>IF(ISNUMBER(AR81),IFERROR(21-1/(1/SUMPRODUCT(MAX((JP_StartInhalt=DATE(Planungsjahr,10,AR81))*Anzeige_I*((JP_Anzeige=TRUE)+NOT(Filter_Aktiv)&gt;0)*(11-JP_Farbe)))),IF(COUNTIF(Feiertage,DATE(Planungsjahr,10,AR81))&gt;0,"h","w")),"")</f>
      </c>
      <c r="AT82" s="225">
        <f>IF(ISNUMBER(AR81),IFERROR(31-1/(1/SUMPRODUCT(MAX((JP_PAL=DATE(Planungsjahr,10,AR81))*Anzeige_P*((JP_Anzeige=TRUE)+NOT(Filter_Aktiv)&gt;0)*(11-JP_Farbe)))),IF(COUNTIF(Feiertage,DATE(Planungsjahr,10,AR81))&gt;0,"h","w")),"")</f>
      </c>
      <c r="AV82" s="179"/>
      <c r="AW82" s="223">
        <f>IF(ISNUMBER(AW81),IFERROR(11-1/(1/SUMPRODUCT(MAX((JP_StartSel=DATE(Planungsjahr,11,AW81))*Anzeige_S*((JP_Anzeige=TRUE)+NOT(Filter_Aktiv)&gt;0)*(11-JP_Farbe)))),IF(COUNTIF(Feiertage,DATE(Planungsjahr,11,AW81))&gt;0,"h",IF(COUNTIFS(U_Von,"&lt;="&amp;DATE(Planungsjahr,11,AW81),U_Bis,"&gt;="&amp;DATE(Planungsjahr,11,AW81))&gt;0,"u",""))),"")</f>
      </c>
      <c r="AX82" s="224">
        <f>IF(ISNUMBER(AW81),IFERROR(21-1/(1/SUMPRODUCT(MAX((JP_StartInhalt=DATE(Planungsjahr,11,AW81))*Anzeige_I*((JP_Anzeige=TRUE)+NOT(Filter_Aktiv)&gt;0)*(11-JP_Farbe)))),IF(COUNTIF(Feiertage,DATE(Planungsjahr,11,AW81))&gt;0,"h",IF(COUNTIFS(U_Von,"&lt;="&amp;DATE(Planungsjahr,11,AW81),U_Bis,"&gt;="&amp;DATE(Planungsjahr,11,AW81))&gt;0,"u",""))),"")</f>
      </c>
      <c r="AY82" s="225">
        <f>IF(ISNUMBER(AW81),IFERROR(31-1/(1/SUMPRODUCT(MAX((JP_PAL=DATE(Planungsjahr,11,AW81))*Anzeige_P*((JP_Anzeige=TRUE)+NOT(Filter_Aktiv)&gt;0)*(11-JP_Farbe)))),IF(COUNTIF(Feiertage,DATE(Planungsjahr,11,AW81))&gt;0,"h",IF(COUNTIFS(U_Von,"&lt;="&amp;DATE(Planungsjahr,11,AW81),U_Bis,"&gt;="&amp;DATE(Planungsjahr,11,AW81))&gt;0,"u",""))),"")</f>
      </c>
      <c r="AZ82" s="223">
        <f>IF(ISNUMBER(AZ81),IFERROR(11-1/(1/SUMPRODUCT(MAX((JP_StartSel=DATE(Planungsjahr,11,AZ81))*Anzeige_S*((JP_Anzeige=TRUE)+NOT(Filter_Aktiv)&gt;0)*(11-JP_Farbe)))),IF(COUNTIF(Feiertage,DATE(Planungsjahr,11,AZ81))&gt;0,"h",IF(COUNTIFS(U_Von,"&lt;="&amp;DATE(Planungsjahr,11,AZ81),U_Bis,"&gt;="&amp;DATE(Planungsjahr,11,AZ81))&gt;0,"u",""))),"")</f>
      </c>
      <c r="BA82" s="224">
        <f>IF(ISNUMBER(AZ81),IFERROR(21-1/(1/SUMPRODUCT(MAX((JP_StartInhalt=DATE(Planungsjahr,11,AZ81))*Anzeige_I*((JP_Anzeige=TRUE)+NOT(Filter_Aktiv)&gt;0)*(11-JP_Farbe)))),IF(COUNTIF(Feiertage,DATE(Planungsjahr,11,AZ81))&gt;0,"h",IF(COUNTIFS(U_Von,"&lt;="&amp;DATE(Planungsjahr,11,AZ81),U_Bis,"&gt;="&amp;DATE(Planungsjahr,11,AZ81))&gt;0,"u",""))),"")</f>
      </c>
      <c r="BB82" s="225">
        <f>IF(ISNUMBER(AZ81),IFERROR(31-1/(1/SUMPRODUCT(MAX((JP_PAL=DATE(Planungsjahr,11,AZ81))*Anzeige_P*((JP_Anzeige=TRUE)+NOT(Filter_Aktiv)&gt;0)*(11-JP_Farbe)))),IF(COUNTIF(Feiertage,DATE(Planungsjahr,11,AZ81))&gt;0,"h",IF(COUNTIFS(U_Von,"&lt;="&amp;DATE(Planungsjahr,11,AZ81),U_Bis,"&gt;="&amp;DATE(Planungsjahr,11,AZ81))&gt;0,"u",""))),"")</f>
      </c>
      <c r="BC82" s="223">
        <f>IF(ISNUMBER(BC81),IFERROR(11-1/(1/SUMPRODUCT(MAX((JP_StartSel=DATE(Planungsjahr,11,BC81))*Anzeige_S*((JP_Anzeige=TRUE)+NOT(Filter_Aktiv)&gt;0)*(11-JP_Farbe)))),IF(COUNTIF(Feiertage,DATE(Planungsjahr,11,BC81))&gt;0,"h",IF(COUNTIFS(U_Von,"&lt;="&amp;DATE(Planungsjahr,11,BC81),U_Bis,"&gt;="&amp;DATE(Planungsjahr,11,BC81))&gt;0,"u",""))),"")</f>
      </c>
      <c r="BD82" s="224">
        <f>IF(ISNUMBER(BC81),IFERROR(21-1/(1/SUMPRODUCT(MAX((JP_StartInhalt=DATE(Planungsjahr,11,BC81))*Anzeige_I*((JP_Anzeige=TRUE)+NOT(Filter_Aktiv)&gt;0)*(11-JP_Farbe)))),IF(COUNTIF(Feiertage,DATE(Planungsjahr,11,BC81))&gt;0,"h",IF(COUNTIFS(U_Von,"&lt;="&amp;DATE(Planungsjahr,11,BC81),U_Bis,"&gt;="&amp;DATE(Planungsjahr,11,BC81))&gt;0,"u",""))),"")</f>
      </c>
      <c r="BE82" s="225">
        <f>IF(ISNUMBER(BC81),IFERROR(31-1/(1/SUMPRODUCT(MAX((JP_PAL=DATE(Planungsjahr,11,BC81))*Anzeige_P*((JP_Anzeige=TRUE)+NOT(Filter_Aktiv)&gt;0)*(11-JP_Farbe)))),IF(COUNTIF(Feiertage,DATE(Planungsjahr,11,BC81))&gt;0,"h",IF(COUNTIFS(U_Von,"&lt;="&amp;DATE(Planungsjahr,11,BC81),U_Bis,"&gt;="&amp;DATE(Planungsjahr,11,BC81))&gt;0,"u",""))),"")</f>
      </c>
      <c r="BF82" s="223">
        <f>IF(ISNUMBER(BF81),IFERROR(11-1/(1/SUMPRODUCT(MAX((JP_StartSel=DATE(Planungsjahr,11,BF81))*Anzeige_S*((JP_Anzeige=TRUE)+NOT(Filter_Aktiv)&gt;0)*(11-JP_Farbe)))),IF(COUNTIF(Feiertage,DATE(Planungsjahr,11,BF81))&gt;0,"h",IF(COUNTIFS(U_Von,"&lt;="&amp;DATE(Planungsjahr,11,BF81),U_Bis,"&gt;="&amp;DATE(Planungsjahr,11,BF81))&gt;0,"u",""))),"")</f>
      </c>
      <c r="BG82" s="224">
        <f>IF(ISNUMBER(BF81),IFERROR(21-1/(1/SUMPRODUCT(MAX((JP_StartInhalt=DATE(Planungsjahr,11,BF81))*Anzeige_I*((JP_Anzeige=TRUE)+NOT(Filter_Aktiv)&gt;0)*(11-JP_Farbe)))),IF(COUNTIF(Feiertage,DATE(Planungsjahr,11,BF81))&gt;0,"h",IF(COUNTIFS(U_Von,"&lt;="&amp;DATE(Planungsjahr,11,BF81),U_Bis,"&gt;="&amp;DATE(Planungsjahr,11,BF81))&gt;0,"u",""))),"")</f>
      </c>
      <c r="BH82" s="225">
        <f>IF(ISNUMBER(BF81),IFERROR(31-1/(1/SUMPRODUCT(MAX((JP_PAL=DATE(Planungsjahr,11,BF81))*Anzeige_P*((JP_Anzeige=TRUE)+NOT(Filter_Aktiv)&gt;0)*(11-JP_Farbe)))),IF(COUNTIF(Feiertage,DATE(Planungsjahr,11,BF81))&gt;0,"h",IF(COUNTIFS(U_Von,"&lt;="&amp;DATE(Planungsjahr,11,BF81),U_Bis,"&gt;="&amp;DATE(Planungsjahr,11,BF81))&gt;0,"u",""))),"")</f>
      </c>
      <c r="BI82" s="223">
        <f>IF(ISNUMBER(BI81),IFERROR(11-1/(1/SUMPRODUCT(MAX((JP_StartSel=DATE(Planungsjahr,11,BI81))*Anzeige_S*((JP_Anzeige=TRUE)+NOT(Filter_Aktiv)&gt;0)*(11-JP_Farbe)))),IF(COUNTIF(Feiertage,DATE(Planungsjahr,11,BI81))&gt;0,"h",IF(COUNTIFS(U_Von,"&lt;="&amp;DATE(Planungsjahr,11,BI81),U_Bis,"&gt;="&amp;DATE(Planungsjahr,11,BI81))&gt;0,"u",""))),"")</f>
      </c>
      <c r="BJ82" s="224">
        <f>IF(ISNUMBER(BI81),IFERROR(21-1/(1/SUMPRODUCT(MAX((JP_StartInhalt=DATE(Planungsjahr,11,BI81))*Anzeige_I*((JP_Anzeige=TRUE)+NOT(Filter_Aktiv)&gt;0)*(11-JP_Farbe)))),IF(COUNTIF(Feiertage,DATE(Planungsjahr,11,BI81))&gt;0,"h",IF(COUNTIFS(U_Von,"&lt;="&amp;DATE(Planungsjahr,11,BI81),U_Bis,"&gt;="&amp;DATE(Planungsjahr,11,BI81))&gt;0,"u",""))),"")</f>
      </c>
      <c r="BK82" s="225">
        <f>IF(ISNUMBER(BI81),IFERROR(31-1/(1/SUMPRODUCT(MAX((JP_PAL=DATE(Planungsjahr,11,BI81))*Anzeige_P*((JP_Anzeige=TRUE)+NOT(Filter_Aktiv)&gt;0)*(11-JP_Farbe)))),IF(COUNTIF(Feiertage,DATE(Planungsjahr,11,BI81))&gt;0,"h",IF(COUNTIFS(U_Von,"&lt;="&amp;DATE(Planungsjahr,11,BI81),U_Bis,"&gt;="&amp;DATE(Planungsjahr,11,BI81))&gt;0,"u",""))),"")</f>
      </c>
      <c r="BL82" s="223">
        <f>IF(ISNUMBER(BL81),IFERROR(11-1/(1/SUMPRODUCT(MAX((JP_StartSel=DATE(Planungsjahr,11,BL81))*Anzeige_S*((JP_Anzeige=TRUE)+NOT(Filter_Aktiv)&gt;0)*(11-JP_Farbe)))),IF(COUNTIF(Feiertage,DATE(Planungsjahr,11,BL81))&gt;0,"h","w")),"")</f>
      </c>
      <c r="BM82" s="224">
        <f>IF(ISNUMBER(BL81),IFERROR(21-1/(1/SUMPRODUCT(MAX((JP_StartInhalt=DATE(Planungsjahr,11,BL81))*Anzeige_I*((JP_Anzeige=TRUE)+NOT(Filter_Aktiv)&gt;0)*(11-JP_Farbe)))),IF(COUNTIF(Feiertage,DATE(Planungsjahr,11,BL81))&gt;0,"h","w")),"")</f>
      </c>
      <c r="BN82" s="225">
        <f>IF(ISNUMBER(BL81),IFERROR(31-1/(1/SUMPRODUCT(MAX((JP_PAL=DATE(Planungsjahr,11,BL81))*Anzeige_P*((JP_Anzeige=TRUE)+NOT(Filter_Aktiv)&gt;0)*(11-JP_Farbe)))),IF(COUNTIF(Feiertage,DATE(Planungsjahr,11,BL81))&gt;0,"h","w")),"")</f>
      </c>
      <c r="BO82" s="223">
        <f>IF(ISNUMBER(BO81),IFERROR(11-1/(1/SUMPRODUCT(MAX((JP_StartSel=DATE(Planungsjahr,11,BO81))*Anzeige_S*((JP_Anzeige=TRUE)+NOT(Filter_Aktiv)&gt;0)*(11-JP_Farbe)))),IF(COUNTIF(Feiertage,DATE(Planungsjahr,11,BO81))&gt;0,"h","w")),"")</f>
      </c>
      <c r="BP82" s="224">
        <f>IF(ISNUMBER(BO81),IFERROR(21-1/(1/SUMPRODUCT(MAX((JP_StartInhalt=DATE(Planungsjahr,11,BO81))*Anzeige_I*((JP_Anzeige=TRUE)+NOT(Filter_Aktiv)&gt;0)*(11-JP_Farbe)))),IF(COUNTIF(Feiertage,DATE(Planungsjahr,11,BO81))&gt;0,"h","w")),"")</f>
      </c>
      <c r="BQ82" s="225">
        <f>IF(ISNUMBER(BO81),IFERROR(31-1/(1/SUMPRODUCT(MAX((JP_PAL=DATE(Planungsjahr,11,BO81))*Anzeige_P*((JP_Anzeige=TRUE)+NOT(Filter_Aktiv)&gt;0)*(11-JP_Farbe)))),IF(COUNTIF(Feiertage,DATE(Planungsjahr,11,BO81))&gt;0,"h","w")),"")</f>
      </c>
      <c r="BS82" s="179"/>
      <c r="BT82" s="223">
        <f>IF(ISNUMBER(BT81),IFERROR(11-1/(1/SUMPRODUCT(MAX((JP_StartSel=DATE(Planungsjahr,12,BT81))*Anzeige_S*((JP_Anzeige=TRUE)+NOT(Filter_Aktiv)&gt;0)*(11-JP_Farbe)))),IF(COUNTIF(Feiertage,DATE(Planungsjahr,12,BT81))&gt;0,"h",IF(COUNTIFS(U_Von,"&lt;="&amp;DATE(Planungsjahr,12,BT81),U_Bis,"&gt;="&amp;DATE(Planungsjahr,12,BT81))&gt;0,"u",""))),"")</f>
      </c>
      <c r="BU82" s="224">
        <f>IF(ISNUMBER(BT81),IFERROR(21-1/(1/SUMPRODUCT(MAX((JP_StartInhalt=DATE(Planungsjahr,12,BT81))*Anzeige_I*((JP_Anzeige=TRUE)+NOT(Filter_Aktiv)&gt;0)*(11-JP_Farbe)))),IF(COUNTIF(Feiertage,DATE(Planungsjahr,12,BT81))&gt;0,"h",IF(COUNTIFS(U_Von,"&lt;="&amp;DATE(Planungsjahr,12,BT81),U_Bis,"&gt;="&amp;DATE(Planungsjahr,12,BT81))&gt;0,"u",""))),"")</f>
      </c>
      <c r="BV82" s="225">
        <f>IF(ISNUMBER(BT81),IFERROR(31-1/(1/SUMPRODUCT(MAX((JP_PAL=DATE(Planungsjahr,12,BT81))*Anzeige_P*((JP_Anzeige=TRUE)+NOT(Filter_Aktiv)&gt;0)*(11-JP_Farbe)))),IF(COUNTIF(Feiertage,DATE(Planungsjahr,12,BT81))&gt;0,"h",IF(COUNTIFS(U_Von,"&lt;="&amp;DATE(Planungsjahr,12,BT81),U_Bis,"&gt;="&amp;DATE(Planungsjahr,12,BT81))&gt;0,"u",""))),"")</f>
      </c>
      <c r="BW82" s="223">
        <f>IF(ISNUMBER(BW81),IFERROR(11-1/(1/SUMPRODUCT(MAX((JP_StartSel=DATE(Planungsjahr,12,BW81))*Anzeige_S*((JP_Anzeige=TRUE)+NOT(Filter_Aktiv)&gt;0)*(11-JP_Farbe)))),IF(COUNTIF(Feiertage,DATE(Planungsjahr,12,BW81))&gt;0,"h",IF(COUNTIFS(U_Von,"&lt;="&amp;DATE(Planungsjahr,12,BW81),U_Bis,"&gt;="&amp;DATE(Planungsjahr,12,BW81))&gt;0,"u",""))),"")</f>
      </c>
      <c r="BX82" s="224">
        <f>IF(ISNUMBER(BW81),IFERROR(21-1/(1/SUMPRODUCT(MAX((JP_StartInhalt=DATE(Planungsjahr,12,BW81))*Anzeige_I*((JP_Anzeige=TRUE)+NOT(Filter_Aktiv)&gt;0)*(11-JP_Farbe)))),IF(COUNTIF(Feiertage,DATE(Planungsjahr,12,BW81))&gt;0,"h",IF(COUNTIFS(U_Von,"&lt;="&amp;DATE(Planungsjahr,12,BW81),U_Bis,"&gt;="&amp;DATE(Planungsjahr,12,BW81))&gt;0,"u",""))),"")</f>
      </c>
      <c r="BY82" s="225">
        <f>IF(ISNUMBER(BW81),IFERROR(31-1/(1/SUMPRODUCT(MAX((JP_PAL=DATE(Planungsjahr,12,BW81))*Anzeige_P*((JP_Anzeige=TRUE)+NOT(Filter_Aktiv)&gt;0)*(11-JP_Farbe)))),IF(COUNTIF(Feiertage,DATE(Planungsjahr,12,BW81))&gt;0,"h",IF(COUNTIFS(U_Von,"&lt;="&amp;DATE(Planungsjahr,12,BW81),U_Bis,"&gt;="&amp;DATE(Planungsjahr,12,BW81))&gt;0,"u",""))),"")</f>
      </c>
      <c r="BZ82" s="223">
        <f>IF(ISNUMBER(BZ81),IFERROR(11-1/(1/SUMPRODUCT(MAX((JP_StartSel=DATE(Planungsjahr,12,BZ81))*Anzeige_S*((JP_Anzeige=TRUE)+NOT(Filter_Aktiv)&gt;0)*(11-JP_Farbe)))),IF(COUNTIF(Feiertage,DATE(Planungsjahr,12,BZ81))&gt;0,"h",IF(COUNTIFS(U_Von,"&lt;="&amp;DATE(Planungsjahr,12,BZ81),U_Bis,"&gt;="&amp;DATE(Planungsjahr,12,BZ81))&gt;0,"u",""))),"")</f>
      </c>
      <c r="CA82" s="224">
        <f>IF(ISNUMBER(BZ81),IFERROR(21-1/(1/SUMPRODUCT(MAX((JP_StartInhalt=DATE(Planungsjahr,12,BZ81))*Anzeige_I*((JP_Anzeige=TRUE)+NOT(Filter_Aktiv)&gt;0)*(11-JP_Farbe)))),IF(COUNTIF(Feiertage,DATE(Planungsjahr,12,BZ81))&gt;0,"h",IF(COUNTIFS(U_Von,"&lt;="&amp;DATE(Planungsjahr,12,BZ81),U_Bis,"&gt;="&amp;DATE(Planungsjahr,12,BZ81))&gt;0,"u",""))),"")</f>
      </c>
      <c r="CB82" s="225">
        <f>IF(ISNUMBER(BZ81),IFERROR(31-1/(1/SUMPRODUCT(MAX((JP_PAL=DATE(Planungsjahr,12,BZ81))*Anzeige_P*((JP_Anzeige=TRUE)+NOT(Filter_Aktiv)&gt;0)*(11-JP_Farbe)))),IF(COUNTIF(Feiertage,DATE(Planungsjahr,12,BZ81))&gt;0,"h",IF(COUNTIFS(U_Von,"&lt;="&amp;DATE(Planungsjahr,12,BZ81),U_Bis,"&gt;="&amp;DATE(Planungsjahr,12,BZ81))&gt;0,"u",""))),"")</f>
      </c>
      <c r="CC82" s="223">
        <f>IF(ISNUMBER(CC81),IFERROR(11-1/(1/SUMPRODUCT(MAX((JP_StartSel=DATE(Planungsjahr,12,CC81))*Anzeige_S*((JP_Anzeige=TRUE)+NOT(Filter_Aktiv)&gt;0)*(11-JP_Farbe)))),IF(COUNTIF(Feiertage,DATE(Planungsjahr,12,CC81))&gt;0,"h",IF(COUNTIFS(U_Von,"&lt;="&amp;DATE(Planungsjahr,12,CC81),U_Bis,"&gt;="&amp;DATE(Planungsjahr,12,CC81))&gt;0,"u",""))),"")</f>
      </c>
      <c r="CD82" s="224">
        <f>IF(ISNUMBER(CC81),IFERROR(21-1/(1/SUMPRODUCT(MAX((JP_StartInhalt=DATE(Planungsjahr,12,CC81))*Anzeige_I*((JP_Anzeige=TRUE)+NOT(Filter_Aktiv)&gt;0)*(11-JP_Farbe)))),IF(COUNTIF(Feiertage,DATE(Planungsjahr,12,CC81))&gt;0,"h",IF(COUNTIFS(U_Von,"&lt;="&amp;DATE(Planungsjahr,12,CC81),U_Bis,"&gt;="&amp;DATE(Planungsjahr,12,CC81))&gt;0,"u",""))),"")</f>
      </c>
      <c r="CE82" s="225">
        <f>IF(ISNUMBER(CC81),IFERROR(31-1/(1/SUMPRODUCT(MAX((JP_PAL=DATE(Planungsjahr,12,CC81))*Anzeige_P*((JP_Anzeige=TRUE)+NOT(Filter_Aktiv)&gt;0)*(11-JP_Farbe)))),IF(COUNTIF(Feiertage,DATE(Planungsjahr,12,CC81))&gt;0,"h",IF(COUNTIFS(U_Von,"&lt;="&amp;DATE(Planungsjahr,12,CC81),U_Bis,"&gt;="&amp;DATE(Planungsjahr,12,CC81))&gt;0,"u",""))),"")</f>
      </c>
      <c r="CF82" s="223">
        <f>IF(ISNUMBER(CF81),IFERROR(11-1/(1/SUMPRODUCT(MAX((JP_StartSel=DATE(Planungsjahr,12,CF81))*Anzeige_S*((JP_Anzeige=TRUE)+NOT(Filter_Aktiv)&gt;0)*(11-JP_Farbe)))),IF(COUNTIF(Feiertage,DATE(Planungsjahr,12,CF81))&gt;0,"h",IF(COUNTIFS(U_Von,"&lt;="&amp;DATE(Planungsjahr,12,CF81),U_Bis,"&gt;="&amp;DATE(Planungsjahr,12,CF81))&gt;0,"u",""))),"")</f>
      </c>
      <c r="CG82" s="224">
        <f>IF(ISNUMBER(CF81),IFERROR(21-1/(1/SUMPRODUCT(MAX((JP_StartInhalt=DATE(Planungsjahr,12,CF81))*Anzeige_I*((JP_Anzeige=TRUE)+NOT(Filter_Aktiv)&gt;0)*(11-JP_Farbe)))),IF(COUNTIF(Feiertage,DATE(Planungsjahr,12,CF81))&gt;0,"h",IF(COUNTIFS(U_Von,"&lt;="&amp;DATE(Planungsjahr,12,CF81),U_Bis,"&gt;="&amp;DATE(Planungsjahr,12,CF81))&gt;0,"u",""))),"")</f>
      </c>
      <c r="CH82" s="225">
        <f>IF(ISNUMBER(CF81),IFERROR(31-1/(1/SUMPRODUCT(MAX((JP_PAL=DATE(Planungsjahr,12,CF81))*Anzeige_P*((JP_Anzeige=TRUE)+NOT(Filter_Aktiv)&gt;0)*(11-JP_Farbe)))),IF(COUNTIF(Feiertage,DATE(Planungsjahr,12,CF81))&gt;0,"h",IF(COUNTIFS(U_Von,"&lt;="&amp;DATE(Planungsjahr,12,CF81),U_Bis,"&gt;="&amp;DATE(Planungsjahr,12,CF81))&gt;0,"u",""))),"")</f>
      </c>
      <c r="CI82" s="223">
        <f>IF(ISNUMBER(CI81),IFERROR(11-1/(1/SUMPRODUCT(MAX((JP_StartSel=DATE(Planungsjahr,12,CI81))*Anzeige_S*((JP_Anzeige=TRUE)+NOT(Filter_Aktiv)&gt;0)*(11-JP_Farbe)))),IF(COUNTIF(Feiertage,DATE(Planungsjahr,12,CI81))&gt;0,"h","w")),"")</f>
      </c>
      <c r="CJ82" s="224">
        <f>IF(ISNUMBER(CI81),IFERROR(21-1/(1/SUMPRODUCT(MAX((JP_StartInhalt=DATE(Planungsjahr,12,CI81))*Anzeige_I*((JP_Anzeige=TRUE)+NOT(Filter_Aktiv)&gt;0)*(11-JP_Farbe)))),IF(COUNTIF(Feiertage,DATE(Planungsjahr,12,CI81))&gt;0,"h","w")),"")</f>
      </c>
      <c r="CK82" s="225">
        <f>IF(ISNUMBER(CI81),IFERROR(31-1/(1/SUMPRODUCT(MAX((JP_PAL=DATE(Planungsjahr,12,CI81))*Anzeige_P*((JP_Anzeige=TRUE)+NOT(Filter_Aktiv)&gt;0)*(11-JP_Farbe)))),IF(COUNTIF(Feiertage,DATE(Planungsjahr,12,CI81))&gt;0,"h","w")),"")</f>
      </c>
      <c r="CL82" s="223">
        <f>IF(ISNUMBER(CL81),IFERROR(11-1/(1/SUMPRODUCT(MAX((JP_StartSel=DATE(Planungsjahr,12,CL81))*Anzeige_S*((JP_Anzeige=TRUE)+NOT(Filter_Aktiv)&gt;0)*(11-JP_Farbe)))),IF(COUNTIF(Feiertage,DATE(Planungsjahr,12,CL81))&gt;0,"h","w")),"")</f>
      </c>
      <c r="CM82" s="224">
        <f>IF(ISNUMBER(CL81),IFERROR(21-1/(1/SUMPRODUCT(MAX((JP_StartInhalt=DATE(Planungsjahr,12,CL81))*Anzeige_I*((JP_Anzeige=TRUE)+NOT(Filter_Aktiv)&gt;0)*(11-JP_Farbe)))),IF(COUNTIF(Feiertage,DATE(Planungsjahr,12,CL81))&gt;0,"h","w")),"")</f>
      </c>
      <c r="CN82" s="225">
        <f>IF(ISNUMBER(CL81),IFERROR(31-1/(1/SUMPRODUCT(MAX((JP_PAL=DATE(Planungsjahr,12,CL81))*Anzeige_P*((JP_Anzeige=TRUE)+NOT(Filter_Aktiv)&gt;0)*(11-JP_Farbe)))),IF(COUNTIF(Feiertage,DATE(Planungsjahr,12,CL81))&gt;0,"h","w")),"")</f>
      </c>
    </row>
    <row r="83" spans="2:92" ht="15.95" customHeight="1" x14ac:dyDescent="0.25">
      <c r="B83" s="177">
        <f>IF(OR(ISNUMBER(C83),ISNUMBER(U83)),_xlfn.ISOWEEKNUM(DATE(Planungsjahr,9,1)-WEEKDAY(DATE(Planungsjahr,9,1),2)+8),"")</f>
        <v>36</v>
      </c>
      <c r="C83" s="188">
        <f>IF(MONTH(DATE(Planungsjahr,9,1)-WEEKDAY(DATE(Planungsjahr,9,1),2)+8)=9,DAY(DATE(Planungsjahr,9,1)-WEEKDAY(DATE(Planungsjahr,9,1),2)+8),"")</f>
        <v>6</v>
      </c>
      <c r="D83" s="188"/>
      <c r="E83" s="188"/>
      <c r="F83" s="188">
        <f>IF(MONTH(DATE(Planungsjahr,9,1)-WEEKDAY(DATE(Planungsjahr,9,1),2)+9)=9,DAY(DATE(Planungsjahr,9,1)-WEEKDAY(DATE(Planungsjahr,9,1),2)+9),"")</f>
        <v>7</v>
      </c>
      <c r="G83" s="188"/>
      <c r="H83" s="188"/>
      <c r="I83" s="188">
        <f>IF(MONTH(DATE(Planungsjahr,9,1)-WEEKDAY(DATE(Planungsjahr,9,1),2)+10)=9,DAY(DATE(Planungsjahr,9,1)-WEEKDAY(DATE(Planungsjahr,9,1),2)+10),"")</f>
        <v>8</v>
      </c>
      <c r="J83" s="188"/>
      <c r="K83" s="188"/>
      <c r="L83" s="188">
        <f>IF(MONTH(DATE(Planungsjahr,9,1)-WEEKDAY(DATE(Planungsjahr,9,1),2)+11)=9,DAY(DATE(Planungsjahr,9,1)-WEEKDAY(DATE(Planungsjahr,9,1),2)+11),"")</f>
        <v>9</v>
      </c>
      <c r="M83" s="188"/>
      <c r="N83" s="188"/>
      <c r="O83" s="188">
        <f>IF(MONTH(DATE(Planungsjahr,9,1)-WEEKDAY(DATE(Planungsjahr,9,1),2)+12)=9,DAY(DATE(Planungsjahr,9,1)-WEEKDAY(DATE(Planungsjahr,9,1),2)+12),"")</f>
        <v>10</v>
      </c>
      <c r="P83" s="188"/>
      <c r="Q83" s="188"/>
      <c r="R83" s="188">
        <f>IF(MONTH(DATE(Planungsjahr,9,1)-WEEKDAY(DATE(Planungsjahr,9,1),2)+13)=9,DAY(DATE(Planungsjahr,9,1)-WEEKDAY(DATE(Planungsjahr,9,1),2)+13),"")</f>
        <v>11</v>
      </c>
      <c r="S83" s="188"/>
      <c r="T83" s="188"/>
      <c r="U83" s="188">
        <f>IF(MONTH(DATE(Planungsjahr,9,1)-WEEKDAY(DATE(Planungsjahr,9,1),2)+14)=9,DAY(DATE(Planungsjahr,9,1)-WEEKDAY(DATE(Planungsjahr,9,1),2)+14),"")</f>
        <v>12</v>
      </c>
      <c r="V83" s="188"/>
      <c r="W83" s="190"/>
      <c r="Y83" s="177">
        <f>IF(OR(ISNUMBER(Z83),ISNUMBER(AR83)),_xlfn.ISOWEEKNUM(DATE(Planungsjahr,10,1)-WEEKDAY(DATE(Planungsjahr,10,1),2)+8),"")</f>
        <v>40</v>
      </c>
      <c r="Z83" s="188">
        <f>IF(MONTH(DATE(Planungsjahr,10,1)-WEEKDAY(DATE(Planungsjahr,10,1),2)+8)=10,DAY(DATE(Planungsjahr,10,1)-WEEKDAY(DATE(Planungsjahr,10,1),2)+8),"")</f>
        <v>4</v>
      </c>
      <c r="AA83" s="188"/>
      <c r="AB83" s="188"/>
      <c r="AC83" s="188">
        <f>IF(MONTH(DATE(Planungsjahr,10,1)-WEEKDAY(DATE(Planungsjahr,10,1),2)+9)=10,DAY(DATE(Planungsjahr,10,1)-WEEKDAY(DATE(Planungsjahr,10,1),2)+9),"")</f>
        <v>5</v>
      </c>
      <c r="AD83" s="188"/>
      <c r="AE83" s="188"/>
      <c r="AF83" s="188">
        <f>IF(MONTH(DATE(Planungsjahr,10,1)-WEEKDAY(DATE(Planungsjahr,10,1),2)+10)=10,DAY(DATE(Planungsjahr,10,1)-WEEKDAY(DATE(Planungsjahr,10,1),2)+10),"")</f>
        <v>6</v>
      </c>
      <c r="AG83" s="188"/>
      <c r="AH83" s="188"/>
      <c r="AI83" s="188">
        <f>IF(MONTH(DATE(Planungsjahr,10,1)-WEEKDAY(DATE(Planungsjahr,10,1),2)+11)=10,DAY(DATE(Planungsjahr,10,1)-WEEKDAY(DATE(Planungsjahr,10,1),2)+11),"")</f>
        <v>7</v>
      </c>
      <c r="AJ83" s="188"/>
      <c r="AK83" s="188"/>
      <c r="AL83" s="188">
        <f>IF(MONTH(DATE(Planungsjahr,10,1)-WEEKDAY(DATE(Planungsjahr,10,1),2)+12)=10,DAY(DATE(Planungsjahr,10,1)-WEEKDAY(DATE(Planungsjahr,10,1),2)+12),"")</f>
        <v>8</v>
      </c>
      <c r="AM83" s="188"/>
      <c r="AN83" s="188"/>
      <c r="AO83" s="188">
        <f>IF(MONTH(DATE(Planungsjahr,10,1)-WEEKDAY(DATE(Planungsjahr,10,1),2)+13)=10,DAY(DATE(Planungsjahr,10,1)-WEEKDAY(DATE(Planungsjahr,10,1),2)+13),"")</f>
        <v>9</v>
      </c>
      <c r="AP83" s="188"/>
      <c r="AQ83" s="188"/>
      <c r="AR83" s="188">
        <f>IF(MONTH(DATE(Planungsjahr,10,1)-WEEKDAY(DATE(Planungsjahr,10,1),2)+14)=10,DAY(DATE(Planungsjahr,10,1)-WEEKDAY(DATE(Planungsjahr,10,1),2)+14),"")</f>
        <v>10</v>
      </c>
      <c r="AS83" s="188"/>
      <c r="AT83" s="190"/>
      <c r="AV83" s="177">
        <f>IF(OR(ISNUMBER(AW83),ISNUMBER(BO83)),_xlfn.ISOWEEKNUM(DATE(Planungsjahr,11,1)-WEEKDAY(DATE(Planungsjahr,11,1),2)+8),"")</f>
        <v>45</v>
      </c>
      <c r="AW83" s="188">
        <f>IF(MONTH(DATE(Planungsjahr,11,1)-WEEKDAY(DATE(Planungsjahr,11,1),2)+8)=11,DAY(DATE(Planungsjahr,11,1)-WEEKDAY(DATE(Planungsjahr,11,1),2)+8),"")</f>
        <v>8</v>
      </c>
      <c r="AX83" s="188"/>
      <c r="AY83" s="188"/>
      <c r="AZ83" s="188">
        <f>IF(MONTH(DATE(Planungsjahr,11,1)-WEEKDAY(DATE(Planungsjahr,11,1),2)+9)=11,DAY(DATE(Planungsjahr,11,1)-WEEKDAY(DATE(Planungsjahr,11,1),2)+9),"")</f>
        <v>9</v>
      </c>
      <c r="BA83" s="188"/>
      <c r="BB83" s="188"/>
      <c r="BC83" s="188">
        <f>IF(MONTH(DATE(Planungsjahr,11,1)-WEEKDAY(DATE(Planungsjahr,11,1),2)+10)=11,DAY(DATE(Planungsjahr,11,1)-WEEKDAY(DATE(Planungsjahr,11,1),2)+10),"")</f>
        <v>10</v>
      </c>
      <c r="BD83" s="188"/>
      <c r="BE83" s="188"/>
      <c r="BF83" s="188">
        <f>IF(MONTH(DATE(Planungsjahr,11,1)-WEEKDAY(DATE(Planungsjahr,11,1),2)+11)=11,DAY(DATE(Planungsjahr,11,1)-WEEKDAY(DATE(Planungsjahr,11,1),2)+11),"")</f>
        <v>11</v>
      </c>
      <c r="BG83" s="188"/>
      <c r="BH83" s="188"/>
      <c r="BI83" s="188">
        <f>IF(MONTH(DATE(Planungsjahr,11,1)-WEEKDAY(DATE(Planungsjahr,11,1),2)+12)=11,DAY(DATE(Planungsjahr,11,1)-WEEKDAY(DATE(Planungsjahr,11,1),2)+12),"")</f>
        <v>12</v>
      </c>
      <c r="BJ83" s="188"/>
      <c r="BK83" s="188"/>
      <c r="BL83" s="188">
        <f>IF(MONTH(DATE(Planungsjahr,11,1)-WEEKDAY(DATE(Planungsjahr,11,1),2)+13)=11,DAY(DATE(Planungsjahr,11,1)-WEEKDAY(DATE(Planungsjahr,11,1),2)+13),"")</f>
        <v>13</v>
      </c>
      <c r="BM83" s="188"/>
      <c r="BN83" s="188"/>
      <c r="BO83" s="188">
        <f>IF(MONTH(DATE(Planungsjahr,11,1)-WEEKDAY(DATE(Planungsjahr,11,1),2)+14)=11,DAY(DATE(Planungsjahr,11,1)-WEEKDAY(DATE(Planungsjahr,11,1),2)+14),"")</f>
        <v>14</v>
      </c>
      <c r="BP83" s="188"/>
      <c r="BQ83" s="190"/>
      <c r="BS83" s="177">
        <f>IF(OR(ISNUMBER(BT83),ISNUMBER(CL83)),_xlfn.ISOWEEKNUM(DATE(Planungsjahr,12,1)-WEEKDAY(DATE(Planungsjahr,12,1),2)+8),"")</f>
        <v>49</v>
      </c>
      <c r="BT83" s="188">
        <f>IF(MONTH(DATE(Planungsjahr,12,1)-WEEKDAY(DATE(Planungsjahr,12,1),2)+8)=12,DAY(DATE(Planungsjahr,12,1)-WEEKDAY(DATE(Planungsjahr,12,1),2)+8),"")</f>
        <v>6</v>
      </c>
      <c r="BU83" s="188"/>
      <c r="BV83" s="188"/>
      <c r="BW83" s="188">
        <f>IF(MONTH(DATE(Planungsjahr,12,1)-WEEKDAY(DATE(Planungsjahr,12,1),2)+9)=12,DAY(DATE(Planungsjahr,12,1)-WEEKDAY(DATE(Planungsjahr,12,1),2)+9),"")</f>
        <v>7</v>
      </c>
      <c r="BX83" s="188"/>
      <c r="BY83" s="188"/>
      <c r="BZ83" s="188">
        <f>IF(MONTH(DATE(Planungsjahr,12,1)-WEEKDAY(DATE(Planungsjahr,12,1),2)+10)=12,DAY(DATE(Planungsjahr,12,1)-WEEKDAY(DATE(Planungsjahr,12,1),2)+10),"")</f>
        <v>8</v>
      </c>
      <c r="CA83" s="188"/>
      <c r="CB83" s="188"/>
      <c r="CC83" s="188">
        <f>IF(MONTH(DATE(Planungsjahr,12,1)-WEEKDAY(DATE(Planungsjahr,12,1),2)+11)=12,DAY(DATE(Planungsjahr,12,1)-WEEKDAY(DATE(Planungsjahr,12,1),2)+11),"")</f>
        <v>9</v>
      </c>
      <c r="CD83" s="188"/>
      <c r="CE83" s="188"/>
      <c r="CF83" s="188">
        <f>IF(MONTH(DATE(Planungsjahr,12,1)-WEEKDAY(DATE(Planungsjahr,12,1),2)+12)=12,DAY(DATE(Planungsjahr,12,1)-WEEKDAY(DATE(Planungsjahr,12,1),2)+12),"")</f>
        <v>10</v>
      </c>
      <c r="CG83" s="188"/>
      <c r="CH83" s="188"/>
      <c r="CI83" s="188">
        <f>IF(MONTH(DATE(Planungsjahr,12,1)-WEEKDAY(DATE(Planungsjahr,12,1),2)+13)=12,DAY(DATE(Planungsjahr,12,1)-WEEKDAY(DATE(Planungsjahr,12,1),2)+13),"")</f>
        <v>11</v>
      </c>
      <c r="CJ83" s="188"/>
      <c r="CK83" s="188"/>
      <c r="CL83" s="188">
        <f>IF(MONTH(DATE(Planungsjahr,12,1)-WEEKDAY(DATE(Planungsjahr,12,1),2)+14)=12,DAY(DATE(Planungsjahr,12,1)-WEEKDAY(DATE(Planungsjahr,12,1),2)+14),"")</f>
        <v>12</v>
      </c>
      <c r="CM83" s="188"/>
      <c r="CN83" s="190"/>
    </row>
    <row r="84" spans="2:92" ht="10.5" customHeight="1" x14ac:dyDescent="0.25">
      <c r="B84" s="179"/>
      <c r="C84" s="223">
        <f>IF(ISNUMBER(C83),IFERROR(11-1/(1/SUMPRODUCT(MAX((JP_StartSel=DATE(Planungsjahr,9,C83))*Anzeige_S*((JP_Anzeige=TRUE)+NOT(Filter_Aktiv)&gt;0)*(11-JP_Farbe)))),IF(COUNTIF(Feiertage,DATE(Planungsjahr,9,C83))&gt;0,"h",IF(COUNTIFS(U_Von,"&lt;="&amp;DATE(Planungsjahr,9,C83),U_Bis,"&gt;="&amp;DATE(Planungsjahr,9,C83))&gt;0,"u",""))),"")</f>
      </c>
      <c r="D84" s="224">
        <f>IF(ISNUMBER(C83),IFERROR(21-1/(1/SUMPRODUCT(MAX((JP_StartInhalt=DATE(Planungsjahr,9,C83))*Anzeige_I*((JP_Anzeige=TRUE)+NOT(Filter_Aktiv)&gt;0)*(11-JP_Farbe)))),IF(COUNTIF(Feiertage,DATE(Planungsjahr,9,C83))&gt;0,"h",IF(COUNTIFS(U_Von,"&lt;="&amp;DATE(Planungsjahr,9,C83),U_Bis,"&gt;="&amp;DATE(Planungsjahr,9,C83))&gt;0,"u",""))),"")</f>
      </c>
      <c r="E84" s="225">
        <f>IF(ISNUMBER(C83),IFERROR(31-1/(1/SUMPRODUCT(MAX((JP_PAL=DATE(Planungsjahr,9,C83))*Anzeige_P*((JP_Anzeige=TRUE)+NOT(Filter_Aktiv)&gt;0)*(11-JP_Farbe)))),IF(COUNTIF(Feiertage,DATE(Planungsjahr,9,C83))&gt;0,"h",IF(COUNTIFS(U_Von,"&lt;="&amp;DATE(Planungsjahr,9,C83),U_Bis,"&gt;="&amp;DATE(Planungsjahr,9,C83))&gt;0,"u",""))),"")</f>
      </c>
      <c r="F84" s="223">
        <f>IF(ISNUMBER(F83),IFERROR(11-1/(1/SUMPRODUCT(MAX((JP_StartSel=DATE(Planungsjahr,9,F83))*Anzeige_S*((JP_Anzeige=TRUE)+NOT(Filter_Aktiv)&gt;0)*(11-JP_Farbe)))),IF(COUNTIF(Feiertage,DATE(Planungsjahr,9,F83))&gt;0,"h",IF(COUNTIFS(U_Von,"&lt;="&amp;DATE(Planungsjahr,9,F83),U_Bis,"&gt;="&amp;DATE(Planungsjahr,9,F83))&gt;0,"u",""))),"")</f>
      </c>
      <c r="G84" s="224">
        <f>IF(ISNUMBER(F83),IFERROR(21-1/(1/SUMPRODUCT(MAX((JP_StartInhalt=DATE(Planungsjahr,9,F83))*Anzeige_I*((JP_Anzeige=TRUE)+NOT(Filter_Aktiv)&gt;0)*(11-JP_Farbe)))),IF(COUNTIF(Feiertage,DATE(Planungsjahr,9,F83))&gt;0,"h",IF(COUNTIFS(U_Von,"&lt;="&amp;DATE(Planungsjahr,9,F83),U_Bis,"&gt;="&amp;DATE(Planungsjahr,9,F83))&gt;0,"u",""))),"")</f>
      </c>
      <c r="H84" s="225">
        <f>IF(ISNUMBER(F83),IFERROR(31-1/(1/SUMPRODUCT(MAX((JP_PAL=DATE(Planungsjahr,9,F83))*Anzeige_P*((JP_Anzeige=TRUE)+NOT(Filter_Aktiv)&gt;0)*(11-JP_Farbe)))),IF(COUNTIF(Feiertage,DATE(Planungsjahr,9,F83))&gt;0,"h",IF(COUNTIFS(U_Von,"&lt;="&amp;DATE(Planungsjahr,9,F83),U_Bis,"&gt;="&amp;DATE(Planungsjahr,9,F83))&gt;0,"u",""))),"")</f>
      </c>
      <c r="I84" s="223">
        <f>IF(ISNUMBER(I83),IFERROR(11-1/(1/SUMPRODUCT(MAX((JP_StartSel=DATE(Planungsjahr,9,I83))*Anzeige_S*((JP_Anzeige=TRUE)+NOT(Filter_Aktiv)&gt;0)*(11-JP_Farbe)))),IF(COUNTIF(Feiertage,DATE(Planungsjahr,9,I83))&gt;0,"h",IF(COUNTIFS(U_Von,"&lt;="&amp;DATE(Planungsjahr,9,I83),U_Bis,"&gt;="&amp;DATE(Planungsjahr,9,I83))&gt;0,"u",""))),"")</f>
      </c>
      <c r="J84" s="224">
        <f>IF(ISNUMBER(I83),IFERROR(21-1/(1/SUMPRODUCT(MAX((JP_StartInhalt=DATE(Planungsjahr,9,I83))*Anzeige_I*((JP_Anzeige=TRUE)+NOT(Filter_Aktiv)&gt;0)*(11-JP_Farbe)))),IF(COUNTIF(Feiertage,DATE(Planungsjahr,9,I83))&gt;0,"h",IF(COUNTIFS(U_Von,"&lt;="&amp;DATE(Planungsjahr,9,I83),U_Bis,"&gt;="&amp;DATE(Planungsjahr,9,I83))&gt;0,"u",""))),"")</f>
      </c>
      <c r="K84" s="225">
        <f>IF(ISNUMBER(I83),IFERROR(31-1/(1/SUMPRODUCT(MAX((JP_PAL=DATE(Planungsjahr,9,I83))*Anzeige_P*((JP_Anzeige=TRUE)+NOT(Filter_Aktiv)&gt;0)*(11-JP_Farbe)))),IF(COUNTIF(Feiertage,DATE(Planungsjahr,9,I83))&gt;0,"h",IF(COUNTIFS(U_Von,"&lt;="&amp;DATE(Planungsjahr,9,I83),U_Bis,"&gt;="&amp;DATE(Planungsjahr,9,I83))&gt;0,"u",""))),"")</f>
      </c>
      <c r="L84" s="223">
        <f>IF(ISNUMBER(L83),IFERROR(11-1/(1/SUMPRODUCT(MAX((JP_StartSel=DATE(Planungsjahr,9,L83))*Anzeige_S*((JP_Anzeige=TRUE)+NOT(Filter_Aktiv)&gt;0)*(11-JP_Farbe)))),IF(COUNTIF(Feiertage,DATE(Planungsjahr,9,L83))&gt;0,"h",IF(COUNTIFS(U_Von,"&lt;="&amp;DATE(Planungsjahr,9,L83),U_Bis,"&gt;="&amp;DATE(Planungsjahr,9,L83))&gt;0,"u",""))),"")</f>
      </c>
      <c r="M84" s="224">
        <f>IF(ISNUMBER(L83),IFERROR(21-1/(1/SUMPRODUCT(MAX((JP_StartInhalt=DATE(Planungsjahr,9,L83))*Anzeige_I*((JP_Anzeige=TRUE)+NOT(Filter_Aktiv)&gt;0)*(11-JP_Farbe)))),IF(COUNTIF(Feiertage,DATE(Planungsjahr,9,L83))&gt;0,"h",IF(COUNTIFS(U_Von,"&lt;="&amp;DATE(Planungsjahr,9,L83),U_Bis,"&gt;="&amp;DATE(Planungsjahr,9,L83))&gt;0,"u",""))),"")</f>
      </c>
      <c r="N84" s="225">
        <f>IF(ISNUMBER(L83),IFERROR(31-1/(1/SUMPRODUCT(MAX((JP_PAL=DATE(Planungsjahr,9,L83))*Anzeige_P*((JP_Anzeige=TRUE)+NOT(Filter_Aktiv)&gt;0)*(11-JP_Farbe)))),IF(COUNTIF(Feiertage,DATE(Planungsjahr,9,L83))&gt;0,"h",IF(COUNTIFS(U_Von,"&lt;="&amp;DATE(Planungsjahr,9,L83),U_Bis,"&gt;="&amp;DATE(Planungsjahr,9,L83))&gt;0,"u",""))),"")</f>
      </c>
      <c r="O84" s="223">
        <f>IF(ISNUMBER(O83),IFERROR(11-1/(1/SUMPRODUCT(MAX((JP_StartSel=DATE(Planungsjahr,9,O83))*Anzeige_S*((JP_Anzeige=TRUE)+NOT(Filter_Aktiv)&gt;0)*(11-JP_Farbe)))),IF(COUNTIF(Feiertage,DATE(Planungsjahr,9,O83))&gt;0,"h",IF(COUNTIFS(U_Von,"&lt;="&amp;DATE(Planungsjahr,9,O83),U_Bis,"&gt;="&amp;DATE(Planungsjahr,9,O83))&gt;0,"u",""))),"")</f>
      </c>
      <c r="P84" s="224">
        <f>IF(ISNUMBER(O83),IFERROR(21-1/(1/SUMPRODUCT(MAX((JP_StartInhalt=DATE(Planungsjahr,9,O83))*Anzeige_I*((JP_Anzeige=TRUE)+NOT(Filter_Aktiv)&gt;0)*(11-JP_Farbe)))),IF(COUNTIF(Feiertage,DATE(Planungsjahr,9,O83))&gt;0,"h",IF(COUNTIFS(U_Von,"&lt;="&amp;DATE(Planungsjahr,9,O83),U_Bis,"&gt;="&amp;DATE(Planungsjahr,9,O83))&gt;0,"u",""))),"")</f>
      </c>
      <c r="Q84" s="225">
        <f>IF(ISNUMBER(O83),IFERROR(31-1/(1/SUMPRODUCT(MAX((JP_PAL=DATE(Planungsjahr,9,O83))*Anzeige_P*((JP_Anzeige=TRUE)+NOT(Filter_Aktiv)&gt;0)*(11-JP_Farbe)))),IF(COUNTIF(Feiertage,DATE(Planungsjahr,9,O83))&gt;0,"h",IF(COUNTIFS(U_Von,"&lt;="&amp;DATE(Planungsjahr,9,O83),U_Bis,"&gt;="&amp;DATE(Planungsjahr,9,O83))&gt;0,"u",""))),"")</f>
      </c>
      <c r="R84" s="223">
        <f>IF(ISNUMBER(R83),IFERROR(11-1/(1/SUMPRODUCT(MAX((JP_StartSel=DATE(Planungsjahr,9,R83))*Anzeige_S*((JP_Anzeige=TRUE)+NOT(Filter_Aktiv)&gt;0)*(11-JP_Farbe)))),IF(COUNTIF(Feiertage,DATE(Planungsjahr,9,R83))&gt;0,"h","w")),"")</f>
      </c>
      <c r="S84" s="224">
        <f>IF(ISNUMBER(R83),IFERROR(21-1/(1/SUMPRODUCT(MAX((JP_StartInhalt=DATE(Planungsjahr,9,R83))*Anzeige_I*((JP_Anzeige=TRUE)+NOT(Filter_Aktiv)&gt;0)*(11-JP_Farbe)))),IF(COUNTIF(Feiertage,DATE(Planungsjahr,9,R83))&gt;0,"h","w")),"")</f>
      </c>
      <c r="T84" s="225">
        <f>IF(ISNUMBER(R83),IFERROR(31-1/(1/SUMPRODUCT(MAX((JP_PAL=DATE(Planungsjahr,9,R83))*Anzeige_P*((JP_Anzeige=TRUE)+NOT(Filter_Aktiv)&gt;0)*(11-JP_Farbe)))),IF(COUNTIF(Feiertage,DATE(Planungsjahr,9,R83))&gt;0,"h","w")),"")</f>
      </c>
      <c r="U84" s="223">
        <f>IF(ISNUMBER(U83),IFERROR(11-1/(1/SUMPRODUCT(MAX((JP_StartSel=DATE(Planungsjahr,9,U83))*Anzeige_S*((JP_Anzeige=TRUE)+NOT(Filter_Aktiv)&gt;0)*(11-JP_Farbe)))),IF(COUNTIF(Feiertage,DATE(Planungsjahr,9,U83))&gt;0,"h","w")),"")</f>
      </c>
      <c r="V84" s="224">
        <f>IF(ISNUMBER(U83),IFERROR(21-1/(1/SUMPRODUCT(MAX((JP_StartInhalt=DATE(Planungsjahr,9,U83))*Anzeige_I*((JP_Anzeige=TRUE)+NOT(Filter_Aktiv)&gt;0)*(11-JP_Farbe)))),IF(COUNTIF(Feiertage,DATE(Planungsjahr,9,U83))&gt;0,"h","w")),"")</f>
      </c>
      <c r="W84" s="225">
        <f>IF(ISNUMBER(U83),IFERROR(31-1/(1/SUMPRODUCT(MAX((JP_PAL=DATE(Planungsjahr,9,U83))*Anzeige_P*((JP_Anzeige=TRUE)+NOT(Filter_Aktiv)&gt;0)*(11-JP_Farbe)))),IF(COUNTIF(Feiertage,DATE(Planungsjahr,9,U83))&gt;0,"h","w")),"")</f>
      </c>
      <c r="Y84" s="179"/>
      <c r="Z84" s="223">
        <f>IF(ISNUMBER(Z83),IFERROR(11-1/(1/SUMPRODUCT(MAX((JP_StartSel=DATE(Planungsjahr,10,Z83))*Anzeige_S*((JP_Anzeige=TRUE)+NOT(Filter_Aktiv)&gt;0)*(11-JP_Farbe)))),IF(COUNTIF(Feiertage,DATE(Planungsjahr,10,Z83))&gt;0,"h",IF(COUNTIFS(U_Von,"&lt;="&amp;DATE(Planungsjahr,10,Z83),U_Bis,"&gt;="&amp;DATE(Planungsjahr,10,Z83))&gt;0,"u",""))),"")</f>
      </c>
      <c r="AA84" s="224">
        <f>IF(ISNUMBER(Z83),IFERROR(21-1/(1/SUMPRODUCT(MAX((JP_StartInhalt=DATE(Planungsjahr,10,Z83))*Anzeige_I*((JP_Anzeige=TRUE)+NOT(Filter_Aktiv)&gt;0)*(11-JP_Farbe)))),IF(COUNTIF(Feiertage,DATE(Planungsjahr,10,Z83))&gt;0,"h",IF(COUNTIFS(U_Von,"&lt;="&amp;DATE(Planungsjahr,10,Z83),U_Bis,"&gt;="&amp;DATE(Planungsjahr,10,Z83))&gt;0,"u",""))),"")</f>
      </c>
      <c r="AB84" s="225">
        <f>IF(ISNUMBER(Z83),IFERROR(31-1/(1/SUMPRODUCT(MAX((JP_PAL=DATE(Planungsjahr,10,Z83))*Anzeige_P*((JP_Anzeige=TRUE)+NOT(Filter_Aktiv)&gt;0)*(11-JP_Farbe)))),IF(COUNTIF(Feiertage,DATE(Planungsjahr,10,Z83))&gt;0,"h",IF(COUNTIFS(U_Von,"&lt;="&amp;DATE(Planungsjahr,10,Z83),U_Bis,"&gt;="&amp;DATE(Planungsjahr,10,Z83))&gt;0,"u",""))),"")</f>
      </c>
      <c r="AC84" s="223">
        <f>IF(ISNUMBER(AC83),IFERROR(11-1/(1/SUMPRODUCT(MAX((JP_StartSel=DATE(Planungsjahr,10,AC83))*Anzeige_S*((JP_Anzeige=TRUE)+NOT(Filter_Aktiv)&gt;0)*(11-JP_Farbe)))),IF(COUNTIF(Feiertage,DATE(Planungsjahr,10,AC83))&gt;0,"h",IF(COUNTIFS(U_Von,"&lt;="&amp;DATE(Planungsjahr,10,AC83),U_Bis,"&gt;="&amp;DATE(Planungsjahr,10,AC83))&gt;0,"u",""))),"")</f>
      </c>
      <c r="AD84" s="224">
        <f>IF(ISNUMBER(AC83),IFERROR(21-1/(1/SUMPRODUCT(MAX((JP_StartInhalt=DATE(Planungsjahr,10,AC83))*Anzeige_I*((JP_Anzeige=TRUE)+NOT(Filter_Aktiv)&gt;0)*(11-JP_Farbe)))),IF(COUNTIF(Feiertage,DATE(Planungsjahr,10,AC83))&gt;0,"h",IF(COUNTIFS(U_Von,"&lt;="&amp;DATE(Planungsjahr,10,AC83),U_Bis,"&gt;="&amp;DATE(Planungsjahr,10,AC83))&gt;0,"u",""))),"")</f>
      </c>
      <c r="AE84" s="225">
        <f>IF(ISNUMBER(AC83),IFERROR(31-1/(1/SUMPRODUCT(MAX((JP_PAL=DATE(Planungsjahr,10,AC83))*Anzeige_P*((JP_Anzeige=TRUE)+NOT(Filter_Aktiv)&gt;0)*(11-JP_Farbe)))),IF(COUNTIF(Feiertage,DATE(Planungsjahr,10,AC83))&gt;0,"h",IF(COUNTIFS(U_Von,"&lt;="&amp;DATE(Planungsjahr,10,AC83),U_Bis,"&gt;="&amp;DATE(Planungsjahr,10,AC83))&gt;0,"u",""))),"")</f>
      </c>
      <c r="AF84" s="223">
        <f>IF(ISNUMBER(AF83),IFERROR(11-1/(1/SUMPRODUCT(MAX((JP_StartSel=DATE(Planungsjahr,10,AF83))*Anzeige_S*((JP_Anzeige=TRUE)+NOT(Filter_Aktiv)&gt;0)*(11-JP_Farbe)))),IF(COUNTIF(Feiertage,DATE(Planungsjahr,10,AF83))&gt;0,"h",IF(COUNTIFS(U_Von,"&lt;="&amp;DATE(Planungsjahr,10,AF83),U_Bis,"&gt;="&amp;DATE(Planungsjahr,10,AF83))&gt;0,"u",""))),"")</f>
      </c>
      <c r="AG84" s="224">
        <f>IF(ISNUMBER(AF83),IFERROR(21-1/(1/SUMPRODUCT(MAX((JP_StartInhalt=DATE(Planungsjahr,10,AF83))*Anzeige_I*((JP_Anzeige=TRUE)+NOT(Filter_Aktiv)&gt;0)*(11-JP_Farbe)))),IF(COUNTIF(Feiertage,DATE(Planungsjahr,10,AF83))&gt;0,"h",IF(COUNTIFS(U_Von,"&lt;="&amp;DATE(Planungsjahr,10,AF83),U_Bis,"&gt;="&amp;DATE(Planungsjahr,10,AF83))&gt;0,"u",""))),"")</f>
      </c>
      <c r="AH84" s="225">
        <f>IF(ISNUMBER(AF83),IFERROR(31-1/(1/SUMPRODUCT(MAX((JP_PAL=DATE(Planungsjahr,10,AF83))*Anzeige_P*((JP_Anzeige=TRUE)+NOT(Filter_Aktiv)&gt;0)*(11-JP_Farbe)))),IF(COUNTIF(Feiertage,DATE(Planungsjahr,10,AF83))&gt;0,"h",IF(COUNTIFS(U_Von,"&lt;="&amp;DATE(Planungsjahr,10,AF83),U_Bis,"&gt;="&amp;DATE(Planungsjahr,10,AF83))&gt;0,"u",""))),"")</f>
      </c>
      <c r="AI84" s="223">
        <f>IF(ISNUMBER(AI83),IFERROR(11-1/(1/SUMPRODUCT(MAX((JP_StartSel=DATE(Planungsjahr,10,AI83))*Anzeige_S*((JP_Anzeige=TRUE)+NOT(Filter_Aktiv)&gt;0)*(11-JP_Farbe)))),IF(COUNTIF(Feiertage,DATE(Planungsjahr,10,AI83))&gt;0,"h",IF(COUNTIFS(U_Von,"&lt;="&amp;DATE(Planungsjahr,10,AI83),U_Bis,"&gt;="&amp;DATE(Planungsjahr,10,AI83))&gt;0,"u",""))),"")</f>
      </c>
      <c r="AJ84" s="224">
        <f>IF(ISNUMBER(AI83),IFERROR(21-1/(1/SUMPRODUCT(MAX((JP_StartInhalt=DATE(Planungsjahr,10,AI83))*Anzeige_I*((JP_Anzeige=TRUE)+NOT(Filter_Aktiv)&gt;0)*(11-JP_Farbe)))),IF(COUNTIF(Feiertage,DATE(Planungsjahr,10,AI83))&gt;0,"h",IF(COUNTIFS(U_Von,"&lt;="&amp;DATE(Planungsjahr,10,AI83),U_Bis,"&gt;="&amp;DATE(Planungsjahr,10,AI83))&gt;0,"u",""))),"")</f>
      </c>
      <c r="AK84" s="225">
        <f>IF(ISNUMBER(AI83),IFERROR(31-1/(1/SUMPRODUCT(MAX((JP_PAL=DATE(Planungsjahr,10,AI83))*Anzeige_P*((JP_Anzeige=TRUE)+NOT(Filter_Aktiv)&gt;0)*(11-JP_Farbe)))),IF(COUNTIF(Feiertage,DATE(Planungsjahr,10,AI83))&gt;0,"h",IF(COUNTIFS(U_Von,"&lt;="&amp;DATE(Planungsjahr,10,AI83),U_Bis,"&gt;="&amp;DATE(Planungsjahr,10,AI83))&gt;0,"u",""))),"")</f>
      </c>
      <c r="AL84" s="223">
        <f>IF(ISNUMBER(AL83),IFERROR(11-1/(1/SUMPRODUCT(MAX((JP_StartSel=DATE(Planungsjahr,10,AL83))*Anzeige_S*((JP_Anzeige=TRUE)+NOT(Filter_Aktiv)&gt;0)*(11-JP_Farbe)))),IF(COUNTIF(Feiertage,DATE(Planungsjahr,10,AL83))&gt;0,"h",IF(COUNTIFS(U_Von,"&lt;="&amp;DATE(Planungsjahr,10,AL83),U_Bis,"&gt;="&amp;DATE(Planungsjahr,10,AL83))&gt;0,"u",""))),"")</f>
      </c>
      <c r="AM84" s="224">
        <f>IF(ISNUMBER(AL83),IFERROR(21-1/(1/SUMPRODUCT(MAX((JP_StartInhalt=DATE(Planungsjahr,10,AL83))*Anzeige_I*((JP_Anzeige=TRUE)+NOT(Filter_Aktiv)&gt;0)*(11-JP_Farbe)))),IF(COUNTIF(Feiertage,DATE(Planungsjahr,10,AL83))&gt;0,"h",IF(COUNTIFS(U_Von,"&lt;="&amp;DATE(Planungsjahr,10,AL83),U_Bis,"&gt;="&amp;DATE(Planungsjahr,10,AL83))&gt;0,"u",""))),"")</f>
      </c>
      <c r="AN84" s="225">
        <f>IF(ISNUMBER(AL83),IFERROR(31-1/(1/SUMPRODUCT(MAX((JP_PAL=DATE(Planungsjahr,10,AL83))*Anzeige_P*((JP_Anzeige=TRUE)+NOT(Filter_Aktiv)&gt;0)*(11-JP_Farbe)))),IF(COUNTIF(Feiertage,DATE(Planungsjahr,10,AL83))&gt;0,"h",IF(COUNTIFS(U_Von,"&lt;="&amp;DATE(Planungsjahr,10,AL83),U_Bis,"&gt;="&amp;DATE(Planungsjahr,10,AL83))&gt;0,"u",""))),"")</f>
      </c>
      <c r="AO84" s="223">
        <f>IF(ISNUMBER(AO83),IFERROR(11-1/(1/SUMPRODUCT(MAX((JP_StartSel=DATE(Planungsjahr,10,AO83))*Anzeige_S*((JP_Anzeige=TRUE)+NOT(Filter_Aktiv)&gt;0)*(11-JP_Farbe)))),IF(COUNTIF(Feiertage,DATE(Planungsjahr,10,AO83))&gt;0,"h","w")),"")</f>
      </c>
      <c r="AP84" s="224">
        <f>IF(ISNUMBER(AO83),IFERROR(21-1/(1/SUMPRODUCT(MAX((JP_StartInhalt=DATE(Planungsjahr,10,AO83))*Anzeige_I*((JP_Anzeige=TRUE)+NOT(Filter_Aktiv)&gt;0)*(11-JP_Farbe)))),IF(COUNTIF(Feiertage,DATE(Planungsjahr,10,AO83))&gt;0,"h","w")),"")</f>
      </c>
      <c r="AQ84" s="225">
        <f>IF(ISNUMBER(AO83),IFERROR(31-1/(1/SUMPRODUCT(MAX((JP_PAL=DATE(Planungsjahr,10,AO83))*Anzeige_P*((JP_Anzeige=TRUE)+NOT(Filter_Aktiv)&gt;0)*(11-JP_Farbe)))),IF(COUNTIF(Feiertage,DATE(Planungsjahr,10,AO83))&gt;0,"h","w")),"")</f>
      </c>
      <c r="AR84" s="223">
        <f>IF(ISNUMBER(AR83),IFERROR(11-1/(1/SUMPRODUCT(MAX((JP_StartSel=DATE(Planungsjahr,10,AR83))*Anzeige_S*((JP_Anzeige=TRUE)+NOT(Filter_Aktiv)&gt;0)*(11-JP_Farbe)))),IF(COUNTIF(Feiertage,DATE(Planungsjahr,10,AR83))&gt;0,"h","w")),"")</f>
      </c>
      <c r="AS84" s="224">
        <f>IF(ISNUMBER(AR83),IFERROR(21-1/(1/SUMPRODUCT(MAX((JP_StartInhalt=DATE(Planungsjahr,10,AR83))*Anzeige_I*((JP_Anzeige=TRUE)+NOT(Filter_Aktiv)&gt;0)*(11-JP_Farbe)))),IF(COUNTIF(Feiertage,DATE(Planungsjahr,10,AR83))&gt;0,"h","w")),"")</f>
      </c>
      <c r="AT84" s="225">
        <f>IF(ISNUMBER(AR83),IFERROR(31-1/(1/SUMPRODUCT(MAX((JP_PAL=DATE(Planungsjahr,10,AR83))*Anzeige_P*((JP_Anzeige=TRUE)+NOT(Filter_Aktiv)&gt;0)*(11-JP_Farbe)))),IF(COUNTIF(Feiertage,DATE(Planungsjahr,10,AR83))&gt;0,"h","w")),"")</f>
      </c>
      <c r="AV84" s="179"/>
      <c r="AW84" s="223">
        <f>IF(ISNUMBER(AW83),IFERROR(11-1/(1/SUMPRODUCT(MAX((JP_StartSel=DATE(Planungsjahr,11,AW83))*Anzeige_S*((JP_Anzeige=TRUE)+NOT(Filter_Aktiv)&gt;0)*(11-JP_Farbe)))),IF(COUNTIF(Feiertage,DATE(Planungsjahr,11,AW83))&gt;0,"h",IF(COUNTIFS(U_Von,"&lt;="&amp;DATE(Planungsjahr,11,AW83),U_Bis,"&gt;="&amp;DATE(Planungsjahr,11,AW83))&gt;0,"u",""))),"")</f>
      </c>
      <c r="AX84" s="224">
        <f>IF(ISNUMBER(AW83),IFERROR(21-1/(1/SUMPRODUCT(MAX((JP_StartInhalt=DATE(Planungsjahr,11,AW83))*Anzeige_I*((JP_Anzeige=TRUE)+NOT(Filter_Aktiv)&gt;0)*(11-JP_Farbe)))),IF(COUNTIF(Feiertage,DATE(Planungsjahr,11,AW83))&gt;0,"h",IF(COUNTIFS(U_Von,"&lt;="&amp;DATE(Planungsjahr,11,AW83),U_Bis,"&gt;="&amp;DATE(Planungsjahr,11,AW83))&gt;0,"u",""))),"")</f>
      </c>
      <c r="AY84" s="225">
        <f>IF(ISNUMBER(AW83),IFERROR(31-1/(1/SUMPRODUCT(MAX((JP_PAL=DATE(Planungsjahr,11,AW83))*Anzeige_P*((JP_Anzeige=TRUE)+NOT(Filter_Aktiv)&gt;0)*(11-JP_Farbe)))),IF(COUNTIF(Feiertage,DATE(Planungsjahr,11,AW83))&gt;0,"h",IF(COUNTIFS(U_Von,"&lt;="&amp;DATE(Planungsjahr,11,AW83),U_Bis,"&gt;="&amp;DATE(Planungsjahr,11,AW83))&gt;0,"u",""))),"")</f>
      </c>
      <c r="AZ84" s="223">
        <f>IF(ISNUMBER(AZ83),IFERROR(11-1/(1/SUMPRODUCT(MAX((JP_StartSel=DATE(Planungsjahr,11,AZ83))*Anzeige_S*((JP_Anzeige=TRUE)+NOT(Filter_Aktiv)&gt;0)*(11-JP_Farbe)))),IF(COUNTIF(Feiertage,DATE(Planungsjahr,11,AZ83))&gt;0,"h",IF(COUNTIFS(U_Von,"&lt;="&amp;DATE(Planungsjahr,11,AZ83),U_Bis,"&gt;="&amp;DATE(Planungsjahr,11,AZ83))&gt;0,"u",""))),"")</f>
      </c>
      <c r="BA84" s="224">
        <f>IF(ISNUMBER(AZ83),IFERROR(21-1/(1/SUMPRODUCT(MAX((JP_StartInhalt=DATE(Planungsjahr,11,AZ83))*Anzeige_I*((JP_Anzeige=TRUE)+NOT(Filter_Aktiv)&gt;0)*(11-JP_Farbe)))),IF(COUNTIF(Feiertage,DATE(Planungsjahr,11,AZ83))&gt;0,"h",IF(COUNTIFS(U_Von,"&lt;="&amp;DATE(Planungsjahr,11,AZ83),U_Bis,"&gt;="&amp;DATE(Planungsjahr,11,AZ83))&gt;0,"u",""))),"")</f>
      </c>
      <c r="BB84" s="225">
        <f>IF(ISNUMBER(AZ83),IFERROR(31-1/(1/SUMPRODUCT(MAX((JP_PAL=DATE(Planungsjahr,11,AZ83))*Anzeige_P*((JP_Anzeige=TRUE)+NOT(Filter_Aktiv)&gt;0)*(11-JP_Farbe)))),IF(COUNTIF(Feiertage,DATE(Planungsjahr,11,AZ83))&gt;0,"h",IF(COUNTIFS(U_Von,"&lt;="&amp;DATE(Planungsjahr,11,AZ83),U_Bis,"&gt;="&amp;DATE(Planungsjahr,11,AZ83))&gt;0,"u",""))),"")</f>
      </c>
      <c r="BC84" s="223">
        <f>IF(ISNUMBER(BC83),IFERROR(11-1/(1/SUMPRODUCT(MAX((JP_StartSel=DATE(Planungsjahr,11,BC83))*Anzeige_S*((JP_Anzeige=TRUE)+NOT(Filter_Aktiv)&gt;0)*(11-JP_Farbe)))),IF(COUNTIF(Feiertage,DATE(Planungsjahr,11,BC83))&gt;0,"h",IF(COUNTIFS(U_Von,"&lt;="&amp;DATE(Planungsjahr,11,BC83),U_Bis,"&gt;="&amp;DATE(Planungsjahr,11,BC83))&gt;0,"u",""))),"")</f>
      </c>
      <c r="BD84" s="224">
        <f>IF(ISNUMBER(BC83),IFERROR(21-1/(1/SUMPRODUCT(MAX((JP_StartInhalt=DATE(Planungsjahr,11,BC83))*Anzeige_I*((JP_Anzeige=TRUE)+NOT(Filter_Aktiv)&gt;0)*(11-JP_Farbe)))),IF(COUNTIF(Feiertage,DATE(Planungsjahr,11,BC83))&gt;0,"h",IF(COUNTIFS(U_Von,"&lt;="&amp;DATE(Planungsjahr,11,BC83),U_Bis,"&gt;="&amp;DATE(Planungsjahr,11,BC83))&gt;0,"u",""))),"")</f>
      </c>
      <c r="BE84" s="225">
        <f>IF(ISNUMBER(BC83),IFERROR(31-1/(1/SUMPRODUCT(MAX((JP_PAL=DATE(Planungsjahr,11,BC83))*Anzeige_P*((JP_Anzeige=TRUE)+NOT(Filter_Aktiv)&gt;0)*(11-JP_Farbe)))),IF(COUNTIF(Feiertage,DATE(Planungsjahr,11,BC83))&gt;0,"h",IF(COUNTIFS(U_Von,"&lt;="&amp;DATE(Planungsjahr,11,BC83),U_Bis,"&gt;="&amp;DATE(Planungsjahr,11,BC83))&gt;0,"u",""))),"")</f>
      </c>
      <c r="BF84" s="223">
        <f>IF(ISNUMBER(BF83),IFERROR(11-1/(1/SUMPRODUCT(MAX((JP_StartSel=DATE(Planungsjahr,11,BF83))*Anzeige_S*((JP_Anzeige=TRUE)+NOT(Filter_Aktiv)&gt;0)*(11-JP_Farbe)))),IF(COUNTIF(Feiertage,DATE(Planungsjahr,11,BF83))&gt;0,"h",IF(COUNTIFS(U_Von,"&lt;="&amp;DATE(Planungsjahr,11,BF83),U_Bis,"&gt;="&amp;DATE(Planungsjahr,11,BF83))&gt;0,"u",""))),"")</f>
      </c>
      <c r="BG84" s="224">
        <f>IF(ISNUMBER(BF83),IFERROR(21-1/(1/SUMPRODUCT(MAX((JP_StartInhalt=DATE(Planungsjahr,11,BF83))*Anzeige_I*((JP_Anzeige=TRUE)+NOT(Filter_Aktiv)&gt;0)*(11-JP_Farbe)))),IF(COUNTIF(Feiertage,DATE(Planungsjahr,11,BF83))&gt;0,"h",IF(COUNTIFS(U_Von,"&lt;="&amp;DATE(Planungsjahr,11,BF83),U_Bis,"&gt;="&amp;DATE(Planungsjahr,11,BF83))&gt;0,"u",""))),"")</f>
      </c>
      <c r="BH84" s="225">
        <f>IF(ISNUMBER(BF83),IFERROR(31-1/(1/SUMPRODUCT(MAX((JP_PAL=DATE(Planungsjahr,11,BF83))*Anzeige_P*((JP_Anzeige=TRUE)+NOT(Filter_Aktiv)&gt;0)*(11-JP_Farbe)))),IF(COUNTIF(Feiertage,DATE(Planungsjahr,11,BF83))&gt;0,"h",IF(COUNTIFS(U_Von,"&lt;="&amp;DATE(Planungsjahr,11,BF83),U_Bis,"&gt;="&amp;DATE(Planungsjahr,11,BF83))&gt;0,"u",""))),"")</f>
      </c>
      <c r="BI84" s="223">
        <f>IF(ISNUMBER(BI83),IFERROR(11-1/(1/SUMPRODUCT(MAX((JP_StartSel=DATE(Planungsjahr,11,BI83))*Anzeige_S*((JP_Anzeige=TRUE)+NOT(Filter_Aktiv)&gt;0)*(11-JP_Farbe)))),IF(COUNTIF(Feiertage,DATE(Planungsjahr,11,BI83))&gt;0,"h",IF(COUNTIFS(U_Von,"&lt;="&amp;DATE(Planungsjahr,11,BI83),U_Bis,"&gt;="&amp;DATE(Planungsjahr,11,BI83))&gt;0,"u",""))),"")</f>
      </c>
      <c r="BJ84" s="224">
        <f>IF(ISNUMBER(BI83),IFERROR(21-1/(1/SUMPRODUCT(MAX((JP_StartInhalt=DATE(Planungsjahr,11,BI83))*Anzeige_I*((JP_Anzeige=TRUE)+NOT(Filter_Aktiv)&gt;0)*(11-JP_Farbe)))),IF(COUNTIF(Feiertage,DATE(Planungsjahr,11,BI83))&gt;0,"h",IF(COUNTIFS(U_Von,"&lt;="&amp;DATE(Planungsjahr,11,BI83),U_Bis,"&gt;="&amp;DATE(Planungsjahr,11,BI83))&gt;0,"u",""))),"")</f>
      </c>
      <c r="BK84" s="225">
        <f>IF(ISNUMBER(BI83),IFERROR(31-1/(1/SUMPRODUCT(MAX((JP_PAL=DATE(Planungsjahr,11,BI83))*Anzeige_P*((JP_Anzeige=TRUE)+NOT(Filter_Aktiv)&gt;0)*(11-JP_Farbe)))),IF(COUNTIF(Feiertage,DATE(Planungsjahr,11,BI83))&gt;0,"h",IF(COUNTIFS(U_Von,"&lt;="&amp;DATE(Planungsjahr,11,BI83),U_Bis,"&gt;="&amp;DATE(Planungsjahr,11,BI83))&gt;0,"u",""))),"")</f>
      </c>
      <c r="BL84" s="223">
        <f>IF(ISNUMBER(BL83),IFERROR(11-1/(1/SUMPRODUCT(MAX((JP_StartSel=DATE(Planungsjahr,11,BL83))*Anzeige_S*((JP_Anzeige=TRUE)+NOT(Filter_Aktiv)&gt;0)*(11-JP_Farbe)))),IF(COUNTIF(Feiertage,DATE(Planungsjahr,11,BL83))&gt;0,"h","w")),"")</f>
      </c>
      <c r="BM84" s="224">
        <f>IF(ISNUMBER(BL83),IFERROR(21-1/(1/SUMPRODUCT(MAX((JP_StartInhalt=DATE(Planungsjahr,11,BL83))*Anzeige_I*((JP_Anzeige=TRUE)+NOT(Filter_Aktiv)&gt;0)*(11-JP_Farbe)))),IF(COUNTIF(Feiertage,DATE(Planungsjahr,11,BL83))&gt;0,"h","w")),"")</f>
      </c>
      <c r="BN84" s="225">
        <f>IF(ISNUMBER(BL83),IFERROR(31-1/(1/SUMPRODUCT(MAX((JP_PAL=DATE(Planungsjahr,11,BL83))*Anzeige_P*((JP_Anzeige=TRUE)+NOT(Filter_Aktiv)&gt;0)*(11-JP_Farbe)))),IF(COUNTIF(Feiertage,DATE(Planungsjahr,11,BL83))&gt;0,"h","w")),"")</f>
      </c>
      <c r="BO84" s="223">
        <f>IF(ISNUMBER(BO83),IFERROR(11-1/(1/SUMPRODUCT(MAX((JP_StartSel=DATE(Planungsjahr,11,BO83))*Anzeige_S*((JP_Anzeige=TRUE)+NOT(Filter_Aktiv)&gt;0)*(11-JP_Farbe)))),IF(COUNTIF(Feiertage,DATE(Planungsjahr,11,BO83))&gt;0,"h","w")),"")</f>
      </c>
      <c r="BP84" s="224">
        <f>IF(ISNUMBER(BO83),IFERROR(21-1/(1/SUMPRODUCT(MAX((JP_StartInhalt=DATE(Planungsjahr,11,BO83))*Anzeige_I*((JP_Anzeige=TRUE)+NOT(Filter_Aktiv)&gt;0)*(11-JP_Farbe)))),IF(COUNTIF(Feiertage,DATE(Planungsjahr,11,BO83))&gt;0,"h","w")),"")</f>
      </c>
      <c r="BQ84" s="225">
        <f>IF(ISNUMBER(BO83),IFERROR(31-1/(1/SUMPRODUCT(MAX((JP_PAL=DATE(Planungsjahr,11,BO83))*Anzeige_P*((JP_Anzeige=TRUE)+NOT(Filter_Aktiv)&gt;0)*(11-JP_Farbe)))),IF(COUNTIF(Feiertage,DATE(Planungsjahr,11,BO83))&gt;0,"h","w")),"")</f>
      </c>
      <c r="BS84" s="179"/>
      <c r="BT84" s="223">
        <f>IF(ISNUMBER(BT83),IFERROR(11-1/(1/SUMPRODUCT(MAX((JP_StartSel=DATE(Planungsjahr,12,BT83))*Anzeige_S*((JP_Anzeige=TRUE)+NOT(Filter_Aktiv)&gt;0)*(11-JP_Farbe)))),IF(COUNTIF(Feiertage,DATE(Planungsjahr,12,BT83))&gt;0,"h",IF(COUNTIFS(U_Von,"&lt;="&amp;DATE(Planungsjahr,12,BT83),U_Bis,"&gt;="&amp;DATE(Planungsjahr,12,BT83))&gt;0,"u",""))),"")</f>
      </c>
      <c r="BU84" s="224">
        <f>IF(ISNUMBER(BT83),IFERROR(21-1/(1/SUMPRODUCT(MAX((JP_StartInhalt=DATE(Planungsjahr,12,BT83))*Anzeige_I*((JP_Anzeige=TRUE)+NOT(Filter_Aktiv)&gt;0)*(11-JP_Farbe)))),IF(COUNTIF(Feiertage,DATE(Planungsjahr,12,BT83))&gt;0,"h",IF(COUNTIFS(U_Von,"&lt;="&amp;DATE(Planungsjahr,12,BT83),U_Bis,"&gt;="&amp;DATE(Planungsjahr,12,BT83))&gt;0,"u",""))),"")</f>
      </c>
      <c r="BV84" s="225">
        <f>IF(ISNUMBER(BT83),IFERROR(31-1/(1/SUMPRODUCT(MAX((JP_PAL=DATE(Planungsjahr,12,BT83))*Anzeige_P*((JP_Anzeige=TRUE)+NOT(Filter_Aktiv)&gt;0)*(11-JP_Farbe)))),IF(COUNTIF(Feiertage,DATE(Planungsjahr,12,BT83))&gt;0,"h",IF(COUNTIFS(U_Von,"&lt;="&amp;DATE(Planungsjahr,12,BT83),U_Bis,"&gt;="&amp;DATE(Planungsjahr,12,BT83))&gt;0,"u",""))),"")</f>
      </c>
      <c r="BW84" s="223">
        <f>IF(ISNUMBER(BW83),IFERROR(11-1/(1/SUMPRODUCT(MAX((JP_StartSel=DATE(Planungsjahr,12,BW83))*Anzeige_S*((JP_Anzeige=TRUE)+NOT(Filter_Aktiv)&gt;0)*(11-JP_Farbe)))),IF(COUNTIF(Feiertage,DATE(Planungsjahr,12,BW83))&gt;0,"h",IF(COUNTIFS(U_Von,"&lt;="&amp;DATE(Planungsjahr,12,BW83),U_Bis,"&gt;="&amp;DATE(Planungsjahr,12,BW83))&gt;0,"u",""))),"")</f>
      </c>
      <c r="BX84" s="224">
        <f>IF(ISNUMBER(BW83),IFERROR(21-1/(1/SUMPRODUCT(MAX((JP_StartInhalt=DATE(Planungsjahr,12,BW83))*Anzeige_I*((JP_Anzeige=TRUE)+NOT(Filter_Aktiv)&gt;0)*(11-JP_Farbe)))),IF(COUNTIF(Feiertage,DATE(Planungsjahr,12,BW83))&gt;0,"h",IF(COUNTIFS(U_Von,"&lt;="&amp;DATE(Planungsjahr,12,BW83),U_Bis,"&gt;="&amp;DATE(Planungsjahr,12,BW83))&gt;0,"u",""))),"")</f>
      </c>
      <c r="BY84" s="225">
        <f>IF(ISNUMBER(BW83),IFERROR(31-1/(1/SUMPRODUCT(MAX((JP_PAL=DATE(Planungsjahr,12,BW83))*Anzeige_P*((JP_Anzeige=TRUE)+NOT(Filter_Aktiv)&gt;0)*(11-JP_Farbe)))),IF(COUNTIF(Feiertage,DATE(Planungsjahr,12,BW83))&gt;0,"h",IF(COUNTIFS(U_Von,"&lt;="&amp;DATE(Planungsjahr,12,BW83),U_Bis,"&gt;="&amp;DATE(Planungsjahr,12,BW83))&gt;0,"u",""))),"")</f>
      </c>
      <c r="BZ84" s="223">
        <f>IF(ISNUMBER(BZ83),IFERROR(11-1/(1/SUMPRODUCT(MAX((JP_StartSel=DATE(Planungsjahr,12,BZ83))*Anzeige_S*((JP_Anzeige=TRUE)+NOT(Filter_Aktiv)&gt;0)*(11-JP_Farbe)))),IF(COUNTIF(Feiertage,DATE(Planungsjahr,12,BZ83))&gt;0,"h",IF(COUNTIFS(U_Von,"&lt;="&amp;DATE(Planungsjahr,12,BZ83),U_Bis,"&gt;="&amp;DATE(Planungsjahr,12,BZ83))&gt;0,"u",""))),"")</f>
      </c>
      <c r="CA84" s="224">
        <f>IF(ISNUMBER(BZ83),IFERROR(21-1/(1/SUMPRODUCT(MAX((JP_StartInhalt=DATE(Planungsjahr,12,BZ83))*Anzeige_I*((JP_Anzeige=TRUE)+NOT(Filter_Aktiv)&gt;0)*(11-JP_Farbe)))),IF(COUNTIF(Feiertage,DATE(Planungsjahr,12,BZ83))&gt;0,"h",IF(COUNTIFS(U_Von,"&lt;="&amp;DATE(Planungsjahr,12,BZ83),U_Bis,"&gt;="&amp;DATE(Planungsjahr,12,BZ83))&gt;0,"u",""))),"")</f>
      </c>
      <c r="CB84" s="225">
        <f>IF(ISNUMBER(BZ83),IFERROR(31-1/(1/SUMPRODUCT(MAX((JP_PAL=DATE(Planungsjahr,12,BZ83))*Anzeige_P*((JP_Anzeige=TRUE)+NOT(Filter_Aktiv)&gt;0)*(11-JP_Farbe)))),IF(COUNTIF(Feiertage,DATE(Planungsjahr,12,BZ83))&gt;0,"h",IF(COUNTIFS(U_Von,"&lt;="&amp;DATE(Planungsjahr,12,BZ83),U_Bis,"&gt;="&amp;DATE(Planungsjahr,12,BZ83))&gt;0,"u",""))),"")</f>
      </c>
      <c r="CC84" s="223">
        <f>IF(ISNUMBER(CC83),IFERROR(11-1/(1/SUMPRODUCT(MAX((JP_StartSel=DATE(Planungsjahr,12,CC83))*Anzeige_S*((JP_Anzeige=TRUE)+NOT(Filter_Aktiv)&gt;0)*(11-JP_Farbe)))),IF(COUNTIF(Feiertage,DATE(Planungsjahr,12,CC83))&gt;0,"h",IF(COUNTIFS(U_Von,"&lt;="&amp;DATE(Planungsjahr,12,CC83),U_Bis,"&gt;="&amp;DATE(Planungsjahr,12,CC83))&gt;0,"u",""))),"")</f>
      </c>
      <c r="CD84" s="224">
        <f>IF(ISNUMBER(CC83),IFERROR(21-1/(1/SUMPRODUCT(MAX((JP_StartInhalt=DATE(Planungsjahr,12,CC83))*Anzeige_I*((JP_Anzeige=TRUE)+NOT(Filter_Aktiv)&gt;0)*(11-JP_Farbe)))),IF(COUNTIF(Feiertage,DATE(Planungsjahr,12,CC83))&gt;0,"h",IF(COUNTIFS(U_Von,"&lt;="&amp;DATE(Planungsjahr,12,CC83),U_Bis,"&gt;="&amp;DATE(Planungsjahr,12,CC83))&gt;0,"u",""))),"")</f>
      </c>
      <c r="CE84" s="225">
        <f>IF(ISNUMBER(CC83),IFERROR(31-1/(1/SUMPRODUCT(MAX((JP_PAL=DATE(Planungsjahr,12,CC83))*Anzeige_P*((JP_Anzeige=TRUE)+NOT(Filter_Aktiv)&gt;0)*(11-JP_Farbe)))),IF(COUNTIF(Feiertage,DATE(Planungsjahr,12,CC83))&gt;0,"h",IF(COUNTIFS(U_Von,"&lt;="&amp;DATE(Planungsjahr,12,CC83),U_Bis,"&gt;="&amp;DATE(Planungsjahr,12,CC83))&gt;0,"u",""))),"")</f>
      </c>
      <c r="CF84" s="223">
        <f>IF(ISNUMBER(CF83),IFERROR(11-1/(1/SUMPRODUCT(MAX((JP_StartSel=DATE(Planungsjahr,12,CF83))*Anzeige_S*((JP_Anzeige=TRUE)+NOT(Filter_Aktiv)&gt;0)*(11-JP_Farbe)))),IF(COUNTIF(Feiertage,DATE(Planungsjahr,12,CF83))&gt;0,"h",IF(COUNTIFS(U_Von,"&lt;="&amp;DATE(Planungsjahr,12,CF83),U_Bis,"&gt;="&amp;DATE(Planungsjahr,12,CF83))&gt;0,"u",""))),"")</f>
      </c>
      <c r="CG84" s="224">
        <f>IF(ISNUMBER(CF83),IFERROR(21-1/(1/SUMPRODUCT(MAX((JP_StartInhalt=DATE(Planungsjahr,12,CF83))*Anzeige_I*((JP_Anzeige=TRUE)+NOT(Filter_Aktiv)&gt;0)*(11-JP_Farbe)))),IF(COUNTIF(Feiertage,DATE(Planungsjahr,12,CF83))&gt;0,"h",IF(COUNTIFS(U_Von,"&lt;="&amp;DATE(Planungsjahr,12,CF83),U_Bis,"&gt;="&amp;DATE(Planungsjahr,12,CF83))&gt;0,"u",""))),"")</f>
      </c>
      <c r="CH84" s="225">
        <f>IF(ISNUMBER(CF83),IFERROR(31-1/(1/SUMPRODUCT(MAX((JP_PAL=DATE(Planungsjahr,12,CF83))*Anzeige_P*((JP_Anzeige=TRUE)+NOT(Filter_Aktiv)&gt;0)*(11-JP_Farbe)))),IF(COUNTIF(Feiertage,DATE(Planungsjahr,12,CF83))&gt;0,"h",IF(COUNTIFS(U_Von,"&lt;="&amp;DATE(Planungsjahr,12,CF83),U_Bis,"&gt;="&amp;DATE(Planungsjahr,12,CF83))&gt;0,"u",""))),"")</f>
      </c>
      <c r="CI84" s="223">
        <f>IF(ISNUMBER(CI83),IFERROR(11-1/(1/SUMPRODUCT(MAX((JP_StartSel=DATE(Planungsjahr,12,CI83))*Anzeige_S*((JP_Anzeige=TRUE)+NOT(Filter_Aktiv)&gt;0)*(11-JP_Farbe)))),IF(COUNTIF(Feiertage,DATE(Planungsjahr,12,CI83))&gt;0,"h","w")),"")</f>
      </c>
      <c r="CJ84" s="224">
        <f>IF(ISNUMBER(CI83),IFERROR(21-1/(1/SUMPRODUCT(MAX((JP_StartInhalt=DATE(Planungsjahr,12,CI83))*Anzeige_I*((JP_Anzeige=TRUE)+NOT(Filter_Aktiv)&gt;0)*(11-JP_Farbe)))),IF(COUNTIF(Feiertage,DATE(Planungsjahr,12,CI83))&gt;0,"h","w")),"")</f>
      </c>
      <c r="CK84" s="225">
        <f>IF(ISNUMBER(CI83),IFERROR(31-1/(1/SUMPRODUCT(MAX((JP_PAL=DATE(Planungsjahr,12,CI83))*Anzeige_P*((JP_Anzeige=TRUE)+NOT(Filter_Aktiv)&gt;0)*(11-JP_Farbe)))),IF(COUNTIF(Feiertage,DATE(Planungsjahr,12,CI83))&gt;0,"h","w")),"")</f>
      </c>
      <c r="CL84" s="223">
        <f>IF(ISNUMBER(CL83),IFERROR(11-1/(1/SUMPRODUCT(MAX((JP_StartSel=DATE(Planungsjahr,12,CL83))*Anzeige_S*((JP_Anzeige=TRUE)+NOT(Filter_Aktiv)&gt;0)*(11-JP_Farbe)))),IF(COUNTIF(Feiertage,DATE(Planungsjahr,12,CL83))&gt;0,"h","w")),"")</f>
      </c>
      <c r="CM84" s="224">
        <f>IF(ISNUMBER(CL83),IFERROR(21-1/(1/SUMPRODUCT(MAX((JP_StartInhalt=DATE(Planungsjahr,12,CL83))*Anzeige_I*((JP_Anzeige=TRUE)+NOT(Filter_Aktiv)&gt;0)*(11-JP_Farbe)))),IF(COUNTIF(Feiertage,DATE(Planungsjahr,12,CL83))&gt;0,"h","w")),"")</f>
      </c>
      <c r="CN84" s="225">
        <f>IF(ISNUMBER(CL83),IFERROR(31-1/(1/SUMPRODUCT(MAX((JP_PAL=DATE(Planungsjahr,12,CL83))*Anzeige_P*((JP_Anzeige=TRUE)+NOT(Filter_Aktiv)&gt;0)*(11-JP_Farbe)))),IF(COUNTIF(Feiertage,DATE(Planungsjahr,12,CL83))&gt;0,"h","w")),"")</f>
      </c>
    </row>
    <row r="85" spans="2:92" ht="15.95" customHeight="1" x14ac:dyDescent="0.25">
      <c r="B85" s="177">
        <f>IF(OR(ISNUMBER(C85),ISNUMBER(U85)),_xlfn.ISOWEEKNUM(DATE(Planungsjahr,9,1)-WEEKDAY(DATE(Planungsjahr,9,1),2)+15),"")</f>
        <v>37</v>
      </c>
      <c r="C85" s="188">
        <f>IF(MONTH(DATE(Planungsjahr,9,1)-WEEKDAY(DATE(Planungsjahr,9,1),2)+15)=9,DAY(DATE(Planungsjahr,9,1)-WEEKDAY(DATE(Planungsjahr,9,1),2)+15),"")</f>
        <v>13</v>
      </c>
      <c r="D85" s="188"/>
      <c r="E85" s="188"/>
      <c r="F85" s="188">
        <f>IF(MONTH(DATE(Planungsjahr,9,1)-WEEKDAY(DATE(Planungsjahr,9,1),2)+16)=9,DAY(DATE(Planungsjahr,9,1)-WEEKDAY(DATE(Planungsjahr,9,1),2)+16),"")</f>
        <v>14</v>
      </c>
      <c r="G85" s="188"/>
      <c r="H85" s="188"/>
      <c r="I85" s="188">
        <f>IF(MONTH(DATE(Planungsjahr,9,1)-WEEKDAY(DATE(Planungsjahr,9,1),2)+17)=9,DAY(DATE(Planungsjahr,9,1)-WEEKDAY(DATE(Planungsjahr,9,1),2)+17),"")</f>
        <v>15</v>
      </c>
      <c r="J85" s="188"/>
      <c r="K85" s="188"/>
      <c r="L85" s="188">
        <f>IF(MONTH(DATE(Planungsjahr,9,1)-WEEKDAY(DATE(Planungsjahr,9,1),2)+18)=9,DAY(DATE(Planungsjahr,9,1)-WEEKDAY(DATE(Planungsjahr,9,1),2)+18),"")</f>
        <v>16</v>
      </c>
      <c r="M85" s="188"/>
      <c r="N85" s="188"/>
      <c r="O85" s="188">
        <f>IF(MONTH(DATE(Planungsjahr,9,1)-WEEKDAY(DATE(Planungsjahr,9,1),2)+19)=9,DAY(DATE(Planungsjahr,9,1)-WEEKDAY(DATE(Planungsjahr,9,1),2)+19),"")</f>
        <v>17</v>
      </c>
      <c r="P85" s="188"/>
      <c r="Q85" s="188"/>
      <c r="R85" s="188">
        <f>IF(MONTH(DATE(Planungsjahr,9,1)-WEEKDAY(DATE(Planungsjahr,9,1),2)+20)=9,DAY(DATE(Planungsjahr,9,1)-WEEKDAY(DATE(Planungsjahr,9,1),2)+20),"")</f>
        <v>18</v>
      </c>
      <c r="S85" s="188"/>
      <c r="T85" s="188"/>
      <c r="U85" s="188">
        <f>IF(MONTH(DATE(Planungsjahr,9,1)-WEEKDAY(DATE(Planungsjahr,9,1),2)+21)=9,DAY(DATE(Planungsjahr,9,1)-WEEKDAY(DATE(Planungsjahr,9,1),2)+21),"")</f>
        <v>19</v>
      </c>
      <c r="V85" s="188"/>
      <c r="W85" s="190"/>
      <c r="Y85" s="177">
        <f>IF(OR(ISNUMBER(Z85),ISNUMBER(AR85)),_xlfn.ISOWEEKNUM(DATE(Planungsjahr,10,1)-WEEKDAY(DATE(Planungsjahr,10,1),2)+15),"")</f>
        <v>41</v>
      </c>
      <c r="Z85" s="188">
        <f>IF(MONTH(DATE(Planungsjahr,10,1)-WEEKDAY(DATE(Planungsjahr,10,1),2)+15)=10,DAY(DATE(Planungsjahr,10,1)-WEEKDAY(DATE(Planungsjahr,10,1),2)+15),"")</f>
        <v>11</v>
      </c>
      <c r="AA85" s="188"/>
      <c r="AB85" s="188"/>
      <c r="AC85" s="188">
        <f>IF(MONTH(DATE(Planungsjahr,10,1)-WEEKDAY(DATE(Planungsjahr,10,1),2)+16)=10,DAY(DATE(Planungsjahr,10,1)-WEEKDAY(DATE(Planungsjahr,10,1),2)+16),"")</f>
        <v>12</v>
      </c>
      <c r="AD85" s="188"/>
      <c r="AE85" s="188"/>
      <c r="AF85" s="188">
        <f>IF(MONTH(DATE(Planungsjahr,10,1)-WEEKDAY(DATE(Planungsjahr,10,1),2)+17)=10,DAY(DATE(Planungsjahr,10,1)-WEEKDAY(DATE(Planungsjahr,10,1),2)+17),"")</f>
        <v>13</v>
      </c>
      <c r="AG85" s="188"/>
      <c r="AH85" s="188"/>
      <c r="AI85" s="188">
        <f>IF(MONTH(DATE(Planungsjahr,10,1)-WEEKDAY(DATE(Planungsjahr,10,1),2)+18)=10,DAY(DATE(Planungsjahr,10,1)-WEEKDAY(DATE(Planungsjahr,10,1),2)+18),"")</f>
        <v>14</v>
      </c>
      <c r="AJ85" s="188"/>
      <c r="AK85" s="188"/>
      <c r="AL85" s="188">
        <f>IF(MONTH(DATE(Planungsjahr,10,1)-WEEKDAY(DATE(Planungsjahr,10,1),2)+19)=10,DAY(DATE(Planungsjahr,10,1)-WEEKDAY(DATE(Planungsjahr,10,1),2)+19),"")</f>
        <v>15</v>
      </c>
      <c r="AM85" s="188"/>
      <c r="AN85" s="188"/>
      <c r="AO85" s="188">
        <f>IF(MONTH(DATE(Planungsjahr,10,1)-WEEKDAY(DATE(Planungsjahr,10,1),2)+20)=10,DAY(DATE(Planungsjahr,10,1)-WEEKDAY(DATE(Planungsjahr,10,1),2)+20),"")</f>
        <v>16</v>
      </c>
      <c r="AP85" s="188"/>
      <c r="AQ85" s="188"/>
      <c r="AR85" s="188">
        <f>IF(MONTH(DATE(Planungsjahr,10,1)-WEEKDAY(DATE(Planungsjahr,10,1),2)+21)=10,DAY(DATE(Planungsjahr,10,1)-WEEKDAY(DATE(Planungsjahr,10,1),2)+21),"")</f>
        <v>17</v>
      </c>
      <c r="AS85" s="188"/>
      <c r="AT85" s="190"/>
      <c r="AV85" s="177">
        <f>IF(OR(ISNUMBER(AW85),ISNUMBER(BO85)),_xlfn.ISOWEEKNUM(DATE(Planungsjahr,11,1)-WEEKDAY(DATE(Planungsjahr,11,1),2)+15),"")</f>
        <v>46</v>
      </c>
      <c r="AW85" s="188">
        <f>IF(MONTH(DATE(Planungsjahr,11,1)-WEEKDAY(DATE(Planungsjahr,11,1),2)+15)=11,DAY(DATE(Planungsjahr,11,1)-WEEKDAY(DATE(Planungsjahr,11,1),2)+15),"")</f>
        <v>15</v>
      </c>
      <c r="AX85" s="188"/>
      <c r="AY85" s="188"/>
      <c r="AZ85" s="188">
        <f>IF(MONTH(DATE(Planungsjahr,11,1)-WEEKDAY(DATE(Planungsjahr,11,1),2)+16)=11,DAY(DATE(Planungsjahr,11,1)-WEEKDAY(DATE(Planungsjahr,11,1),2)+16),"")</f>
        <v>16</v>
      </c>
      <c r="BA85" s="188"/>
      <c r="BB85" s="188"/>
      <c r="BC85" s="188">
        <f>IF(MONTH(DATE(Planungsjahr,11,1)-WEEKDAY(DATE(Planungsjahr,11,1),2)+17)=11,DAY(DATE(Planungsjahr,11,1)-WEEKDAY(DATE(Planungsjahr,11,1),2)+17),"")</f>
        <v>17</v>
      </c>
      <c r="BD85" s="188"/>
      <c r="BE85" s="188"/>
      <c r="BF85" s="188">
        <f>IF(MONTH(DATE(Planungsjahr,11,1)-WEEKDAY(DATE(Planungsjahr,11,1),2)+18)=11,DAY(DATE(Planungsjahr,11,1)-WEEKDAY(DATE(Planungsjahr,11,1),2)+18),"")</f>
        <v>18</v>
      </c>
      <c r="BG85" s="188"/>
      <c r="BH85" s="188"/>
      <c r="BI85" s="188">
        <f>IF(MONTH(DATE(Planungsjahr,11,1)-WEEKDAY(DATE(Planungsjahr,11,1),2)+19)=11,DAY(DATE(Planungsjahr,11,1)-WEEKDAY(DATE(Planungsjahr,11,1),2)+19),"")</f>
        <v>19</v>
      </c>
      <c r="BJ85" s="188"/>
      <c r="BK85" s="188"/>
      <c r="BL85" s="188">
        <f>IF(MONTH(DATE(Planungsjahr,11,1)-WEEKDAY(DATE(Planungsjahr,11,1),2)+20)=11,DAY(DATE(Planungsjahr,11,1)-WEEKDAY(DATE(Planungsjahr,11,1),2)+20),"")</f>
        <v>20</v>
      </c>
      <c r="BM85" s="188"/>
      <c r="BN85" s="188"/>
      <c r="BO85" s="188">
        <f>IF(MONTH(DATE(Planungsjahr,11,1)-WEEKDAY(DATE(Planungsjahr,11,1),2)+21)=11,DAY(DATE(Planungsjahr,11,1)-WEEKDAY(DATE(Planungsjahr,11,1),2)+21),"")</f>
        <v>21</v>
      </c>
      <c r="BP85" s="188"/>
      <c r="BQ85" s="190"/>
      <c r="BS85" s="177">
        <f>IF(OR(ISNUMBER(BT85),ISNUMBER(CL85)),_xlfn.ISOWEEKNUM(DATE(Planungsjahr,12,1)-WEEKDAY(DATE(Planungsjahr,12,1),2)+15),"")</f>
        <v>50</v>
      </c>
      <c r="BT85" s="188">
        <f>IF(MONTH(DATE(Planungsjahr,12,1)-WEEKDAY(DATE(Planungsjahr,12,1),2)+15)=12,DAY(DATE(Planungsjahr,12,1)-WEEKDAY(DATE(Planungsjahr,12,1),2)+15),"")</f>
        <v>13</v>
      </c>
      <c r="BU85" s="188"/>
      <c r="BV85" s="188"/>
      <c r="BW85" s="188">
        <f>IF(MONTH(DATE(Planungsjahr,12,1)-WEEKDAY(DATE(Planungsjahr,12,1),2)+16)=12,DAY(DATE(Planungsjahr,12,1)-WEEKDAY(DATE(Planungsjahr,12,1),2)+16),"")</f>
        <v>14</v>
      </c>
      <c r="BX85" s="188"/>
      <c r="BY85" s="188"/>
      <c r="BZ85" s="188">
        <f>IF(MONTH(DATE(Planungsjahr,12,1)-WEEKDAY(DATE(Planungsjahr,12,1),2)+17)=12,DAY(DATE(Planungsjahr,12,1)-WEEKDAY(DATE(Planungsjahr,12,1),2)+17),"")</f>
        <v>15</v>
      </c>
      <c r="CA85" s="188"/>
      <c r="CB85" s="188"/>
      <c r="CC85" s="188">
        <f>IF(MONTH(DATE(Planungsjahr,12,1)-WEEKDAY(DATE(Planungsjahr,12,1),2)+18)=12,DAY(DATE(Planungsjahr,12,1)-WEEKDAY(DATE(Planungsjahr,12,1),2)+18),"")</f>
        <v>16</v>
      </c>
      <c r="CD85" s="188"/>
      <c r="CE85" s="188"/>
      <c r="CF85" s="188">
        <f>IF(MONTH(DATE(Planungsjahr,12,1)-WEEKDAY(DATE(Planungsjahr,12,1),2)+19)=12,DAY(DATE(Planungsjahr,12,1)-WEEKDAY(DATE(Planungsjahr,12,1),2)+19),"")</f>
        <v>17</v>
      </c>
      <c r="CG85" s="188"/>
      <c r="CH85" s="188"/>
      <c r="CI85" s="188">
        <f>IF(MONTH(DATE(Planungsjahr,12,1)-WEEKDAY(DATE(Planungsjahr,12,1),2)+20)=12,DAY(DATE(Planungsjahr,12,1)-WEEKDAY(DATE(Planungsjahr,12,1),2)+20),"")</f>
        <v>18</v>
      </c>
      <c r="CJ85" s="188"/>
      <c r="CK85" s="188"/>
      <c r="CL85" s="188">
        <f>IF(MONTH(DATE(Planungsjahr,12,1)-WEEKDAY(DATE(Planungsjahr,12,1),2)+21)=12,DAY(DATE(Planungsjahr,12,1)-WEEKDAY(DATE(Planungsjahr,12,1),2)+21),"")</f>
        <v>19</v>
      </c>
      <c r="CM85" s="188"/>
      <c r="CN85" s="190"/>
    </row>
    <row r="86" spans="2:92" ht="10.5" customHeight="1" x14ac:dyDescent="0.25">
      <c r="B86" s="179"/>
      <c r="C86" s="223">
        <f>IF(ISNUMBER(C85),IFERROR(11-1/(1/SUMPRODUCT(MAX((JP_StartSel=DATE(Planungsjahr,9,C85))*Anzeige_S*((JP_Anzeige=TRUE)+NOT(Filter_Aktiv)&gt;0)*(11-JP_Farbe)))),IF(COUNTIF(Feiertage,DATE(Planungsjahr,9,C85))&gt;0,"h",IF(COUNTIFS(U_Von,"&lt;="&amp;DATE(Planungsjahr,9,C85),U_Bis,"&gt;="&amp;DATE(Planungsjahr,9,C85))&gt;0,"u",""))),"")</f>
      </c>
      <c r="D86" s="224">
        <f>IF(ISNUMBER(C85),IFERROR(21-1/(1/SUMPRODUCT(MAX((JP_StartInhalt=DATE(Planungsjahr,9,C85))*Anzeige_I*((JP_Anzeige=TRUE)+NOT(Filter_Aktiv)&gt;0)*(11-JP_Farbe)))),IF(COUNTIF(Feiertage,DATE(Planungsjahr,9,C85))&gt;0,"h",IF(COUNTIFS(U_Von,"&lt;="&amp;DATE(Planungsjahr,9,C85),U_Bis,"&gt;="&amp;DATE(Planungsjahr,9,C85))&gt;0,"u",""))),"")</f>
      </c>
      <c r="E86" s="225">
        <f>IF(ISNUMBER(C85),IFERROR(31-1/(1/SUMPRODUCT(MAX((JP_PAL=DATE(Planungsjahr,9,C85))*Anzeige_P*((JP_Anzeige=TRUE)+NOT(Filter_Aktiv)&gt;0)*(11-JP_Farbe)))),IF(COUNTIF(Feiertage,DATE(Planungsjahr,9,C85))&gt;0,"h",IF(COUNTIFS(U_Von,"&lt;="&amp;DATE(Planungsjahr,9,C85),U_Bis,"&gt;="&amp;DATE(Planungsjahr,9,C85))&gt;0,"u",""))),"")</f>
      </c>
      <c r="F86" s="223">
        <f>IF(ISNUMBER(F85),IFERROR(11-1/(1/SUMPRODUCT(MAX((JP_StartSel=DATE(Planungsjahr,9,F85))*Anzeige_S*((JP_Anzeige=TRUE)+NOT(Filter_Aktiv)&gt;0)*(11-JP_Farbe)))),IF(COUNTIF(Feiertage,DATE(Planungsjahr,9,F85))&gt;0,"h",IF(COUNTIFS(U_Von,"&lt;="&amp;DATE(Planungsjahr,9,F85),U_Bis,"&gt;="&amp;DATE(Planungsjahr,9,F85))&gt;0,"u",""))),"")</f>
      </c>
      <c r="G86" s="224">
        <f>IF(ISNUMBER(F85),IFERROR(21-1/(1/SUMPRODUCT(MAX((JP_StartInhalt=DATE(Planungsjahr,9,F85))*Anzeige_I*((JP_Anzeige=TRUE)+NOT(Filter_Aktiv)&gt;0)*(11-JP_Farbe)))),IF(COUNTIF(Feiertage,DATE(Planungsjahr,9,F85))&gt;0,"h",IF(COUNTIFS(U_Von,"&lt;="&amp;DATE(Planungsjahr,9,F85),U_Bis,"&gt;="&amp;DATE(Planungsjahr,9,F85))&gt;0,"u",""))),"")</f>
      </c>
      <c r="H86" s="225">
        <f>IF(ISNUMBER(F85),IFERROR(31-1/(1/SUMPRODUCT(MAX((JP_PAL=DATE(Planungsjahr,9,F85))*Anzeige_P*((JP_Anzeige=TRUE)+NOT(Filter_Aktiv)&gt;0)*(11-JP_Farbe)))),IF(COUNTIF(Feiertage,DATE(Planungsjahr,9,F85))&gt;0,"h",IF(COUNTIFS(U_Von,"&lt;="&amp;DATE(Planungsjahr,9,F85),U_Bis,"&gt;="&amp;DATE(Planungsjahr,9,F85))&gt;0,"u",""))),"")</f>
      </c>
      <c r="I86" s="223">
        <f>IF(ISNUMBER(I85),IFERROR(11-1/(1/SUMPRODUCT(MAX((JP_StartSel=DATE(Planungsjahr,9,I85))*Anzeige_S*((JP_Anzeige=TRUE)+NOT(Filter_Aktiv)&gt;0)*(11-JP_Farbe)))),IF(COUNTIF(Feiertage,DATE(Planungsjahr,9,I85))&gt;0,"h",IF(COUNTIFS(U_Von,"&lt;="&amp;DATE(Planungsjahr,9,I85),U_Bis,"&gt;="&amp;DATE(Planungsjahr,9,I85))&gt;0,"u",""))),"")</f>
      </c>
      <c r="J86" s="224">
        <f>IF(ISNUMBER(I85),IFERROR(21-1/(1/SUMPRODUCT(MAX((JP_StartInhalt=DATE(Planungsjahr,9,I85))*Anzeige_I*((JP_Anzeige=TRUE)+NOT(Filter_Aktiv)&gt;0)*(11-JP_Farbe)))),IF(COUNTIF(Feiertage,DATE(Planungsjahr,9,I85))&gt;0,"h",IF(COUNTIFS(U_Von,"&lt;="&amp;DATE(Planungsjahr,9,I85),U_Bis,"&gt;="&amp;DATE(Planungsjahr,9,I85))&gt;0,"u",""))),"")</f>
      </c>
      <c r="K86" s="225">
        <f>IF(ISNUMBER(I85),IFERROR(31-1/(1/SUMPRODUCT(MAX((JP_PAL=DATE(Planungsjahr,9,I85))*Anzeige_P*((JP_Anzeige=TRUE)+NOT(Filter_Aktiv)&gt;0)*(11-JP_Farbe)))),IF(COUNTIF(Feiertage,DATE(Planungsjahr,9,I85))&gt;0,"h",IF(COUNTIFS(U_Von,"&lt;="&amp;DATE(Planungsjahr,9,I85),U_Bis,"&gt;="&amp;DATE(Planungsjahr,9,I85))&gt;0,"u",""))),"")</f>
      </c>
      <c r="L86" s="223">
        <f>IF(ISNUMBER(L85),IFERROR(11-1/(1/SUMPRODUCT(MAX((JP_StartSel=DATE(Planungsjahr,9,L85))*Anzeige_S*((JP_Anzeige=TRUE)+NOT(Filter_Aktiv)&gt;0)*(11-JP_Farbe)))),IF(COUNTIF(Feiertage,DATE(Planungsjahr,9,L85))&gt;0,"h",IF(COUNTIFS(U_Von,"&lt;="&amp;DATE(Planungsjahr,9,L85),U_Bis,"&gt;="&amp;DATE(Planungsjahr,9,L85))&gt;0,"u",""))),"")</f>
      </c>
      <c r="M86" s="224">
        <f>IF(ISNUMBER(L85),IFERROR(21-1/(1/SUMPRODUCT(MAX((JP_StartInhalt=DATE(Planungsjahr,9,L85))*Anzeige_I*((JP_Anzeige=TRUE)+NOT(Filter_Aktiv)&gt;0)*(11-JP_Farbe)))),IF(COUNTIF(Feiertage,DATE(Planungsjahr,9,L85))&gt;0,"h",IF(COUNTIFS(U_Von,"&lt;="&amp;DATE(Planungsjahr,9,L85),U_Bis,"&gt;="&amp;DATE(Planungsjahr,9,L85))&gt;0,"u",""))),"")</f>
      </c>
      <c r="N86" s="225">
        <f>IF(ISNUMBER(L85),IFERROR(31-1/(1/SUMPRODUCT(MAX((JP_PAL=DATE(Planungsjahr,9,L85))*Anzeige_P*((JP_Anzeige=TRUE)+NOT(Filter_Aktiv)&gt;0)*(11-JP_Farbe)))),IF(COUNTIF(Feiertage,DATE(Planungsjahr,9,L85))&gt;0,"h",IF(COUNTIFS(U_Von,"&lt;="&amp;DATE(Planungsjahr,9,L85),U_Bis,"&gt;="&amp;DATE(Planungsjahr,9,L85))&gt;0,"u",""))),"")</f>
      </c>
      <c r="O86" s="223">
        <f>IF(ISNUMBER(O85),IFERROR(11-1/(1/SUMPRODUCT(MAX((JP_StartSel=DATE(Planungsjahr,9,O85))*Anzeige_S*((JP_Anzeige=TRUE)+NOT(Filter_Aktiv)&gt;0)*(11-JP_Farbe)))),IF(COUNTIF(Feiertage,DATE(Planungsjahr,9,O85))&gt;0,"h",IF(COUNTIFS(U_Von,"&lt;="&amp;DATE(Planungsjahr,9,O85),U_Bis,"&gt;="&amp;DATE(Planungsjahr,9,O85))&gt;0,"u",""))),"")</f>
      </c>
      <c r="P86" s="224">
        <f>IF(ISNUMBER(O85),IFERROR(21-1/(1/SUMPRODUCT(MAX((JP_StartInhalt=DATE(Planungsjahr,9,O85))*Anzeige_I*((JP_Anzeige=TRUE)+NOT(Filter_Aktiv)&gt;0)*(11-JP_Farbe)))),IF(COUNTIF(Feiertage,DATE(Planungsjahr,9,O85))&gt;0,"h",IF(COUNTIFS(U_Von,"&lt;="&amp;DATE(Planungsjahr,9,O85),U_Bis,"&gt;="&amp;DATE(Planungsjahr,9,O85))&gt;0,"u",""))),"")</f>
      </c>
      <c r="Q86" s="225">
        <f>IF(ISNUMBER(O85),IFERROR(31-1/(1/SUMPRODUCT(MAX((JP_PAL=DATE(Planungsjahr,9,O85))*Anzeige_P*((JP_Anzeige=TRUE)+NOT(Filter_Aktiv)&gt;0)*(11-JP_Farbe)))),IF(COUNTIF(Feiertage,DATE(Planungsjahr,9,O85))&gt;0,"h",IF(COUNTIFS(U_Von,"&lt;="&amp;DATE(Planungsjahr,9,O85),U_Bis,"&gt;="&amp;DATE(Planungsjahr,9,O85))&gt;0,"u",""))),"")</f>
      </c>
      <c r="R86" s="223">
        <f>IF(ISNUMBER(R85),IFERROR(11-1/(1/SUMPRODUCT(MAX((JP_StartSel=DATE(Planungsjahr,9,R85))*Anzeige_S*((JP_Anzeige=TRUE)+NOT(Filter_Aktiv)&gt;0)*(11-JP_Farbe)))),IF(COUNTIF(Feiertage,DATE(Planungsjahr,9,R85))&gt;0,"h","w")),"")</f>
      </c>
      <c r="S86" s="224">
        <f>IF(ISNUMBER(R85),IFERROR(21-1/(1/SUMPRODUCT(MAX((JP_StartInhalt=DATE(Planungsjahr,9,R85))*Anzeige_I*((JP_Anzeige=TRUE)+NOT(Filter_Aktiv)&gt;0)*(11-JP_Farbe)))),IF(COUNTIF(Feiertage,DATE(Planungsjahr,9,R85))&gt;0,"h","w")),"")</f>
      </c>
      <c r="T86" s="225">
        <f>IF(ISNUMBER(R85),IFERROR(31-1/(1/SUMPRODUCT(MAX((JP_PAL=DATE(Planungsjahr,9,R85))*Anzeige_P*((JP_Anzeige=TRUE)+NOT(Filter_Aktiv)&gt;0)*(11-JP_Farbe)))),IF(COUNTIF(Feiertage,DATE(Planungsjahr,9,R85))&gt;0,"h","w")),"")</f>
      </c>
      <c r="U86" s="223">
        <f>IF(ISNUMBER(U85),IFERROR(11-1/(1/SUMPRODUCT(MAX((JP_StartSel=DATE(Planungsjahr,9,U85))*Anzeige_S*((JP_Anzeige=TRUE)+NOT(Filter_Aktiv)&gt;0)*(11-JP_Farbe)))),IF(COUNTIF(Feiertage,DATE(Planungsjahr,9,U85))&gt;0,"h","w")),"")</f>
      </c>
      <c r="V86" s="224">
        <f>IF(ISNUMBER(U85),IFERROR(21-1/(1/SUMPRODUCT(MAX((JP_StartInhalt=DATE(Planungsjahr,9,U85))*Anzeige_I*((JP_Anzeige=TRUE)+NOT(Filter_Aktiv)&gt;0)*(11-JP_Farbe)))),IF(COUNTIF(Feiertage,DATE(Planungsjahr,9,U85))&gt;0,"h","w")),"")</f>
      </c>
      <c r="W86" s="225">
        <f>IF(ISNUMBER(U85),IFERROR(31-1/(1/SUMPRODUCT(MAX((JP_PAL=DATE(Planungsjahr,9,U85))*Anzeige_P*((JP_Anzeige=TRUE)+NOT(Filter_Aktiv)&gt;0)*(11-JP_Farbe)))),IF(COUNTIF(Feiertage,DATE(Planungsjahr,9,U85))&gt;0,"h","w")),"")</f>
      </c>
      <c r="Y86" s="179"/>
      <c r="Z86" s="223">
        <f>IF(ISNUMBER(Z85),IFERROR(11-1/(1/SUMPRODUCT(MAX((JP_StartSel=DATE(Planungsjahr,10,Z85))*Anzeige_S*((JP_Anzeige=TRUE)+NOT(Filter_Aktiv)&gt;0)*(11-JP_Farbe)))),IF(COUNTIF(Feiertage,DATE(Planungsjahr,10,Z85))&gt;0,"h",IF(COUNTIFS(U_Von,"&lt;="&amp;DATE(Planungsjahr,10,Z85),U_Bis,"&gt;="&amp;DATE(Planungsjahr,10,Z85))&gt;0,"u",""))),"")</f>
      </c>
      <c r="AA86" s="224">
        <f>IF(ISNUMBER(Z85),IFERROR(21-1/(1/SUMPRODUCT(MAX((JP_StartInhalt=DATE(Planungsjahr,10,Z85))*Anzeige_I*((JP_Anzeige=TRUE)+NOT(Filter_Aktiv)&gt;0)*(11-JP_Farbe)))),IF(COUNTIF(Feiertage,DATE(Planungsjahr,10,Z85))&gt;0,"h",IF(COUNTIFS(U_Von,"&lt;="&amp;DATE(Planungsjahr,10,Z85),U_Bis,"&gt;="&amp;DATE(Planungsjahr,10,Z85))&gt;0,"u",""))),"")</f>
      </c>
      <c r="AB86" s="225">
        <f>IF(ISNUMBER(Z85),IFERROR(31-1/(1/SUMPRODUCT(MAX((JP_PAL=DATE(Planungsjahr,10,Z85))*Anzeige_P*((JP_Anzeige=TRUE)+NOT(Filter_Aktiv)&gt;0)*(11-JP_Farbe)))),IF(COUNTIF(Feiertage,DATE(Planungsjahr,10,Z85))&gt;0,"h",IF(COUNTIFS(U_Von,"&lt;="&amp;DATE(Planungsjahr,10,Z85),U_Bis,"&gt;="&amp;DATE(Planungsjahr,10,Z85))&gt;0,"u",""))),"")</f>
      </c>
      <c r="AC86" s="223">
        <f>IF(ISNUMBER(AC85),IFERROR(11-1/(1/SUMPRODUCT(MAX((JP_StartSel=DATE(Planungsjahr,10,AC85))*Anzeige_S*((JP_Anzeige=TRUE)+NOT(Filter_Aktiv)&gt;0)*(11-JP_Farbe)))),IF(COUNTIF(Feiertage,DATE(Planungsjahr,10,AC85))&gt;0,"h",IF(COUNTIFS(U_Von,"&lt;="&amp;DATE(Planungsjahr,10,AC85),U_Bis,"&gt;="&amp;DATE(Planungsjahr,10,AC85))&gt;0,"u",""))),"")</f>
      </c>
      <c r="AD86" s="224">
        <f>IF(ISNUMBER(AC85),IFERROR(21-1/(1/SUMPRODUCT(MAX((JP_StartInhalt=DATE(Planungsjahr,10,AC85))*Anzeige_I*((JP_Anzeige=TRUE)+NOT(Filter_Aktiv)&gt;0)*(11-JP_Farbe)))),IF(COUNTIF(Feiertage,DATE(Planungsjahr,10,AC85))&gt;0,"h",IF(COUNTIFS(U_Von,"&lt;="&amp;DATE(Planungsjahr,10,AC85),U_Bis,"&gt;="&amp;DATE(Planungsjahr,10,AC85))&gt;0,"u",""))),"")</f>
      </c>
      <c r="AE86" s="225">
        <f>IF(ISNUMBER(AC85),IFERROR(31-1/(1/SUMPRODUCT(MAX((JP_PAL=DATE(Planungsjahr,10,AC85))*Anzeige_P*((JP_Anzeige=TRUE)+NOT(Filter_Aktiv)&gt;0)*(11-JP_Farbe)))),IF(COUNTIF(Feiertage,DATE(Planungsjahr,10,AC85))&gt;0,"h",IF(COUNTIFS(U_Von,"&lt;="&amp;DATE(Planungsjahr,10,AC85),U_Bis,"&gt;="&amp;DATE(Planungsjahr,10,AC85))&gt;0,"u",""))),"")</f>
      </c>
      <c r="AF86" s="223">
        <f>IF(ISNUMBER(AF85),IFERROR(11-1/(1/SUMPRODUCT(MAX((JP_StartSel=DATE(Planungsjahr,10,AF85))*Anzeige_S*((JP_Anzeige=TRUE)+NOT(Filter_Aktiv)&gt;0)*(11-JP_Farbe)))),IF(COUNTIF(Feiertage,DATE(Planungsjahr,10,AF85))&gt;0,"h",IF(COUNTIFS(U_Von,"&lt;="&amp;DATE(Planungsjahr,10,AF85),U_Bis,"&gt;="&amp;DATE(Planungsjahr,10,AF85))&gt;0,"u",""))),"")</f>
      </c>
      <c r="AG86" s="224">
        <f>IF(ISNUMBER(AF85),IFERROR(21-1/(1/SUMPRODUCT(MAX((JP_StartInhalt=DATE(Planungsjahr,10,AF85))*Anzeige_I*((JP_Anzeige=TRUE)+NOT(Filter_Aktiv)&gt;0)*(11-JP_Farbe)))),IF(COUNTIF(Feiertage,DATE(Planungsjahr,10,AF85))&gt;0,"h",IF(COUNTIFS(U_Von,"&lt;="&amp;DATE(Planungsjahr,10,AF85),U_Bis,"&gt;="&amp;DATE(Planungsjahr,10,AF85))&gt;0,"u",""))),"")</f>
      </c>
      <c r="AH86" s="225">
        <f>IF(ISNUMBER(AF85),IFERROR(31-1/(1/SUMPRODUCT(MAX((JP_PAL=DATE(Planungsjahr,10,AF85))*Anzeige_P*((JP_Anzeige=TRUE)+NOT(Filter_Aktiv)&gt;0)*(11-JP_Farbe)))),IF(COUNTIF(Feiertage,DATE(Planungsjahr,10,AF85))&gt;0,"h",IF(COUNTIFS(U_Von,"&lt;="&amp;DATE(Planungsjahr,10,AF85),U_Bis,"&gt;="&amp;DATE(Planungsjahr,10,AF85))&gt;0,"u",""))),"")</f>
      </c>
      <c r="AI86" s="223">
        <f>IF(ISNUMBER(AI85),IFERROR(11-1/(1/SUMPRODUCT(MAX((JP_StartSel=DATE(Planungsjahr,10,AI85))*Anzeige_S*((JP_Anzeige=TRUE)+NOT(Filter_Aktiv)&gt;0)*(11-JP_Farbe)))),IF(COUNTIF(Feiertage,DATE(Planungsjahr,10,AI85))&gt;0,"h",IF(COUNTIFS(U_Von,"&lt;="&amp;DATE(Planungsjahr,10,AI85),U_Bis,"&gt;="&amp;DATE(Planungsjahr,10,AI85))&gt;0,"u",""))),"")</f>
      </c>
      <c r="AJ86" s="224">
        <f>IF(ISNUMBER(AI85),IFERROR(21-1/(1/SUMPRODUCT(MAX((JP_StartInhalt=DATE(Planungsjahr,10,AI85))*Anzeige_I*((JP_Anzeige=TRUE)+NOT(Filter_Aktiv)&gt;0)*(11-JP_Farbe)))),IF(COUNTIF(Feiertage,DATE(Planungsjahr,10,AI85))&gt;0,"h",IF(COUNTIFS(U_Von,"&lt;="&amp;DATE(Planungsjahr,10,AI85),U_Bis,"&gt;="&amp;DATE(Planungsjahr,10,AI85))&gt;0,"u",""))),"")</f>
      </c>
      <c r="AK86" s="225">
        <f>IF(ISNUMBER(AI85),IFERROR(31-1/(1/SUMPRODUCT(MAX((JP_PAL=DATE(Planungsjahr,10,AI85))*Anzeige_P*((JP_Anzeige=TRUE)+NOT(Filter_Aktiv)&gt;0)*(11-JP_Farbe)))),IF(COUNTIF(Feiertage,DATE(Planungsjahr,10,AI85))&gt;0,"h",IF(COUNTIFS(U_Von,"&lt;="&amp;DATE(Planungsjahr,10,AI85),U_Bis,"&gt;="&amp;DATE(Planungsjahr,10,AI85))&gt;0,"u",""))),"")</f>
      </c>
      <c r="AL86" s="223">
        <f>IF(ISNUMBER(AL85),IFERROR(11-1/(1/SUMPRODUCT(MAX((JP_StartSel=DATE(Planungsjahr,10,AL85))*Anzeige_S*((JP_Anzeige=TRUE)+NOT(Filter_Aktiv)&gt;0)*(11-JP_Farbe)))),IF(COUNTIF(Feiertage,DATE(Planungsjahr,10,AL85))&gt;0,"h",IF(COUNTIFS(U_Von,"&lt;="&amp;DATE(Planungsjahr,10,AL85),U_Bis,"&gt;="&amp;DATE(Planungsjahr,10,AL85))&gt;0,"u",""))),"")</f>
      </c>
      <c r="AM86" s="224">
        <f>IF(ISNUMBER(AL85),IFERROR(21-1/(1/SUMPRODUCT(MAX((JP_StartInhalt=DATE(Planungsjahr,10,AL85))*Anzeige_I*((JP_Anzeige=TRUE)+NOT(Filter_Aktiv)&gt;0)*(11-JP_Farbe)))),IF(COUNTIF(Feiertage,DATE(Planungsjahr,10,AL85))&gt;0,"h",IF(COUNTIFS(U_Von,"&lt;="&amp;DATE(Planungsjahr,10,AL85),U_Bis,"&gt;="&amp;DATE(Planungsjahr,10,AL85))&gt;0,"u",""))),"")</f>
      </c>
      <c r="AN86" s="225">
        <f>IF(ISNUMBER(AL85),IFERROR(31-1/(1/SUMPRODUCT(MAX((JP_PAL=DATE(Planungsjahr,10,AL85))*Anzeige_P*((JP_Anzeige=TRUE)+NOT(Filter_Aktiv)&gt;0)*(11-JP_Farbe)))),IF(COUNTIF(Feiertage,DATE(Planungsjahr,10,AL85))&gt;0,"h",IF(COUNTIFS(U_Von,"&lt;="&amp;DATE(Planungsjahr,10,AL85),U_Bis,"&gt;="&amp;DATE(Planungsjahr,10,AL85))&gt;0,"u",""))),"")</f>
      </c>
      <c r="AO86" s="223">
        <f>IF(ISNUMBER(AO85),IFERROR(11-1/(1/SUMPRODUCT(MAX((JP_StartSel=DATE(Planungsjahr,10,AO85))*Anzeige_S*((JP_Anzeige=TRUE)+NOT(Filter_Aktiv)&gt;0)*(11-JP_Farbe)))),IF(COUNTIF(Feiertage,DATE(Planungsjahr,10,AO85))&gt;0,"h","w")),"")</f>
      </c>
      <c r="AP86" s="224">
        <f>IF(ISNUMBER(AO85),IFERROR(21-1/(1/SUMPRODUCT(MAX((JP_StartInhalt=DATE(Planungsjahr,10,AO85))*Anzeige_I*((JP_Anzeige=TRUE)+NOT(Filter_Aktiv)&gt;0)*(11-JP_Farbe)))),IF(COUNTIF(Feiertage,DATE(Planungsjahr,10,AO85))&gt;0,"h","w")),"")</f>
      </c>
      <c r="AQ86" s="225">
        <f>IF(ISNUMBER(AO85),IFERROR(31-1/(1/SUMPRODUCT(MAX((JP_PAL=DATE(Planungsjahr,10,AO85))*Anzeige_P*((JP_Anzeige=TRUE)+NOT(Filter_Aktiv)&gt;0)*(11-JP_Farbe)))),IF(COUNTIF(Feiertage,DATE(Planungsjahr,10,AO85))&gt;0,"h","w")),"")</f>
      </c>
      <c r="AR86" s="223">
        <f>IF(ISNUMBER(AR85),IFERROR(11-1/(1/SUMPRODUCT(MAX((JP_StartSel=DATE(Planungsjahr,10,AR85))*Anzeige_S*((JP_Anzeige=TRUE)+NOT(Filter_Aktiv)&gt;0)*(11-JP_Farbe)))),IF(COUNTIF(Feiertage,DATE(Planungsjahr,10,AR85))&gt;0,"h","w")),"")</f>
      </c>
      <c r="AS86" s="224">
        <f>IF(ISNUMBER(AR85),IFERROR(21-1/(1/SUMPRODUCT(MAX((JP_StartInhalt=DATE(Planungsjahr,10,AR85))*Anzeige_I*((JP_Anzeige=TRUE)+NOT(Filter_Aktiv)&gt;0)*(11-JP_Farbe)))),IF(COUNTIF(Feiertage,DATE(Planungsjahr,10,AR85))&gt;0,"h","w")),"")</f>
      </c>
      <c r="AT86" s="225">
        <f>IF(ISNUMBER(AR85),IFERROR(31-1/(1/SUMPRODUCT(MAX((JP_PAL=DATE(Planungsjahr,10,AR85))*Anzeige_P*((JP_Anzeige=TRUE)+NOT(Filter_Aktiv)&gt;0)*(11-JP_Farbe)))),IF(COUNTIF(Feiertage,DATE(Planungsjahr,10,AR85))&gt;0,"h","w")),"")</f>
      </c>
      <c r="AV86" s="179"/>
      <c r="AW86" s="223">
        <f>IF(ISNUMBER(AW85),IFERROR(11-1/(1/SUMPRODUCT(MAX((JP_StartSel=DATE(Planungsjahr,11,AW85))*Anzeige_S*((JP_Anzeige=TRUE)+NOT(Filter_Aktiv)&gt;0)*(11-JP_Farbe)))),IF(COUNTIF(Feiertage,DATE(Planungsjahr,11,AW85))&gt;0,"h",IF(COUNTIFS(U_Von,"&lt;="&amp;DATE(Planungsjahr,11,AW85),U_Bis,"&gt;="&amp;DATE(Planungsjahr,11,AW85))&gt;0,"u",""))),"")</f>
      </c>
      <c r="AX86" s="224">
        <f>IF(ISNUMBER(AW85),IFERROR(21-1/(1/SUMPRODUCT(MAX((JP_StartInhalt=DATE(Planungsjahr,11,AW85))*Anzeige_I*((JP_Anzeige=TRUE)+NOT(Filter_Aktiv)&gt;0)*(11-JP_Farbe)))),IF(COUNTIF(Feiertage,DATE(Planungsjahr,11,AW85))&gt;0,"h",IF(COUNTIFS(U_Von,"&lt;="&amp;DATE(Planungsjahr,11,AW85),U_Bis,"&gt;="&amp;DATE(Planungsjahr,11,AW85))&gt;0,"u",""))),"")</f>
      </c>
      <c r="AY86" s="225">
        <f>IF(ISNUMBER(AW85),IFERROR(31-1/(1/SUMPRODUCT(MAX((JP_PAL=DATE(Planungsjahr,11,AW85))*Anzeige_P*((JP_Anzeige=TRUE)+NOT(Filter_Aktiv)&gt;0)*(11-JP_Farbe)))),IF(COUNTIF(Feiertage,DATE(Planungsjahr,11,AW85))&gt;0,"h",IF(COUNTIFS(U_Von,"&lt;="&amp;DATE(Planungsjahr,11,AW85),U_Bis,"&gt;="&amp;DATE(Planungsjahr,11,AW85))&gt;0,"u",""))),"")</f>
      </c>
      <c r="AZ86" s="223">
        <f>IF(ISNUMBER(AZ85),IFERROR(11-1/(1/SUMPRODUCT(MAX((JP_StartSel=DATE(Planungsjahr,11,AZ85))*Anzeige_S*((JP_Anzeige=TRUE)+NOT(Filter_Aktiv)&gt;0)*(11-JP_Farbe)))),IF(COUNTIF(Feiertage,DATE(Planungsjahr,11,AZ85))&gt;0,"h",IF(COUNTIFS(U_Von,"&lt;="&amp;DATE(Planungsjahr,11,AZ85),U_Bis,"&gt;="&amp;DATE(Planungsjahr,11,AZ85))&gt;0,"u",""))),"")</f>
      </c>
      <c r="BA86" s="224">
        <f>IF(ISNUMBER(AZ85),IFERROR(21-1/(1/SUMPRODUCT(MAX((JP_StartInhalt=DATE(Planungsjahr,11,AZ85))*Anzeige_I*((JP_Anzeige=TRUE)+NOT(Filter_Aktiv)&gt;0)*(11-JP_Farbe)))),IF(COUNTIF(Feiertage,DATE(Planungsjahr,11,AZ85))&gt;0,"h",IF(COUNTIFS(U_Von,"&lt;="&amp;DATE(Planungsjahr,11,AZ85),U_Bis,"&gt;="&amp;DATE(Planungsjahr,11,AZ85))&gt;0,"u",""))),"")</f>
      </c>
      <c r="BB86" s="225">
        <f>IF(ISNUMBER(AZ85),IFERROR(31-1/(1/SUMPRODUCT(MAX((JP_PAL=DATE(Planungsjahr,11,AZ85))*Anzeige_P*((JP_Anzeige=TRUE)+NOT(Filter_Aktiv)&gt;0)*(11-JP_Farbe)))),IF(COUNTIF(Feiertage,DATE(Planungsjahr,11,AZ85))&gt;0,"h",IF(COUNTIFS(U_Von,"&lt;="&amp;DATE(Planungsjahr,11,AZ85),U_Bis,"&gt;="&amp;DATE(Planungsjahr,11,AZ85))&gt;0,"u",""))),"")</f>
      </c>
      <c r="BC86" s="223">
        <f>IF(ISNUMBER(BC85),IFERROR(11-1/(1/SUMPRODUCT(MAX((JP_StartSel=DATE(Planungsjahr,11,BC85))*Anzeige_S*((JP_Anzeige=TRUE)+NOT(Filter_Aktiv)&gt;0)*(11-JP_Farbe)))),IF(COUNTIF(Feiertage,DATE(Planungsjahr,11,BC85))&gt;0,"h",IF(COUNTIFS(U_Von,"&lt;="&amp;DATE(Planungsjahr,11,BC85),U_Bis,"&gt;="&amp;DATE(Planungsjahr,11,BC85))&gt;0,"u",""))),"")</f>
      </c>
      <c r="BD86" s="224">
        <f>IF(ISNUMBER(BC85),IFERROR(21-1/(1/SUMPRODUCT(MAX((JP_StartInhalt=DATE(Planungsjahr,11,BC85))*Anzeige_I*((JP_Anzeige=TRUE)+NOT(Filter_Aktiv)&gt;0)*(11-JP_Farbe)))),IF(COUNTIF(Feiertage,DATE(Planungsjahr,11,BC85))&gt;0,"h",IF(COUNTIFS(U_Von,"&lt;="&amp;DATE(Planungsjahr,11,BC85),U_Bis,"&gt;="&amp;DATE(Planungsjahr,11,BC85))&gt;0,"u",""))),"")</f>
      </c>
      <c r="BE86" s="225">
        <f>IF(ISNUMBER(BC85),IFERROR(31-1/(1/SUMPRODUCT(MAX((JP_PAL=DATE(Planungsjahr,11,BC85))*Anzeige_P*((JP_Anzeige=TRUE)+NOT(Filter_Aktiv)&gt;0)*(11-JP_Farbe)))),IF(COUNTIF(Feiertage,DATE(Planungsjahr,11,BC85))&gt;0,"h",IF(COUNTIFS(U_Von,"&lt;="&amp;DATE(Planungsjahr,11,BC85),U_Bis,"&gt;="&amp;DATE(Planungsjahr,11,BC85))&gt;0,"u",""))),"")</f>
      </c>
      <c r="BF86" s="223">
        <f>IF(ISNUMBER(BF85),IFERROR(11-1/(1/SUMPRODUCT(MAX((JP_StartSel=DATE(Planungsjahr,11,BF85))*Anzeige_S*((JP_Anzeige=TRUE)+NOT(Filter_Aktiv)&gt;0)*(11-JP_Farbe)))),IF(COUNTIF(Feiertage,DATE(Planungsjahr,11,BF85))&gt;0,"h",IF(COUNTIFS(U_Von,"&lt;="&amp;DATE(Planungsjahr,11,BF85),U_Bis,"&gt;="&amp;DATE(Planungsjahr,11,BF85))&gt;0,"u",""))),"")</f>
      </c>
      <c r="BG86" s="224">
        <f>IF(ISNUMBER(BF85),IFERROR(21-1/(1/SUMPRODUCT(MAX((JP_StartInhalt=DATE(Planungsjahr,11,BF85))*Anzeige_I*((JP_Anzeige=TRUE)+NOT(Filter_Aktiv)&gt;0)*(11-JP_Farbe)))),IF(COUNTIF(Feiertage,DATE(Planungsjahr,11,BF85))&gt;0,"h",IF(COUNTIFS(U_Von,"&lt;="&amp;DATE(Planungsjahr,11,BF85),U_Bis,"&gt;="&amp;DATE(Planungsjahr,11,BF85))&gt;0,"u",""))),"")</f>
      </c>
      <c r="BH86" s="225">
        <f>IF(ISNUMBER(BF85),IFERROR(31-1/(1/SUMPRODUCT(MAX((JP_PAL=DATE(Planungsjahr,11,BF85))*Anzeige_P*((JP_Anzeige=TRUE)+NOT(Filter_Aktiv)&gt;0)*(11-JP_Farbe)))),IF(COUNTIF(Feiertage,DATE(Planungsjahr,11,BF85))&gt;0,"h",IF(COUNTIFS(U_Von,"&lt;="&amp;DATE(Planungsjahr,11,BF85),U_Bis,"&gt;="&amp;DATE(Planungsjahr,11,BF85))&gt;0,"u",""))),"")</f>
      </c>
      <c r="BI86" s="223">
        <f>IF(ISNUMBER(BI85),IFERROR(11-1/(1/SUMPRODUCT(MAX((JP_StartSel=DATE(Planungsjahr,11,BI85))*Anzeige_S*((JP_Anzeige=TRUE)+NOT(Filter_Aktiv)&gt;0)*(11-JP_Farbe)))),IF(COUNTIF(Feiertage,DATE(Planungsjahr,11,BI85))&gt;0,"h",IF(COUNTIFS(U_Von,"&lt;="&amp;DATE(Planungsjahr,11,BI85),U_Bis,"&gt;="&amp;DATE(Planungsjahr,11,BI85))&gt;0,"u",""))),"")</f>
      </c>
      <c r="BJ86" s="224">
        <f>IF(ISNUMBER(BI85),IFERROR(21-1/(1/SUMPRODUCT(MAX((JP_StartInhalt=DATE(Planungsjahr,11,BI85))*Anzeige_I*((JP_Anzeige=TRUE)+NOT(Filter_Aktiv)&gt;0)*(11-JP_Farbe)))),IF(COUNTIF(Feiertage,DATE(Planungsjahr,11,BI85))&gt;0,"h",IF(COUNTIFS(U_Von,"&lt;="&amp;DATE(Planungsjahr,11,BI85),U_Bis,"&gt;="&amp;DATE(Planungsjahr,11,BI85))&gt;0,"u",""))),"")</f>
      </c>
      <c r="BK86" s="225">
        <f>IF(ISNUMBER(BI85),IFERROR(31-1/(1/SUMPRODUCT(MAX((JP_PAL=DATE(Planungsjahr,11,BI85))*Anzeige_P*((JP_Anzeige=TRUE)+NOT(Filter_Aktiv)&gt;0)*(11-JP_Farbe)))),IF(COUNTIF(Feiertage,DATE(Planungsjahr,11,BI85))&gt;0,"h",IF(COUNTIFS(U_Von,"&lt;="&amp;DATE(Planungsjahr,11,BI85),U_Bis,"&gt;="&amp;DATE(Planungsjahr,11,BI85))&gt;0,"u",""))),"")</f>
      </c>
      <c r="BL86" s="223">
        <f>IF(ISNUMBER(BL85),IFERROR(11-1/(1/SUMPRODUCT(MAX((JP_StartSel=DATE(Planungsjahr,11,BL85))*Anzeige_S*((JP_Anzeige=TRUE)+NOT(Filter_Aktiv)&gt;0)*(11-JP_Farbe)))),IF(COUNTIF(Feiertage,DATE(Planungsjahr,11,BL85))&gt;0,"h","w")),"")</f>
      </c>
      <c r="BM86" s="224">
        <f>IF(ISNUMBER(BL85),IFERROR(21-1/(1/SUMPRODUCT(MAX((JP_StartInhalt=DATE(Planungsjahr,11,BL85))*Anzeige_I*((JP_Anzeige=TRUE)+NOT(Filter_Aktiv)&gt;0)*(11-JP_Farbe)))),IF(COUNTIF(Feiertage,DATE(Planungsjahr,11,BL85))&gt;0,"h","w")),"")</f>
      </c>
      <c r="BN86" s="225">
        <f>IF(ISNUMBER(BL85),IFERROR(31-1/(1/SUMPRODUCT(MAX((JP_PAL=DATE(Planungsjahr,11,BL85))*Anzeige_P*((JP_Anzeige=TRUE)+NOT(Filter_Aktiv)&gt;0)*(11-JP_Farbe)))),IF(COUNTIF(Feiertage,DATE(Planungsjahr,11,BL85))&gt;0,"h","w")),"")</f>
      </c>
      <c r="BO86" s="223">
        <f>IF(ISNUMBER(BO85),IFERROR(11-1/(1/SUMPRODUCT(MAX((JP_StartSel=DATE(Planungsjahr,11,BO85))*Anzeige_S*((JP_Anzeige=TRUE)+NOT(Filter_Aktiv)&gt;0)*(11-JP_Farbe)))),IF(COUNTIF(Feiertage,DATE(Planungsjahr,11,BO85))&gt;0,"h","w")),"")</f>
      </c>
      <c r="BP86" s="224">
        <f>IF(ISNUMBER(BO85),IFERROR(21-1/(1/SUMPRODUCT(MAX((JP_StartInhalt=DATE(Planungsjahr,11,BO85))*Anzeige_I*((JP_Anzeige=TRUE)+NOT(Filter_Aktiv)&gt;0)*(11-JP_Farbe)))),IF(COUNTIF(Feiertage,DATE(Planungsjahr,11,BO85))&gt;0,"h","w")),"")</f>
      </c>
      <c r="BQ86" s="225">
        <f>IF(ISNUMBER(BO85),IFERROR(31-1/(1/SUMPRODUCT(MAX((JP_PAL=DATE(Planungsjahr,11,BO85))*Anzeige_P*((JP_Anzeige=TRUE)+NOT(Filter_Aktiv)&gt;0)*(11-JP_Farbe)))),IF(COUNTIF(Feiertage,DATE(Planungsjahr,11,BO85))&gt;0,"h","w")),"")</f>
      </c>
      <c r="BS86" s="179"/>
      <c r="BT86" s="223">
        <f>IF(ISNUMBER(BT85),IFERROR(11-1/(1/SUMPRODUCT(MAX((JP_StartSel=DATE(Planungsjahr,12,BT85))*Anzeige_S*((JP_Anzeige=TRUE)+NOT(Filter_Aktiv)&gt;0)*(11-JP_Farbe)))),IF(COUNTIF(Feiertage,DATE(Planungsjahr,12,BT85))&gt;0,"h",IF(COUNTIFS(U_Von,"&lt;="&amp;DATE(Planungsjahr,12,BT85),U_Bis,"&gt;="&amp;DATE(Planungsjahr,12,BT85))&gt;0,"u",""))),"")</f>
      </c>
      <c r="BU86" s="224">
        <f>IF(ISNUMBER(BT85),IFERROR(21-1/(1/SUMPRODUCT(MAX((JP_StartInhalt=DATE(Planungsjahr,12,BT85))*Anzeige_I*((JP_Anzeige=TRUE)+NOT(Filter_Aktiv)&gt;0)*(11-JP_Farbe)))),IF(COUNTIF(Feiertage,DATE(Planungsjahr,12,BT85))&gt;0,"h",IF(COUNTIFS(U_Von,"&lt;="&amp;DATE(Planungsjahr,12,BT85),U_Bis,"&gt;="&amp;DATE(Planungsjahr,12,BT85))&gt;0,"u",""))),"")</f>
      </c>
      <c r="BV86" s="225">
        <f>IF(ISNUMBER(BT85),IFERROR(31-1/(1/SUMPRODUCT(MAX((JP_PAL=DATE(Planungsjahr,12,BT85))*Anzeige_P*((JP_Anzeige=TRUE)+NOT(Filter_Aktiv)&gt;0)*(11-JP_Farbe)))),IF(COUNTIF(Feiertage,DATE(Planungsjahr,12,BT85))&gt;0,"h",IF(COUNTIFS(U_Von,"&lt;="&amp;DATE(Planungsjahr,12,BT85),U_Bis,"&gt;="&amp;DATE(Planungsjahr,12,BT85))&gt;0,"u",""))),"")</f>
      </c>
      <c r="BW86" s="223">
        <f>IF(ISNUMBER(BW85),IFERROR(11-1/(1/SUMPRODUCT(MAX((JP_StartSel=DATE(Planungsjahr,12,BW85))*Anzeige_S*((JP_Anzeige=TRUE)+NOT(Filter_Aktiv)&gt;0)*(11-JP_Farbe)))),IF(COUNTIF(Feiertage,DATE(Planungsjahr,12,BW85))&gt;0,"h",IF(COUNTIFS(U_Von,"&lt;="&amp;DATE(Planungsjahr,12,BW85),U_Bis,"&gt;="&amp;DATE(Planungsjahr,12,BW85))&gt;0,"u",""))),"")</f>
      </c>
      <c r="BX86" s="224">
        <f>IF(ISNUMBER(BW85),IFERROR(21-1/(1/SUMPRODUCT(MAX((JP_StartInhalt=DATE(Planungsjahr,12,BW85))*Anzeige_I*((JP_Anzeige=TRUE)+NOT(Filter_Aktiv)&gt;0)*(11-JP_Farbe)))),IF(COUNTIF(Feiertage,DATE(Planungsjahr,12,BW85))&gt;0,"h",IF(COUNTIFS(U_Von,"&lt;="&amp;DATE(Planungsjahr,12,BW85),U_Bis,"&gt;="&amp;DATE(Planungsjahr,12,BW85))&gt;0,"u",""))),"")</f>
      </c>
      <c r="BY86" s="225">
        <f>IF(ISNUMBER(BW85),IFERROR(31-1/(1/SUMPRODUCT(MAX((JP_PAL=DATE(Planungsjahr,12,BW85))*Anzeige_P*((JP_Anzeige=TRUE)+NOT(Filter_Aktiv)&gt;0)*(11-JP_Farbe)))),IF(COUNTIF(Feiertage,DATE(Planungsjahr,12,BW85))&gt;0,"h",IF(COUNTIFS(U_Von,"&lt;="&amp;DATE(Planungsjahr,12,BW85),U_Bis,"&gt;="&amp;DATE(Planungsjahr,12,BW85))&gt;0,"u",""))),"")</f>
      </c>
      <c r="BZ86" s="223">
        <f>IF(ISNUMBER(BZ85),IFERROR(11-1/(1/SUMPRODUCT(MAX((JP_StartSel=DATE(Planungsjahr,12,BZ85))*Anzeige_S*((JP_Anzeige=TRUE)+NOT(Filter_Aktiv)&gt;0)*(11-JP_Farbe)))),IF(COUNTIF(Feiertage,DATE(Planungsjahr,12,BZ85))&gt;0,"h",IF(COUNTIFS(U_Von,"&lt;="&amp;DATE(Planungsjahr,12,BZ85),U_Bis,"&gt;="&amp;DATE(Planungsjahr,12,BZ85))&gt;0,"u",""))),"")</f>
      </c>
      <c r="CA86" s="224">
        <f>IF(ISNUMBER(BZ85),IFERROR(21-1/(1/SUMPRODUCT(MAX((JP_StartInhalt=DATE(Planungsjahr,12,BZ85))*Anzeige_I*((JP_Anzeige=TRUE)+NOT(Filter_Aktiv)&gt;0)*(11-JP_Farbe)))),IF(COUNTIF(Feiertage,DATE(Planungsjahr,12,BZ85))&gt;0,"h",IF(COUNTIFS(U_Von,"&lt;="&amp;DATE(Planungsjahr,12,BZ85),U_Bis,"&gt;="&amp;DATE(Planungsjahr,12,BZ85))&gt;0,"u",""))),"")</f>
      </c>
      <c r="CB86" s="225">
        <f>IF(ISNUMBER(BZ85),IFERROR(31-1/(1/SUMPRODUCT(MAX((JP_PAL=DATE(Planungsjahr,12,BZ85))*Anzeige_P*((JP_Anzeige=TRUE)+NOT(Filter_Aktiv)&gt;0)*(11-JP_Farbe)))),IF(COUNTIF(Feiertage,DATE(Planungsjahr,12,BZ85))&gt;0,"h",IF(COUNTIFS(U_Von,"&lt;="&amp;DATE(Planungsjahr,12,BZ85),U_Bis,"&gt;="&amp;DATE(Planungsjahr,12,BZ85))&gt;0,"u",""))),"")</f>
      </c>
      <c r="CC86" s="223">
        <f>IF(ISNUMBER(CC85),IFERROR(11-1/(1/SUMPRODUCT(MAX((JP_StartSel=DATE(Planungsjahr,12,CC85))*Anzeige_S*((JP_Anzeige=TRUE)+NOT(Filter_Aktiv)&gt;0)*(11-JP_Farbe)))),IF(COUNTIF(Feiertage,DATE(Planungsjahr,12,CC85))&gt;0,"h",IF(COUNTIFS(U_Von,"&lt;="&amp;DATE(Planungsjahr,12,CC85),U_Bis,"&gt;="&amp;DATE(Planungsjahr,12,CC85))&gt;0,"u",""))),"")</f>
      </c>
      <c r="CD86" s="224">
        <f>IF(ISNUMBER(CC85),IFERROR(21-1/(1/SUMPRODUCT(MAX((JP_StartInhalt=DATE(Planungsjahr,12,CC85))*Anzeige_I*((JP_Anzeige=TRUE)+NOT(Filter_Aktiv)&gt;0)*(11-JP_Farbe)))),IF(COUNTIF(Feiertage,DATE(Planungsjahr,12,CC85))&gt;0,"h",IF(COUNTIFS(U_Von,"&lt;="&amp;DATE(Planungsjahr,12,CC85),U_Bis,"&gt;="&amp;DATE(Planungsjahr,12,CC85))&gt;0,"u",""))),"")</f>
      </c>
      <c r="CE86" s="225">
        <f>IF(ISNUMBER(CC85),IFERROR(31-1/(1/SUMPRODUCT(MAX((JP_PAL=DATE(Planungsjahr,12,CC85))*Anzeige_P*((JP_Anzeige=TRUE)+NOT(Filter_Aktiv)&gt;0)*(11-JP_Farbe)))),IF(COUNTIF(Feiertage,DATE(Planungsjahr,12,CC85))&gt;0,"h",IF(COUNTIFS(U_Von,"&lt;="&amp;DATE(Planungsjahr,12,CC85),U_Bis,"&gt;="&amp;DATE(Planungsjahr,12,CC85))&gt;0,"u",""))),"")</f>
      </c>
      <c r="CF86" s="223">
        <f>IF(ISNUMBER(CF85),IFERROR(11-1/(1/SUMPRODUCT(MAX((JP_StartSel=DATE(Planungsjahr,12,CF85))*Anzeige_S*((JP_Anzeige=TRUE)+NOT(Filter_Aktiv)&gt;0)*(11-JP_Farbe)))),IF(COUNTIF(Feiertage,DATE(Planungsjahr,12,CF85))&gt;0,"h",IF(COUNTIFS(U_Von,"&lt;="&amp;DATE(Planungsjahr,12,CF85),U_Bis,"&gt;="&amp;DATE(Planungsjahr,12,CF85))&gt;0,"u",""))),"")</f>
      </c>
      <c r="CG86" s="224">
        <f>IF(ISNUMBER(CF85),IFERROR(21-1/(1/SUMPRODUCT(MAX((JP_StartInhalt=DATE(Planungsjahr,12,CF85))*Anzeige_I*((JP_Anzeige=TRUE)+NOT(Filter_Aktiv)&gt;0)*(11-JP_Farbe)))),IF(COUNTIF(Feiertage,DATE(Planungsjahr,12,CF85))&gt;0,"h",IF(COUNTIFS(U_Von,"&lt;="&amp;DATE(Planungsjahr,12,CF85),U_Bis,"&gt;="&amp;DATE(Planungsjahr,12,CF85))&gt;0,"u",""))),"")</f>
      </c>
      <c r="CH86" s="225">
        <f>IF(ISNUMBER(CF85),IFERROR(31-1/(1/SUMPRODUCT(MAX((JP_PAL=DATE(Planungsjahr,12,CF85))*Anzeige_P*((JP_Anzeige=TRUE)+NOT(Filter_Aktiv)&gt;0)*(11-JP_Farbe)))),IF(COUNTIF(Feiertage,DATE(Planungsjahr,12,CF85))&gt;0,"h",IF(COUNTIFS(U_Von,"&lt;="&amp;DATE(Planungsjahr,12,CF85),U_Bis,"&gt;="&amp;DATE(Planungsjahr,12,CF85))&gt;0,"u",""))),"")</f>
      </c>
      <c r="CI86" s="223">
        <f>IF(ISNUMBER(CI85),IFERROR(11-1/(1/SUMPRODUCT(MAX((JP_StartSel=DATE(Planungsjahr,12,CI85))*Anzeige_S*((JP_Anzeige=TRUE)+NOT(Filter_Aktiv)&gt;0)*(11-JP_Farbe)))),IF(COUNTIF(Feiertage,DATE(Planungsjahr,12,CI85))&gt;0,"h","w")),"")</f>
      </c>
      <c r="CJ86" s="224">
        <f>IF(ISNUMBER(CI85),IFERROR(21-1/(1/SUMPRODUCT(MAX((JP_StartInhalt=DATE(Planungsjahr,12,CI85))*Anzeige_I*((JP_Anzeige=TRUE)+NOT(Filter_Aktiv)&gt;0)*(11-JP_Farbe)))),IF(COUNTIF(Feiertage,DATE(Planungsjahr,12,CI85))&gt;0,"h","w")),"")</f>
      </c>
      <c r="CK86" s="225">
        <f>IF(ISNUMBER(CI85),IFERROR(31-1/(1/SUMPRODUCT(MAX((JP_PAL=DATE(Planungsjahr,12,CI85))*Anzeige_P*((JP_Anzeige=TRUE)+NOT(Filter_Aktiv)&gt;0)*(11-JP_Farbe)))),IF(COUNTIF(Feiertage,DATE(Planungsjahr,12,CI85))&gt;0,"h","w")),"")</f>
      </c>
      <c r="CL86" s="223">
        <f>IF(ISNUMBER(CL85),IFERROR(11-1/(1/SUMPRODUCT(MAX((JP_StartSel=DATE(Planungsjahr,12,CL85))*Anzeige_S*((JP_Anzeige=TRUE)+NOT(Filter_Aktiv)&gt;0)*(11-JP_Farbe)))),IF(COUNTIF(Feiertage,DATE(Planungsjahr,12,CL85))&gt;0,"h","w")),"")</f>
      </c>
      <c r="CM86" s="224">
        <f>IF(ISNUMBER(CL85),IFERROR(21-1/(1/SUMPRODUCT(MAX((JP_StartInhalt=DATE(Planungsjahr,12,CL85))*Anzeige_I*((JP_Anzeige=TRUE)+NOT(Filter_Aktiv)&gt;0)*(11-JP_Farbe)))),IF(COUNTIF(Feiertage,DATE(Planungsjahr,12,CL85))&gt;0,"h","w")),"")</f>
      </c>
      <c r="CN86" s="225">
        <f>IF(ISNUMBER(CL85),IFERROR(31-1/(1/SUMPRODUCT(MAX((JP_PAL=DATE(Planungsjahr,12,CL85))*Anzeige_P*((JP_Anzeige=TRUE)+NOT(Filter_Aktiv)&gt;0)*(11-JP_Farbe)))),IF(COUNTIF(Feiertage,DATE(Planungsjahr,12,CL85))&gt;0,"h","w")),"")</f>
      </c>
    </row>
    <row r="87" spans="2:92" ht="15.95" customHeight="1" x14ac:dyDescent="0.25">
      <c r="B87" s="177">
        <f>IF(OR(ISNUMBER(C87),ISNUMBER(U87)),_xlfn.ISOWEEKNUM(DATE(Planungsjahr,9,1)-WEEKDAY(DATE(Planungsjahr,9,1),2)+22),"")</f>
        <v>38</v>
      </c>
      <c r="C87" s="188">
        <f>IF(MONTH(DATE(Planungsjahr,9,1)-WEEKDAY(DATE(Planungsjahr,9,1),2)+22)=9,DAY(DATE(Planungsjahr,9,1)-WEEKDAY(DATE(Planungsjahr,9,1),2)+22),"")</f>
        <v>20</v>
      </c>
      <c r="D87" s="188"/>
      <c r="E87" s="188"/>
      <c r="F87" s="188">
        <f>IF(MONTH(DATE(Planungsjahr,9,1)-WEEKDAY(DATE(Planungsjahr,9,1),2)+23)=9,DAY(DATE(Planungsjahr,9,1)-WEEKDAY(DATE(Planungsjahr,9,1),2)+23),"")</f>
        <v>21</v>
      </c>
      <c r="G87" s="188"/>
      <c r="H87" s="188"/>
      <c r="I87" s="188">
        <f>IF(MONTH(DATE(Planungsjahr,9,1)-WEEKDAY(DATE(Planungsjahr,9,1),2)+24)=9,DAY(DATE(Planungsjahr,9,1)-WEEKDAY(DATE(Planungsjahr,9,1),2)+24),"")</f>
        <v>22</v>
      </c>
      <c r="J87" s="188"/>
      <c r="K87" s="188"/>
      <c r="L87" s="188">
        <f>IF(MONTH(DATE(Planungsjahr,9,1)-WEEKDAY(DATE(Planungsjahr,9,1),2)+25)=9,DAY(DATE(Planungsjahr,9,1)-WEEKDAY(DATE(Planungsjahr,9,1),2)+25),"")</f>
        <v>23</v>
      </c>
      <c r="M87" s="188"/>
      <c r="N87" s="188"/>
      <c r="O87" s="188">
        <f>IF(MONTH(DATE(Planungsjahr,9,1)-WEEKDAY(DATE(Planungsjahr,9,1),2)+26)=9,DAY(DATE(Planungsjahr,9,1)-WEEKDAY(DATE(Planungsjahr,9,1),2)+26),"")</f>
        <v>24</v>
      </c>
      <c r="P87" s="188"/>
      <c r="Q87" s="188"/>
      <c r="R87" s="188">
        <f>IF(MONTH(DATE(Planungsjahr,9,1)-WEEKDAY(DATE(Planungsjahr,9,1),2)+27)=9,DAY(DATE(Planungsjahr,9,1)-WEEKDAY(DATE(Planungsjahr,9,1),2)+27),"")</f>
        <v>25</v>
      </c>
      <c r="S87" s="188"/>
      <c r="T87" s="188"/>
      <c r="U87" s="188">
        <f>IF(MONTH(DATE(Planungsjahr,9,1)-WEEKDAY(DATE(Planungsjahr,9,1),2)+28)=9,DAY(DATE(Planungsjahr,9,1)-WEEKDAY(DATE(Planungsjahr,9,1),2)+28),"")</f>
        <v>26</v>
      </c>
      <c r="V87" s="188"/>
      <c r="W87" s="190"/>
      <c r="Y87" s="177">
        <f>IF(OR(ISNUMBER(Z87),ISNUMBER(AR87)),_xlfn.ISOWEEKNUM(DATE(Planungsjahr,10,1)-WEEKDAY(DATE(Planungsjahr,10,1),2)+22),"")</f>
        <v>42</v>
      </c>
      <c r="Z87" s="188">
        <f>IF(MONTH(DATE(Planungsjahr,10,1)-WEEKDAY(DATE(Planungsjahr,10,1),2)+22)=10,DAY(DATE(Planungsjahr,10,1)-WEEKDAY(DATE(Planungsjahr,10,1),2)+22),"")</f>
        <v>18</v>
      </c>
      <c r="AA87" s="188"/>
      <c r="AB87" s="188"/>
      <c r="AC87" s="188">
        <f>IF(MONTH(DATE(Planungsjahr,10,1)-WEEKDAY(DATE(Planungsjahr,10,1),2)+23)=10,DAY(DATE(Planungsjahr,10,1)-WEEKDAY(DATE(Planungsjahr,10,1),2)+23),"")</f>
        <v>19</v>
      </c>
      <c r="AD87" s="188"/>
      <c r="AE87" s="188"/>
      <c r="AF87" s="188">
        <f>IF(MONTH(DATE(Planungsjahr,10,1)-WEEKDAY(DATE(Planungsjahr,10,1),2)+24)=10,DAY(DATE(Planungsjahr,10,1)-WEEKDAY(DATE(Planungsjahr,10,1),2)+24),"")</f>
        <v>20</v>
      </c>
      <c r="AG87" s="188"/>
      <c r="AH87" s="188"/>
      <c r="AI87" s="188">
        <f>IF(MONTH(DATE(Planungsjahr,10,1)-WEEKDAY(DATE(Planungsjahr,10,1),2)+25)=10,DAY(DATE(Planungsjahr,10,1)-WEEKDAY(DATE(Planungsjahr,10,1),2)+25),"")</f>
        <v>21</v>
      </c>
      <c r="AJ87" s="188"/>
      <c r="AK87" s="188"/>
      <c r="AL87" s="188">
        <f>IF(MONTH(DATE(Planungsjahr,10,1)-WEEKDAY(DATE(Planungsjahr,10,1),2)+26)=10,DAY(DATE(Planungsjahr,10,1)-WEEKDAY(DATE(Planungsjahr,10,1),2)+26),"")</f>
        <v>22</v>
      </c>
      <c r="AM87" s="188"/>
      <c r="AN87" s="188"/>
      <c r="AO87" s="188">
        <f>IF(MONTH(DATE(Planungsjahr,10,1)-WEEKDAY(DATE(Planungsjahr,10,1),2)+27)=10,DAY(DATE(Planungsjahr,10,1)-WEEKDAY(DATE(Planungsjahr,10,1),2)+27),"")</f>
        <v>23</v>
      </c>
      <c r="AP87" s="188"/>
      <c r="AQ87" s="188"/>
      <c r="AR87" s="188">
        <f>IF(MONTH(DATE(Planungsjahr,10,1)-WEEKDAY(DATE(Planungsjahr,10,1),2)+28)=10,DAY(DATE(Planungsjahr,10,1)-WEEKDAY(DATE(Planungsjahr,10,1),2)+28),"")</f>
        <v>24</v>
      </c>
      <c r="AS87" s="188"/>
      <c r="AT87" s="190"/>
      <c r="AV87" s="177">
        <f>IF(OR(ISNUMBER(AW87),ISNUMBER(BO87)),_xlfn.ISOWEEKNUM(DATE(Planungsjahr,11,1)-WEEKDAY(DATE(Planungsjahr,11,1),2)+22),"")</f>
        <v>47</v>
      </c>
      <c r="AW87" s="188">
        <f>IF(MONTH(DATE(Planungsjahr,11,1)-WEEKDAY(DATE(Planungsjahr,11,1),2)+22)=11,DAY(DATE(Planungsjahr,11,1)-WEEKDAY(DATE(Planungsjahr,11,1),2)+22),"")</f>
        <v>22</v>
      </c>
      <c r="AX87" s="188"/>
      <c r="AY87" s="188"/>
      <c r="AZ87" s="188">
        <f>IF(MONTH(DATE(Planungsjahr,11,1)-WEEKDAY(DATE(Planungsjahr,11,1),2)+23)=11,DAY(DATE(Planungsjahr,11,1)-WEEKDAY(DATE(Planungsjahr,11,1),2)+23),"")</f>
        <v>23</v>
      </c>
      <c r="BA87" s="188"/>
      <c r="BB87" s="188"/>
      <c r="BC87" s="188">
        <f>IF(MONTH(DATE(Planungsjahr,11,1)-WEEKDAY(DATE(Planungsjahr,11,1),2)+24)=11,DAY(DATE(Planungsjahr,11,1)-WEEKDAY(DATE(Planungsjahr,11,1),2)+24),"")</f>
        <v>24</v>
      </c>
      <c r="BD87" s="188"/>
      <c r="BE87" s="188"/>
      <c r="BF87" s="188">
        <f>IF(MONTH(DATE(Planungsjahr,11,1)-WEEKDAY(DATE(Planungsjahr,11,1),2)+25)=11,DAY(DATE(Planungsjahr,11,1)-WEEKDAY(DATE(Planungsjahr,11,1),2)+25),"")</f>
        <v>25</v>
      </c>
      <c r="BG87" s="188"/>
      <c r="BH87" s="188"/>
      <c r="BI87" s="188">
        <f>IF(MONTH(DATE(Planungsjahr,11,1)-WEEKDAY(DATE(Planungsjahr,11,1),2)+26)=11,DAY(DATE(Planungsjahr,11,1)-WEEKDAY(DATE(Planungsjahr,11,1),2)+26),"")</f>
        <v>26</v>
      </c>
      <c r="BJ87" s="188"/>
      <c r="BK87" s="188"/>
      <c r="BL87" s="188">
        <f>IF(MONTH(DATE(Planungsjahr,11,1)-WEEKDAY(DATE(Planungsjahr,11,1),2)+27)=11,DAY(DATE(Planungsjahr,11,1)-WEEKDAY(DATE(Planungsjahr,11,1),2)+27),"")</f>
        <v>27</v>
      </c>
      <c r="BM87" s="188"/>
      <c r="BN87" s="188"/>
      <c r="BO87" s="188">
        <f>IF(MONTH(DATE(Planungsjahr,11,1)-WEEKDAY(DATE(Planungsjahr,11,1),2)+28)=11,DAY(DATE(Planungsjahr,11,1)-WEEKDAY(DATE(Planungsjahr,11,1),2)+28),"")</f>
        <v>28</v>
      </c>
      <c r="BP87" s="188"/>
      <c r="BQ87" s="190"/>
      <c r="BS87" s="177">
        <f>IF(OR(ISNUMBER(BT87),ISNUMBER(CL87)),_xlfn.ISOWEEKNUM(DATE(Planungsjahr,12,1)-WEEKDAY(DATE(Planungsjahr,12,1),2)+22),"")</f>
        <v>51</v>
      </c>
      <c r="BT87" s="188">
        <f>IF(MONTH(DATE(Planungsjahr,12,1)-WEEKDAY(DATE(Planungsjahr,12,1),2)+22)=12,DAY(DATE(Planungsjahr,12,1)-WEEKDAY(DATE(Planungsjahr,12,1),2)+22),"")</f>
        <v>20</v>
      </c>
      <c r="BU87" s="188"/>
      <c r="BV87" s="188"/>
      <c r="BW87" s="188">
        <f>IF(MONTH(DATE(Planungsjahr,12,1)-WEEKDAY(DATE(Planungsjahr,12,1),2)+23)=12,DAY(DATE(Planungsjahr,12,1)-WEEKDAY(DATE(Planungsjahr,12,1),2)+23),"")</f>
        <v>21</v>
      </c>
      <c r="BX87" s="188"/>
      <c r="BY87" s="188"/>
      <c r="BZ87" s="188">
        <f>IF(MONTH(DATE(Planungsjahr,12,1)-WEEKDAY(DATE(Planungsjahr,12,1),2)+24)=12,DAY(DATE(Planungsjahr,12,1)-WEEKDAY(DATE(Planungsjahr,12,1),2)+24),"")</f>
        <v>22</v>
      </c>
      <c r="CA87" s="188"/>
      <c r="CB87" s="188"/>
      <c r="CC87" s="188">
        <f>IF(MONTH(DATE(Planungsjahr,12,1)-WEEKDAY(DATE(Planungsjahr,12,1),2)+25)=12,DAY(DATE(Planungsjahr,12,1)-WEEKDAY(DATE(Planungsjahr,12,1),2)+25),"")</f>
        <v>23</v>
      </c>
      <c r="CD87" s="188"/>
      <c r="CE87" s="188"/>
      <c r="CF87" s="188">
        <f>IF(MONTH(DATE(Planungsjahr,12,1)-WEEKDAY(DATE(Planungsjahr,12,1),2)+26)=12,DAY(DATE(Planungsjahr,12,1)-WEEKDAY(DATE(Planungsjahr,12,1),2)+26),"")</f>
        <v>24</v>
      </c>
      <c r="CG87" s="188"/>
      <c r="CH87" s="188"/>
      <c r="CI87" s="188">
        <f>IF(MONTH(DATE(Planungsjahr,12,1)-WEEKDAY(DATE(Planungsjahr,12,1),2)+27)=12,DAY(DATE(Planungsjahr,12,1)-WEEKDAY(DATE(Planungsjahr,12,1),2)+27),"")</f>
        <v>25</v>
      </c>
      <c r="CJ87" s="188"/>
      <c r="CK87" s="188"/>
      <c r="CL87" s="188">
        <f>IF(MONTH(DATE(Planungsjahr,12,1)-WEEKDAY(DATE(Planungsjahr,12,1),2)+28)=12,DAY(DATE(Planungsjahr,12,1)-WEEKDAY(DATE(Planungsjahr,12,1),2)+28),"")</f>
        <v>26</v>
      </c>
      <c r="CM87" s="188"/>
      <c r="CN87" s="190"/>
    </row>
    <row r="88" spans="2:92" ht="10.5" customHeight="1" x14ac:dyDescent="0.25">
      <c r="B88" s="179"/>
      <c r="C88" s="223">
        <f>IF(ISNUMBER(C87),IFERROR(11-1/(1/SUMPRODUCT(MAX((JP_StartSel=DATE(Planungsjahr,9,C87))*Anzeige_S*((JP_Anzeige=TRUE)+NOT(Filter_Aktiv)&gt;0)*(11-JP_Farbe)))),IF(COUNTIF(Feiertage,DATE(Planungsjahr,9,C87))&gt;0,"h",IF(COUNTIFS(U_Von,"&lt;="&amp;DATE(Planungsjahr,9,C87),U_Bis,"&gt;="&amp;DATE(Planungsjahr,9,C87))&gt;0,"u",""))),"")</f>
      </c>
      <c r="D88" s="224">
        <f>IF(ISNUMBER(C87),IFERROR(21-1/(1/SUMPRODUCT(MAX((JP_StartInhalt=DATE(Planungsjahr,9,C87))*Anzeige_I*((JP_Anzeige=TRUE)+NOT(Filter_Aktiv)&gt;0)*(11-JP_Farbe)))),IF(COUNTIF(Feiertage,DATE(Planungsjahr,9,C87))&gt;0,"h",IF(COUNTIFS(U_Von,"&lt;="&amp;DATE(Planungsjahr,9,C87),U_Bis,"&gt;="&amp;DATE(Planungsjahr,9,C87))&gt;0,"u",""))),"")</f>
      </c>
      <c r="E88" s="225">
        <f>IF(ISNUMBER(C87),IFERROR(31-1/(1/SUMPRODUCT(MAX((JP_PAL=DATE(Planungsjahr,9,C87))*Anzeige_P*((JP_Anzeige=TRUE)+NOT(Filter_Aktiv)&gt;0)*(11-JP_Farbe)))),IF(COUNTIF(Feiertage,DATE(Planungsjahr,9,C87))&gt;0,"h",IF(COUNTIFS(U_Von,"&lt;="&amp;DATE(Planungsjahr,9,C87),U_Bis,"&gt;="&amp;DATE(Planungsjahr,9,C87))&gt;0,"u",""))),"")</f>
      </c>
      <c r="F88" s="223">
        <f>IF(ISNUMBER(F87),IFERROR(11-1/(1/SUMPRODUCT(MAX((JP_StartSel=DATE(Planungsjahr,9,F87))*Anzeige_S*((JP_Anzeige=TRUE)+NOT(Filter_Aktiv)&gt;0)*(11-JP_Farbe)))),IF(COUNTIF(Feiertage,DATE(Planungsjahr,9,F87))&gt;0,"h",IF(COUNTIFS(U_Von,"&lt;="&amp;DATE(Planungsjahr,9,F87),U_Bis,"&gt;="&amp;DATE(Planungsjahr,9,F87))&gt;0,"u",""))),"")</f>
      </c>
      <c r="G88" s="224">
        <f>IF(ISNUMBER(F87),IFERROR(21-1/(1/SUMPRODUCT(MAX((JP_StartInhalt=DATE(Planungsjahr,9,F87))*Anzeige_I*((JP_Anzeige=TRUE)+NOT(Filter_Aktiv)&gt;0)*(11-JP_Farbe)))),IF(COUNTIF(Feiertage,DATE(Planungsjahr,9,F87))&gt;0,"h",IF(COUNTIFS(U_Von,"&lt;="&amp;DATE(Planungsjahr,9,F87),U_Bis,"&gt;="&amp;DATE(Planungsjahr,9,F87))&gt;0,"u",""))),"")</f>
      </c>
      <c r="H88" s="225">
        <f>IF(ISNUMBER(F87),IFERROR(31-1/(1/SUMPRODUCT(MAX((JP_PAL=DATE(Planungsjahr,9,F87))*Anzeige_P*((JP_Anzeige=TRUE)+NOT(Filter_Aktiv)&gt;0)*(11-JP_Farbe)))),IF(COUNTIF(Feiertage,DATE(Planungsjahr,9,F87))&gt;0,"h",IF(COUNTIFS(U_Von,"&lt;="&amp;DATE(Planungsjahr,9,F87),U_Bis,"&gt;="&amp;DATE(Planungsjahr,9,F87))&gt;0,"u",""))),"")</f>
      </c>
      <c r="I88" s="223">
        <f>IF(ISNUMBER(I87),IFERROR(11-1/(1/SUMPRODUCT(MAX((JP_StartSel=DATE(Planungsjahr,9,I87))*Anzeige_S*((JP_Anzeige=TRUE)+NOT(Filter_Aktiv)&gt;0)*(11-JP_Farbe)))),IF(COUNTIF(Feiertage,DATE(Planungsjahr,9,I87))&gt;0,"h",IF(COUNTIFS(U_Von,"&lt;="&amp;DATE(Planungsjahr,9,I87),U_Bis,"&gt;="&amp;DATE(Planungsjahr,9,I87))&gt;0,"u",""))),"")</f>
      </c>
      <c r="J88" s="224">
        <f>IF(ISNUMBER(I87),IFERROR(21-1/(1/SUMPRODUCT(MAX((JP_StartInhalt=DATE(Planungsjahr,9,I87))*Anzeige_I*((JP_Anzeige=TRUE)+NOT(Filter_Aktiv)&gt;0)*(11-JP_Farbe)))),IF(COUNTIF(Feiertage,DATE(Planungsjahr,9,I87))&gt;0,"h",IF(COUNTIFS(U_Von,"&lt;="&amp;DATE(Planungsjahr,9,I87),U_Bis,"&gt;="&amp;DATE(Planungsjahr,9,I87))&gt;0,"u",""))),"")</f>
      </c>
      <c r="K88" s="225">
        <f>IF(ISNUMBER(I87),IFERROR(31-1/(1/SUMPRODUCT(MAX((JP_PAL=DATE(Planungsjahr,9,I87))*Anzeige_P*((JP_Anzeige=TRUE)+NOT(Filter_Aktiv)&gt;0)*(11-JP_Farbe)))),IF(COUNTIF(Feiertage,DATE(Planungsjahr,9,I87))&gt;0,"h",IF(COUNTIFS(U_Von,"&lt;="&amp;DATE(Planungsjahr,9,I87),U_Bis,"&gt;="&amp;DATE(Planungsjahr,9,I87))&gt;0,"u",""))),"")</f>
      </c>
      <c r="L88" s="223">
        <f>IF(ISNUMBER(L87),IFERROR(11-1/(1/SUMPRODUCT(MAX((JP_StartSel=DATE(Planungsjahr,9,L87))*Anzeige_S*((JP_Anzeige=TRUE)+NOT(Filter_Aktiv)&gt;0)*(11-JP_Farbe)))),IF(COUNTIF(Feiertage,DATE(Planungsjahr,9,L87))&gt;0,"h",IF(COUNTIFS(U_Von,"&lt;="&amp;DATE(Planungsjahr,9,L87),U_Bis,"&gt;="&amp;DATE(Planungsjahr,9,L87))&gt;0,"u",""))),"")</f>
      </c>
      <c r="M88" s="224">
        <f>IF(ISNUMBER(L87),IFERROR(21-1/(1/SUMPRODUCT(MAX((JP_StartInhalt=DATE(Planungsjahr,9,L87))*Anzeige_I*((JP_Anzeige=TRUE)+NOT(Filter_Aktiv)&gt;0)*(11-JP_Farbe)))),IF(COUNTIF(Feiertage,DATE(Planungsjahr,9,L87))&gt;0,"h",IF(COUNTIFS(U_Von,"&lt;="&amp;DATE(Planungsjahr,9,L87),U_Bis,"&gt;="&amp;DATE(Planungsjahr,9,L87))&gt;0,"u",""))),"")</f>
      </c>
      <c r="N88" s="225">
        <f>IF(ISNUMBER(L87),IFERROR(31-1/(1/SUMPRODUCT(MAX((JP_PAL=DATE(Planungsjahr,9,L87))*Anzeige_P*((JP_Anzeige=TRUE)+NOT(Filter_Aktiv)&gt;0)*(11-JP_Farbe)))),IF(COUNTIF(Feiertage,DATE(Planungsjahr,9,L87))&gt;0,"h",IF(COUNTIFS(U_Von,"&lt;="&amp;DATE(Planungsjahr,9,L87),U_Bis,"&gt;="&amp;DATE(Planungsjahr,9,L87))&gt;0,"u",""))),"")</f>
      </c>
      <c r="O88" s="223">
        <f>IF(ISNUMBER(O87),IFERROR(11-1/(1/SUMPRODUCT(MAX((JP_StartSel=DATE(Planungsjahr,9,O87))*Anzeige_S*((JP_Anzeige=TRUE)+NOT(Filter_Aktiv)&gt;0)*(11-JP_Farbe)))),IF(COUNTIF(Feiertage,DATE(Planungsjahr,9,O87))&gt;0,"h",IF(COUNTIFS(U_Von,"&lt;="&amp;DATE(Planungsjahr,9,O87),U_Bis,"&gt;="&amp;DATE(Planungsjahr,9,O87))&gt;0,"u",""))),"")</f>
      </c>
      <c r="P88" s="224">
        <f>IF(ISNUMBER(O87),IFERROR(21-1/(1/SUMPRODUCT(MAX((JP_StartInhalt=DATE(Planungsjahr,9,O87))*Anzeige_I*((JP_Anzeige=TRUE)+NOT(Filter_Aktiv)&gt;0)*(11-JP_Farbe)))),IF(COUNTIF(Feiertage,DATE(Planungsjahr,9,O87))&gt;0,"h",IF(COUNTIFS(U_Von,"&lt;="&amp;DATE(Planungsjahr,9,O87),U_Bis,"&gt;="&amp;DATE(Planungsjahr,9,O87))&gt;0,"u",""))),"")</f>
      </c>
      <c r="Q88" s="225">
        <f>IF(ISNUMBER(O87),IFERROR(31-1/(1/SUMPRODUCT(MAX((JP_PAL=DATE(Planungsjahr,9,O87))*Anzeige_P*((JP_Anzeige=TRUE)+NOT(Filter_Aktiv)&gt;0)*(11-JP_Farbe)))),IF(COUNTIF(Feiertage,DATE(Planungsjahr,9,O87))&gt;0,"h",IF(COUNTIFS(U_Von,"&lt;="&amp;DATE(Planungsjahr,9,O87),U_Bis,"&gt;="&amp;DATE(Planungsjahr,9,O87))&gt;0,"u",""))),"")</f>
      </c>
      <c r="R88" s="223">
        <f>IF(ISNUMBER(R87),IFERROR(11-1/(1/SUMPRODUCT(MAX((JP_StartSel=DATE(Planungsjahr,9,R87))*Anzeige_S*((JP_Anzeige=TRUE)+NOT(Filter_Aktiv)&gt;0)*(11-JP_Farbe)))),IF(COUNTIF(Feiertage,DATE(Planungsjahr,9,R87))&gt;0,"h","w")),"")</f>
      </c>
      <c r="S88" s="224">
        <f>IF(ISNUMBER(R87),IFERROR(21-1/(1/SUMPRODUCT(MAX((JP_StartInhalt=DATE(Planungsjahr,9,R87))*Anzeige_I*((JP_Anzeige=TRUE)+NOT(Filter_Aktiv)&gt;0)*(11-JP_Farbe)))),IF(COUNTIF(Feiertage,DATE(Planungsjahr,9,R87))&gt;0,"h","w")),"")</f>
      </c>
      <c r="T88" s="225">
        <f>IF(ISNUMBER(R87),IFERROR(31-1/(1/SUMPRODUCT(MAX((JP_PAL=DATE(Planungsjahr,9,R87))*Anzeige_P*((JP_Anzeige=TRUE)+NOT(Filter_Aktiv)&gt;0)*(11-JP_Farbe)))),IF(COUNTIF(Feiertage,DATE(Planungsjahr,9,R87))&gt;0,"h","w")),"")</f>
      </c>
      <c r="U88" s="223">
        <f>IF(ISNUMBER(U87),IFERROR(11-1/(1/SUMPRODUCT(MAX((JP_StartSel=DATE(Planungsjahr,9,U87))*Anzeige_S*((JP_Anzeige=TRUE)+NOT(Filter_Aktiv)&gt;0)*(11-JP_Farbe)))),IF(COUNTIF(Feiertage,DATE(Planungsjahr,9,U87))&gt;0,"h","w")),"")</f>
      </c>
      <c r="V88" s="224">
        <f>IF(ISNUMBER(U87),IFERROR(21-1/(1/SUMPRODUCT(MAX((JP_StartInhalt=DATE(Planungsjahr,9,U87))*Anzeige_I*((JP_Anzeige=TRUE)+NOT(Filter_Aktiv)&gt;0)*(11-JP_Farbe)))),IF(COUNTIF(Feiertage,DATE(Planungsjahr,9,U87))&gt;0,"h","w")),"")</f>
      </c>
      <c r="W88" s="225">
        <f>IF(ISNUMBER(U87),IFERROR(31-1/(1/SUMPRODUCT(MAX((JP_PAL=DATE(Planungsjahr,9,U87))*Anzeige_P*((JP_Anzeige=TRUE)+NOT(Filter_Aktiv)&gt;0)*(11-JP_Farbe)))),IF(COUNTIF(Feiertage,DATE(Planungsjahr,9,U87))&gt;0,"h","w")),"")</f>
      </c>
      <c r="Y88" s="179"/>
      <c r="Z88" s="223">
        <f>IF(ISNUMBER(Z87),IFERROR(11-1/(1/SUMPRODUCT(MAX((JP_StartSel=DATE(Planungsjahr,10,Z87))*Anzeige_S*((JP_Anzeige=TRUE)+NOT(Filter_Aktiv)&gt;0)*(11-JP_Farbe)))),IF(COUNTIF(Feiertage,DATE(Planungsjahr,10,Z87))&gt;0,"h",IF(COUNTIFS(U_Von,"&lt;="&amp;DATE(Planungsjahr,10,Z87),U_Bis,"&gt;="&amp;DATE(Planungsjahr,10,Z87))&gt;0,"u",""))),"")</f>
      </c>
      <c r="AA88" s="224">
        <f>IF(ISNUMBER(Z87),IFERROR(21-1/(1/SUMPRODUCT(MAX((JP_StartInhalt=DATE(Planungsjahr,10,Z87))*Anzeige_I*((JP_Anzeige=TRUE)+NOT(Filter_Aktiv)&gt;0)*(11-JP_Farbe)))),IF(COUNTIF(Feiertage,DATE(Planungsjahr,10,Z87))&gt;0,"h",IF(COUNTIFS(U_Von,"&lt;="&amp;DATE(Planungsjahr,10,Z87),U_Bis,"&gt;="&amp;DATE(Planungsjahr,10,Z87))&gt;0,"u",""))),"")</f>
      </c>
      <c r="AB88" s="225">
        <f>IF(ISNUMBER(Z87),IFERROR(31-1/(1/SUMPRODUCT(MAX((JP_PAL=DATE(Planungsjahr,10,Z87))*Anzeige_P*((JP_Anzeige=TRUE)+NOT(Filter_Aktiv)&gt;0)*(11-JP_Farbe)))),IF(COUNTIF(Feiertage,DATE(Planungsjahr,10,Z87))&gt;0,"h",IF(COUNTIFS(U_Von,"&lt;="&amp;DATE(Planungsjahr,10,Z87),U_Bis,"&gt;="&amp;DATE(Planungsjahr,10,Z87))&gt;0,"u",""))),"")</f>
      </c>
      <c r="AC88" s="223">
        <f>IF(ISNUMBER(AC87),IFERROR(11-1/(1/SUMPRODUCT(MAX((JP_StartSel=DATE(Planungsjahr,10,AC87))*Anzeige_S*((JP_Anzeige=TRUE)+NOT(Filter_Aktiv)&gt;0)*(11-JP_Farbe)))),IF(COUNTIF(Feiertage,DATE(Planungsjahr,10,AC87))&gt;0,"h",IF(COUNTIFS(U_Von,"&lt;="&amp;DATE(Planungsjahr,10,AC87),U_Bis,"&gt;="&amp;DATE(Planungsjahr,10,AC87))&gt;0,"u",""))),"")</f>
      </c>
      <c r="AD88" s="224">
        <f>IF(ISNUMBER(AC87),IFERROR(21-1/(1/SUMPRODUCT(MAX((JP_StartInhalt=DATE(Planungsjahr,10,AC87))*Anzeige_I*((JP_Anzeige=TRUE)+NOT(Filter_Aktiv)&gt;0)*(11-JP_Farbe)))),IF(COUNTIF(Feiertage,DATE(Planungsjahr,10,AC87))&gt;0,"h",IF(COUNTIFS(U_Von,"&lt;="&amp;DATE(Planungsjahr,10,AC87),U_Bis,"&gt;="&amp;DATE(Planungsjahr,10,AC87))&gt;0,"u",""))),"")</f>
      </c>
      <c r="AE88" s="225">
        <f>IF(ISNUMBER(AC87),IFERROR(31-1/(1/SUMPRODUCT(MAX((JP_PAL=DATE(Planungsjahr,10,AC87))*Anzeige_P*((JP_Anzeige=TRUE)+NOT(Filter_Aktiv)&gt;0)*(11-JP_Farbe)))),IF(COUNTIF(Feiertage,DATE(Planungsjahr,10,AC87))&gt;0,"h",IF(COUNTIFS(U_Von,"&lt;="&amp;DATE(Planungsjahr,10,AC87),U_Bis,"&gt;="&amp;DATE(Planungsjahr,10,AC87))&gt;0,"u",""))),"")</f>
      </c>
      <c r="AF88" s="223">
        <f>IF(ISNUMBER(AF87),IFERROR(11-1/(1/SUMPRODUCT(MAX((JP_StartSel=DATE(Planungsjahr,10,AF87))*Anzeige_S*((JP_Anzeige=TRUE)+NOT(Filter_Aktiv)&gt;0)*(11-JP_Farbe)))),IF(COUNTIF(Feiertage,DATE(Planungsjahr,10,AF87))&gt;0,"h",IF(COUNTIFS(U_Von,"&lt;="&amp;DATE(Planungsjahr,10,AF87),U_Bis,"&gt;="&amp;DATE(Planungsjahr,10,AF87))&gt;0,"u",""))),"")</f>
      </c>
      <c r="AG88" s="224">
        <f>IF(ISNUMBER(AF87),IFERROR(21-1/(1/SUMPRODUCT(MAX((JP_StartInhalt=DATE(Planungsjahr,10,AF87))*Anzeige_I*((JP_Anzeige=TRUE)+NOT(Filter_Aktiv)&gt;0)*(11-JP_Farbe)))),IF(COUNTIF(Feiertage,DATE(Planungsjahr,10,AF87))&gt;0,"h",IF(COUNTIFS(U_Von,"&lt;="&amp;DATE(Planungsjahr,10,AF87),U_Bis,"&gt;="&amp;DATE(Planungsjahr,10,AF87))&gt;0,"u",""))),"")</f>
      </c>
      <c r="AH88" s="225">
        <f>IF(ISNUMBER(AF87),IFERROR(31-1/(1/SUMPRODUCT(MAX((JP_PAL=DATE(Planungsjahr,10,AF87))*Anzeige_P*((JP_Anzeige=TRUE)+NOT(Filter_Aktiv)&gt;0)*(11-JP_Farbe)))),IF(COUNTIF(Feiertage,DATE(Planungsjahr,10,AF87))&gt;0,"h",IF(COUNTIFS(U_Von,"&lt;="&amp;DATE(Planungsjahr,10,AF87),U_Bis,"&gt;="&amp;DATE(Planungsjahr,10,AF87))&gt;0,"u",""))),"")</f>
      </c>
      <c r="AI88" s="223">
        <f>IF(ISNUMBER(AI87),IFERROR(11-1/(1/SUMPRODUCT(MAX((JP_StartSel=DATE(Planungsjahr,10,AI87))*Anzeige_S*((JP_Anzeige=TRUE)+NOT(Filter_Aktiv)&gt;0)*(11-JP_Farbe)))),IF(COUNTIF(Feiertage,DATE(Planungsjahr,10,AI87))&gt;0,"h",IF(COUNTIFS(U_Von,"&lt;="&amp;DATE(Planungsjahr,10,AI87),U_Bis,"&gt;="&amp;DATE(Planungsjahr,10,AI87))&gt;0,"u",""))),"")</f>
      </c>
      <c r="AJ88" s="224">
        <f>IF(ISNUMBER(AI87),IFERROR(21-1/(1/SUMPRODUCT(MAX((JP_StartInhalt=DATE(Planungsjahr,10,AI87))*Anzeige_I*((JP_Anzeige=TRUE)+NOT(Filter_Aktiv)&gt;0)*(11-JP_Farbe)))),IF(COUNTIF(Feiertage,DATE(Planungsjahr,10,AI87))&gt;0,"h",IF(COUNTIFS(U_Von,"&lt;="&amp;DATE(Planungsjahr,10,AI87),U_Bis,"&gt;="&amp;DATE(Planungsjahr,10,AI87))&gt;0,"u",""))),"")</f>
      </c>
      <c r="AK88" s="225">
        <f>IF(ISNUMBER(AI87),IFERROR(31-1/(1/SUMPRODUCT(MAX((JP_PAL=DATE(Planungsjahr,10,AI87))*Anzeige_P*((JP_Anzeige=TRUE)+NOT(Filter_Aktiv)&gt;0)*(11-JP_Farbe)))),IF(COUNTIF(Feiertage,DATE(Planungsjahr,10,AI87))&gt;0,"h",IF(COUNTIFS(U_Von,"&lt;="&amp;DATE(Planungsjahr,10,AI87),U_Bis,"&gt;="&amp;DATE(Planungsjahr,10,AI87))&gt;0,"u",""))),"")</f>
      </c>
      <c r="AL88" s="223">
        <f>IF(ISNUMBER(AL87),IFERROR(11-1/(1/SUMPRODUCT(MAX((JP_StartSel=DATE(Planungsjahr,10,AL87))*Anzeige_S*((JP_Anzeige=TRUE)+NOT(Filter_Aktiv)&gt;0)*(11-JP_Farbe)))),IF(COUNTIF(Feiertage,DATE(Planungsjahr,10,AL87))&gt;0,"h",IF(COUNTIFS(U_Von,"&lt;="&amp;DATE(Planungsjahr,10,AL87),U_Bis,"&gt;="&amp;DATE(Planungsjahr,10,AL87))&gt;0,"u",""))),"")</f>
      </c>
      <c r="AM88" s="224">
        <f>IF(ISNUMBER(AL87),IFERROR(21-1/(1/SUMPRODUCT(MAX((JP_StartInhalt=DATE(Planungsjahr,10,AL87))*Anzeige_I*((JP_Anzeige=TRUE)+NOT(Filter_Aktiv)&gt;0)*(11-JP_Farbe)))),IF(COUNTIF(Feiertage,DATE(Planungsjahr,10,AL87))&gt;0,"h",IF(COUNTIFS(U_Von,"&lt;="&amp;DATE(Planungsjahr,10,AL87),U_Bis,"&gt;="&amp;DATE(Planungsjahr,10,AL87))&gt;0,"u",""))),"")</f>
      </c>
      <c r="AN88" s="225">
        <f>IF(ISNUMBER(AL87),IFERROR(31-1/(1/SUMPRODUCT(MAX((JP_PAL=DATE(Planungsjahr,10,AL87))*Anzeige_P*((JP_Anzeige=TRUE)+NOT(Filter_Aktiv)&gt;0)*(11-JP_Farbe)))),IF(COUNTIF(Feiertage,DATE(Planungsjahr,10,AL87))&gt;0,"h",IF(COUNTIFS(U_Von,"&lt;="&amp;DATE(Planungsjahr,10,AL87),U_Bis,"&gt;="&amp;DATE(Planungsjahr,10,AL87))&gt;0,"u",""))),"")</f>
      </c>
      <c r="AO88" s="223">
        <f>IF(ISNUMBER(AO87),IFERROR(11-1/(1/SUMPRODUCT(MAX((JP_StartSel=DATE(Planungsjahr,10,AO87))*Anzeige_S*((JP_Anzeige=TRUE)+NOT(Filter_Aktiv)&gt;0)*(11-JP_Farbe)))),IF(COUNTIF(Feiertage,DATE(Planungsjahr,10,AO87))&gt;0,"h","w")),"")</f>
      </c>
      <c r="AP88" s="224">
        <f>IF(ISNUMBER(AO87),IFERROR(21-1/(1/SUMPRODUCT(MAX((JP_StartInhalt=DATE(Planungsjahr,10,AO87))*Anzeige_I*((JP_Anzeige=TRUE)+NOT(Filter_Aktiv)&gt;0)*(11-JP_Farbe)))),IF(COUNTIF(Feiertage,DATE(Planungsjahr,10,AO87))&gt;0,"h","w")),"")</f>
      </c>
      <c r="AQ88" s="225">
        <f>IF(ISNUMBER(AO87),IFERROR(31-1/(1/SUMPRODUCT(MAX((JP_PAL=DATE(Planungsjahr,10,AO87))*Anzeige_P*((JP_Anzeige=TRUE)+NOT(Filter_Aktiv)&gt;0)*(11-JP_Farbe)))),IF(COUNTIF(Feiertage,DATE(Planungsjahr,10,AO87))&gt;0,"h","w")),"")</f>
      </c>
      <c r="AR88" s="223">
        <f>IF(ISNUMBER(AR87),IFERROR(11-1/(1/SUMPRODUCT(MAX((JP_StartSel=DATE(Planungsjahr,10,AR87))*Anzeige_S*((JP_Anzeige=TRUE)+NOT(Filter_Aktiv)&gt;0)*(11-JP_Farbe)))),IF(COUNTIF(Feiertage,DATE(Planungsjahr,10,AR87))&gt;0,"h","w")),"")</f>
      </c>
      <c r="AS88" s="224">
        <f>IF(ISNUMBER(AR87),IFERROR(21-1/(1/SUMPRODUCT(MAX((JP_StartInhalt=DATE(Planungsjahr,10,AR87))*Anzeige_I*((JP_Anzeige=TRUE)+NOT(Filter_Aktiv)&gt;0)*(11-JP_Farbe)))),IF(COUNTIF(Feiertage,DATE(Planungsjahr,10,AR87))&gt;0,"h","w")),"")</f>
      </c>
      <c r="AT88" s="225">
        <f>IF(ISNUMBER(AR87),IFERROR(31-1/(1/SUMPRODUCT(MAX((JP_PAL=DATE(Planungsjahr,10,AR87))*Anzeige_P*((JP_Anzeige=TRUE)+NOT(Filter_Aktiv)&gt;0)*(11-JP_Farbe)))),IF(COUNTIF(Feiertage,DATE(Planungsjahr,10,AR87))&gt;0,"h","w")),"")</f>
      </c>
      <c r="AV88" s="179"/>
      <c r="AW88" s="223">
        <f>IF(ISNUMBER(AW87),IFERROR(11-1/(1/SUMPRODUCT(MAX((JP_StartSel=DATE(Planungsjahr,11,AW87))*Anzeige_S*((JP_Anzeige=TRUE)+NOT(Filter_Aktiv)&gt;0)*(11-JP_Farbe)))),IF(COUNTIF(Feiertage,DATE(Planungsjahr,11,AW87))&gt;0,"h",IF(COUNTIFS(U_Von,"&lt;="&amp;DATE(Planungsjahr,11,AW87),U_Bis,"&gt;="&amp;DATE(Planungsjahr,11,AW87))&gt;0,"u",""))),"")</f>
      </c>
      <c r="AX88" s="224">
        <f>IF(ISNUMBER(AW87),IFERROR(21-1/(1/SUMPRODUCT(MAX((JP_StartInhalt=DATE(Planungsjahr,11,AW87))*Anzeige_I*((JP_Anzeige=TRUE)+NOT(Filter_Aktiv)&gt;0)*(11-JP_Farbe)))),IF(COUNTIF(Feiertage,DATE(Planungsjahr,11,AW87))&gt;0,"h",IF(COUNTIFS(U_Von,"&lt;="&amp;DATE(Planungsjahr,11,AW87),U_Bis,"&gt;="&amp;DATE(Planungsjahr,11,AW87))&gt;0,"u",""))),"")</f>
      </c>
      <c r="AY88" s="225">
        <f>IF(ISNUMBER(AW87),IFERROR(31-1/(1/SUMPRODUCT(MAX((JP_PAL=DATE(Planungsjahr,11,AW87))*Anzeige_P*((JP_Anzeige=TRUE)+NOT(Filter_Aktiv)&gt;0)*(11-JP_Farbe)))),IF(COUNTIF(Feiertage,DATE(Planungsjahr,11,AW87))&gt;0,"h",IF(COUNTIFS(U_Von,"&lt;="&amp;DATE(Planungsjahr,11,AW87),U_Bis,"&gt;="&amp;DATE(Planungsjahr,11,AW87))&gt;0,"u",""))),"")</f>
      </c>
      <c r="AZ88" s="223">
        <f>IF(ISNUMBER(AZ87),IFERROR(11-1/(1/SUMPRODUCT(MAX((JP_StartSel=DATE(Planungsjahr,11,AZ87))*Anzeige_S*((JP_Anzeige=TRUE)+NOT(Filter_Aktiv)&gt;0)*(11-JP_Farbe)))),IF(COUNTIF(Feiertage,DATE(Planungsjahr,11,AZ87))&gt;0,"h",IF(COUNTIFS(U_Von,"&lt;="&amp;DATE(Planungsjahr,11,AZ87),U_Bis,"&gt;="&amp;DATE(Planungsjahr,11,AZ87))&gt;0,"u",""))),"")</f>
      </c>
      <c r="BA88" s="224">
        <f>IF(ISNUMBER(AZ87),IFERROR(21-1/(1/SUMPRODUCT(MAX((JP_StartInhalt=DATE(Planungsjahr,11,AZ87))*Anzeige_I*((JP_Anzeige=TRUE)+NOT(Filter_Aktiv)&gt;0)*(11-JP_Farbe)))),IF(COUNTIF(Feiertage,DATE(Planungsjahr,11,AZ87))&gt;0,"h",IF(COUNTIFS(U_Von,"&lt;="&amp;DATE(Planungsjahr,11,AZ87),U_Bis,"&gt;="&amp;DATE(Planungsjahr,11,AZ87))&gt;0,"u",""))),"")</f>
      </c>
      <c r="BB88" s="225">
        <f>IF(ISNUMBER(AZ87),IFERROR(31-1/(1/SUMPRODUCT(MAX((JP_PAL=DATE(Planungsjahr,11,AZ87))*Anzeige_P*((JP_Anzeige=TRUE)+NOT(Filter_Aktiv)&gt;0)*(11-JP_Farbe)))),IF(COUNTIF(Feiertage,DATE(Planungsjahr,11,AZ87))&gt;0,"h",IF(COUNTIFS(U_Von,"&lt;="&amp;DATE(Planungsjahr,11,AZ87),U_Bis,"&gt;="&amp;DATE(Planungsjahr,11,AZ87))&gt;0,"u",""))),"")</f>
      </c>
      <c r="BC88" s="223">
        <f>IF(ISNUMBER(BC87),IFERROR(11-1/(1/SUMPRODUCT(MAX((JP_StartSel=DATE(Planungsjahr,11,BC87))*Anzeige_S*((JP_Anzeige=TRUE)+NOT(Filter_Aktiv)&gt;0)*(11-JP_Farbe)))),IF(COUNTIF(Feiertage,DATE(Planungsjahr,11,BC87))&gt;0,"h",IF(COUNTIFS(U_Von,"&lt;="&amp;DATE(Planungsjahr,11,BC87),U_Bis,"&gt;="&amp;DATE(Planungsjahr,11,BC87))&gt;0,"u",""))),"")</f>
      </c>
      <c r="BD88" s="224">
        <f>IF(ISNUMBER(BC87),IFERROR(21-1/(1/SUMPRODUCT(MAX((JP_StartInhalt=DATE(Planungsjahr,11,BC87))*Anzeige_I*((JP_Anzeige=TRUE)+NOT(Filter_Aktiv)&gt;0)*(11-JP_Farbe)))),IF(COUNTIF(Feiertage,DATE(Planungsjahr,11,BC87))&gt;0,"h",IF(COUNTIFS(U_Von,"&lt;="&amp;DATE(Planungsjahr,11,BC87),U_Bis,"&gt;="&amp;DATE(Planungsjahr,11,BC87))&gt;0,"u",""))),"")</f>
      </c>
      <c r="BE88" s="225">
        <f>IF(ISNUMBER(BC87),IFERROR(31-1/(1/SUMPRODUCT(MAX((JP_PAL=DATE(Planungsjahr,11,BC87))*Anzeige_P*((JP_Anzeige=TRUE)+NOT(Filter_Aktiv)&gt;0)*(11-JP_Farbe)))),IF(COUNTIF(Feiertage,DATE(Planungsjahr,11,BC87))&gt;0,"h",IF(COUNTIFS(U_Von,"&lt;="&amp;DATE(Planungsjahr,11,BC87),U_Bis,"&gt;="&amp;DATE(Planungsjahr,11,BC87))&gt;0,"u",""))),"")</f>
      </c>
      <c r="BF88" s="223">
        <f>IF(ISNUMBER(BF87),IFERROR(11-1/(1/SUMPRODUCT(MAX((JP_StartSel=DATE(Planungsjahr,11,BF87))*Anzeige_S*((JP_Anzeige=TRUE)+NOT(Filter_Aktiv)&gt;0)*(11-JP_Farbe)))),IF(COUNTIF(Feiertage,DATE(Planungsjahr,11,BF87))&gt;0,"h",IF(COUNTIFS(U_Von,"&lt;="&amp;DATE(Planungsjahr,11,BF87),U_Bis,"&gt;="&amp;DATE(Planungsjahr,11,BF87))&gt;0,"u",""))),"")</f>
      </c>
      <c r="BG88" s="224">
        <f>IF(ISNUMBER(BF87),IFERROR(21-1/(1/SUMPRODUCT(MAX((JP_StartInhalt=DATE(Planungsjahr,11,BF87))*Anzeige_I*((JP_Anzeige=TRUE)+NOT(Filter_Aktiv)&gt;0)*(11-JP_Farbe)))),IF(COUNTIF(Feiertage,DATE(Planungsjahr,11,BF87))&gt;0,"h",IF(COUNTIFS(U_Von,"&lt;="&amp;DATE(Planungsjahr,11,BF87),U_Bis,"&gt;="&amp;DATE(Planungsjahr,11,BF87))&gt;0,"u",""))),"")</f>
      </c>
      <c r="BH88" s="225">
        <f>IF(ISNUMBER(BF87),IFERROR(31-1/(1/SUMPRODUCT(MAX((JP_PAL=DATE(Planungsjahr,11,BF87))*Anzeige_P*((JP_Anzeige=TRUE)+NOT(Filter_Aktiv)&gt;0)*(11-JP_Farbe)))),IF(COUNTIF(Feiertage,DATE(Planungsjahr,11,BF87))&gt;0,"h",IF(COUNTIFS(U_Von,"&lt;="&amp;DATE(Planungsjahr,11,BF87),U_Bis,"&gt;="&amp;DATE(Planungsjahr,11,BF87))&gt;0,"u",""))),"")</f>
      </c>
      <c r="BI88" s="223">
        <f>IF(ISNUMBER(BI87),IFERROR(11-1/(1/SUMPRODUCT(MAX((JP_StartSel=DATE(Planungsjahr,11,BI87))*Anzeige_S*((JP_Anzeige=TRUE)+NOT(Filter_Aktiv)&gt;0)*(11-JP_Farbe)))),IF(COUNTIF(Feiertage,DATE(Planungsjahr,11,BI87))&gt;0,"h",IF(COUNTIFS(U_Von,"&lt;="&amp;DATE(Planungsjahr,11,BI87),U_Bis,"&gt;="&amp;DATE(Planungsjahr,11,BI87))&gt;0,"u",""))),"")</f>
      </c>
      <c r="BJ88" s="224">
        <f>IF(ISNUMBER(BI87),IFERROR(21-1/(1/SUMPRODUCT(MAX((JP_StartInhalt=DATE(Planungsjahr,11,BI87))*Anzeige_I*((JP_Anzeige=TRUE)+NOT(Filter_Aktiv)&gt;0)*(11-JP_Farbe)))),IF(COUNTIF(Feiertage,DATE(Planungsjahr,11,BI87))&gt;0,"h",IF(COUNTIFS(U_Von,"&lt;="&amp;DATE(Planungsjahr,11,BI87),U_Bis,"&gt;="&amp;DATE(Planungsjahr,11,BI87))&gt;0,"u",""))),"")</f>
      </c>
      <c r="BK88" s="225">
        <f>IF(ISNUMBER(BI87),IFERROR(31-1/(1/SUMPRODUCT(MAX((JP_PAL=DATE(Planungsjahr,11,BI87))*Anzeige_P*((JP_Anzeige=TRUE)+NOT(Filter_Aktiv)&gt;0)*(11-JP_Farbe)))),IF(COUNTIF(Feiertage,DATE(Planungsjahr,11,BI87))&gt;0,"h",IF(COUNTIFS(U_Von,"&lt;="&amp;DATE(Planungsjahr,11,BI87),U_Bis,"&gt;="&amp;DATE(Planungsjahr,11,BI87))&gt;0,"u",""))),"")</f>
      </c>
      <c r="BL88" s="223">
        <f>IF(ISNUMBER(BL87),IFERROR(11-1/(1/SUMPRODUCT(MAX((JP_StartSel=DATE(Planungsjahr,11,BL87))*Anzeige_S*((JP_Anzeige=TRUE)+NOT(Filter_Aktiv)&gt;0)*(11-JP_Farbe)))),IF(COUNTIF(Feiertage,DATE(Planungsjahr,11,BL87))&gt;0,"h","w")),"")</f>
      </c>
      <c r="BM88" s="224">
        <f>IF(ISNUMBER(BL87),IFERROR(21-1/(1/SUMPRODUCT(MAX((JP_StartInhalt=DATE(Planungsjahr,11,BL87))*Anzeige_I*((JP_Anzeige=TRUE)+NOT(Filter_Aktiv)&gt;0)*(11-JP_Farbe)))),IF(COUNTIF(Feiertage,DATE(Planungsjahr,11,BL87))&gt;0,"h","w")),"")</f>
      </c>
      <c r="BN88" s="225">
        <f>IF(ISNUMBER(BL87),IFERROR(31-1/(1/SUMPRODUCT(MAX((JP_PAL=DATE(Planungsjahr,11,BL87))*Anzeige_P*((JP_Anzeige=TRUE)+NOT(Filter_Aktiv)&gt;0)*(11-JP_Farbe)))),IF(COUNTIF(Feiertage,DATE(Planungsjahr,11,BL87))&gt;0,"h","w")),"")</f>
      </c>
      <c r="BO88" s="223">
        <f>IF(ISNUMBER(BO87),IFERROR(11-1/(1/SUMPRODUCT(MAX((JP_StartSel=DATE(Planungsjahr,11,BO87))*Anzeige_S*((JP_Anzeige=TRUE)+NOT(Filter_Aktiv)&gt;0)*(11-JP_Farbe)))),IF(COUNTIF(Feiertage,DATE(Planungsjahr,11,BO87))&gt;0,"h","w")),"")</f>
      </c>
      <c r="BP88" s="224">
        <f>IF(ISNUMBER(BO87),IFERROR(21-1/(1/SUMPRODUCT(MAX((JP_StartInhalt=DATE(Planungsjahr,11,BO87))*Anzeige_I*((JP_Anzeige=TRUE)+NOT(Filter_Aktiv)&gt;0)*(11-JP_Farbe)))),IF(COUNTIF(Feiertage,DATE(Planungsjahr,11,BO87))&gt;0,"h","w")),"")</f>
      </c>
      <c r="BQ88" s="225">
        <f>IF(ISNUMBER(BO87),IFERROR(31-1/(1/SUMPRODUCT(MAX((JP_PAL=DATE(Planungsjahr,11,BO87))*Anzeige_P*((JP_Anzeige=TRUE)+NOT(Filter_Aktiv)&gt;0)*(11-JP_Farbe)))),IF(COUNTIF(Feiertage,DATE(Planungsjahr,11,BO87))&gt;0,"h","w")),"")</f>
      </c>
      <c r="BS88" s="179"/>
      <c r="BT88" s="223">
        <f>IF(ISNUMBER(BT87),IFERROR(11-1/(1/SUMPRODUCT(MAX((JP_StartSel=DATE(Planungsjahr,12,BT87))*Anzeige_S*((JP_Anzeige=TRUE)+NOT(Filter_Aktiv)&gt;0)*(11-JP_Farbe)))),IF(COUNTIF(Feiertage,DATE(Planungsjahr,12,BT87))&gt;0,"h",IF(COUNTIFS(U_Von,"&lt;="&amp;DATE(Planungsjahr,12,BT87),U_Bis,"&gt;="&amp;DATE(Planungsjahr,12,BT87))&gt;0,"u",""))),"")</f>
      </c>
      <c r="BU88" s="224">
        <f>IF(ISNUMBER(BT87),IFERROR(21-1/(1/SUMPRODUCT(MAX((JP_StartInhalt=DATE(Planungsjahr,12,BT87))*Anzeige_I*((JP_Anzeige=TRUE)+NOT(Filter_Aktiv)&gt;0)*(11-JP_Farbe)))),IF(COUNTIF(Feiertage,DATE(Planungsjahr,12,BT87))&gt;0,"h",IF(COUNTIFS(U_Von,"&lt;="&amp;DATE(Planungsjahr,12,BT87),U_Bis,"&gt;="&amp;DATE(Planungsjahr,12,BT87))&gt;0,"u",""))),"")</f>
      </c>
      <c r="BV88" s="225">
        <f>IF(ISNUMBER(BT87),IFERROR(31-1/(1/SUMPRODUCT(MAX((JP_PAL=DATE(Planungsjahr,12,BT87))*Anzeige_P*((JP_Anzeige=TRUE)+NOT(Filter_Aktiv)&gt;0)*(11-JP_Farbe)))),IF(COUNTIF(Feiertage,DATE(Planungsjahr,12,BT87))&gt;0,"h",IF(COUNTIFS(U_Von,"&lt;="&amp;DATE(Planungsjahr,12,BT87),U_Bis,"&gt;="&amp;DATE(Planungsjahr,12,BT87))&gt;0,"u",""))),"")</f>
      </c>
      <c r="BW88" s="223">
        <f>IF(ISNUMBER(BW87),IFERROR(11-1/(1/SUMPRODUCT(MAX((JP_StartSel=DATE(Planungsjahr,12,BW87))*Anzeige_S*((JP_Anzeige=TRUE)+NOT(Filter_Aktiv)&gt;0)*(11-JP_Farbe)))),IF(COUNTIF(Feiertage,DATE(Planungsjahr,12,BW87))&gt;0,"h",IF(COUNTIFS(U_Von,"&lt;="&amp;DATE(Planungsjahr,12,BW87),U_Bis,"&gt;="&amp;DATE(Planungsjahr,12,BW87))&gt;0,"u",""))),"")</f>
      </c>
      <c r="BX88" s="224">
        <f>IF(ISNUMBER(BW87),IFERROR(21-1/(1/SUMPRODUCT(MAX((JP_StartInhalt=DATE(Planungsjahr,12,BW87))*Anzeige_I*((JP_Anzeige=TRUE)+NOT(Filter_Aktiv)&gt;0)*(11-JP_Farbe)))),IF(COUNTIF(Feiertage,DATE(Planungsjahr,12,BW87))&gt;0,"h",IF(COUNTIFS(U_Von,"&lt;="&amp;DATE(Planungsjahr,12,BW87),U_Bis,"&gt;="&amp;DATE(Planungsjahr,12,BW87))&gt;0,"u",""))),"")</f>
      </c>
      <c r="BY88" s="225">
        <f>IF(ISNUMBER(BW87),IFERROR(31-1/(1/SUMPRODUCT(MAX((JP_PAL=DATE(Planungsjahr,12,BW87))*Anzeige_P*((JP_Anzeige=TRUE)+NOT(Filter_Aktiv)&gt;0)*(11-JP_Farbe)))),IF(COUNTIF(Feiertage,DATE(Planungsjahr,12,BW87))&gt;0,"h",IF(COUNTIFS(U_Von,"&lt;="&amp;DATE(Planungsjahr,12,BW87),U_Bis,"&gt;="&amp;DATE(Planungsjahr,12,BW87))&gt;0,"u",""))),"")</f>
      </c>
      <c r="BZ88" s="223">
        <f>IF(ISNUMBER(BZ87),IFERROR(11-1/(1/SUMPRODUCT(MAX((JP_StartSel=DATE(Planungsjahr,12,BZ87))*Anzeige_S*((JP_Anzeige=TRUE)+NOT(Filter_Aktiv)&gt;0)*(11-JP_Farbe)))),IF(COUNTIF(Feiertage,DATE(Planungsjahr,12,BZ87))&gt;0,"h",IF(COUNTIFS(U_Von,"&lt;="&amp;DATE(Planungsjahr,12,BZ87),U_Bis,"&gt;="&amp;DATE(Planungsjahr,12,BZ87))&gt;0,"u",""))),"")</f>
      </c>
      <c r="CA88" s="224">
        <f>IF(ISNUMBER(BZ87),IFERROR(21-1/(1/SUMPRODUCT(MAX((JP_StartInhalt=DATE(Planungsjahr,12,BZ87))*Anzeige_I*((JP_Anzeige=TRUE)+NOT(Filter_Aktiv)&gt;0)*(11-JP_Farbe)))),IF(COUNTIF(Feiertage,DATE(Planungsjahr,12,BZ87))&gt;0,"h",IF(COUNTIFS(U_Von,"&lt;="&amp;DATE(Planungsjahr,12,BZ87),U_Bis,"&gt;="&amp;DATE(Planungsjahr,12,BZ87))&gt;0,"u",""))),"")</f>
      </c>
      <c r="CB88" s="225">
        <f>IF(ISNUMBER(BZ87),IFERROR(31-1/(1/SUMPRODUCT(MAX((JP_PAL=DATE(Planungsjahr,12,BZ87))*Anzeige_P*((JP_Anzeige=TRUE)+NOT(Filter_Aktiv)&gt;0)*(11-JP_Farbe)))),IF(COUNTIF(Feiertage,DATE(Planungsjahr,12,BZ87))&gt;0,"h",IF(COUNTIFS(U_Von,"&lt;="&amp;DATE(Planungsjahr,12,BZ87),U_Bis,"&gt;="&amp;DATE(Planungsjahr,12,BZ87))&gt;0,"u",""))),"")</f>
      </c>
      <c r="CC88" s="223">
        <f>IF(ISNUMBER(CC87),IFERROR(11-1/(1/SUMPRODUCT(MAX((JP_StartSel=DATE(Planungsjahr,12,CC87))*Anzeige_S*((JP_Anzeige=TRUE)+NOT(Filter_Aktiv)&gt;0)*(11-JP_Farbe)))),IF(COUNTIF(Feiertage,DATE(Planungsjahr,12,CC87))&gt;0,"h",IF(COUNTIFS(U_Von,"&lt;="&amp;DATE(Planungsjahr,12,CC87),U_Bis,"&gt;="&amp;DATE(Planungsjahr,12,CC87))&gt;0,"u",""))),"")</f>
      </c>
      <c r="CD88" s="224">
        <f>IF(ISNUMBER(CC87),IFERROR(21-1/(1/SUMPRODUCT(MAX((JP_StartInhalt=DATE(Planungsjahr,12,CC87))*Anzeige_I*((JP_Anzeige=TRUE)+NOT(Filter_Aktiv)&gt;0)*(11-JP_Farbe)))),IF(COUNTIF(Feiertage,DATE(Planungsjahr,12,CC87))&gt;0,"h",IF(COUNTIFS(U_Von,"&lt;="&amp;DATE(Planungsjahr,12,CC87),U_Bis,"&gt;="&amp;DATE(Planungsjahr,12,CC87))&gt;0,"u",""))),"")</f>
      </c>
      <c r="CE88" s="225">
        <f>IF(ISNUMBER(CC87),IFERROR(31-1/(1/SUMPRODUCT(MAX((JP_PAL=DATE(Planungsjahr,12,CC87))*Anzeige_P*((JP_Anzeige=TRUE)+NOT(Filter_Aktiv)&gt;0)*(11-JP_Farbe)))),IF(COUNTIF(Feiertage,DATE(Planungsjahr,12,CC87))&gt;0,"h",IF(COUNTIFS(U_Von,"&lt;="&amp;DATE(Planungsjahr,12,CC87),U_Bis,"&gt;="&amp;DATE(Planungsjahr,12,CC87))&gt;0,"u",""))),"")</f>
      </c>
      <c r="CF88" s="223">
        <f>IF(ISNUMBER(CF87),IFERROR(11-1/(1/SUMPRODUCT(MAX((JP_StartSel=DATE(Planungsjahr,12,CF87))*Anzeige_S*((JP_Anzeige=TRUE)+NOT(Filter_Aktiv)&gt;0)*(11-JP_Farbe)))),IF(COUNTIF(Feiertage,DATE(Planungsjahr,12,CF87))&gt;0,"h",IF(COUNTIFS(U_Von,"&lt;="&amp;DATE(Planungsjahr,12,CF87),U_Bis,"&gt;="&amp;DATE(Planungsjahr,12,CF87))&gt;0,"u",""))),"")</f>
      </c>
      <c r="CG88" s="224">
        <f>IF(ISNUMBER(CF87),IFERROR(21-1/(1/SUMPRODUCT(MAX((JP_StartInhalt=DATE(Planungsjahr,12,CF87))*Anzeige_I*((JP_Anzeige=TRUE)+NOT(Filter_Aktiv)&gt;0)*(11-JP_Farbe)))),IF(COUNTIF(Feiertage,DATE(Planungsjahr,12,CF87))&gt;0,"h",IF(COUNTIFS(U_Von,"&lt;="&amp;DATE(Planungsjahr,12,CF87),U_Bis,"&gt;="&amp;DATE(Planungsjahr,12,CF87))&gt;0,"u",""))),"")</f>
      </c>
      <c r="CH88" s="225">
        <f>IF(ISNUMBER(CF87),IFERROR(31-1/(1/SUMPRODUCT(MAX((JP_PAL=DATE(Planungsjahr,12,CF87))*Anzeige_P*((JP_Anzeige=TRUE)+NOT(Filter_Aktiv)&gt;0)*(11-JP_Farbe)))),IF(COUNTIF(Feiertage,DATE(Planungsjahr,12,CF87))&gt;0,"h",IF(COUNTIFS(U_Von,"&lt;="&amp;DATE(Planungsjahr,12,CF87),U_Bis,"&gt;="&amp;DATE(Planungsjahr,12,CF87))&gt;0,"u",""))),"")</f>
      </c>
      <c r="CI88" s="223">
        <f>IF(ISNUMBER(CI87),IFERROR(11-1/(1/SUMPRODUCT(MAX((JP_StartSel=DATE(Planungsjahr,12,CI87))*Anzeige_S*((JP_Anzeige=TRUE)+NOT(Filter_Aktiv)&gt;0)*(11-JP_Farbe)))),IF(COUNTIF(Feiertage,DATE(Planungsjahr,12,CI87))&gt;0,"h","w")),"")</f>
      </c>
      <c r="CJ88" s="224">
        <f>IF(ISNUMBER(CI87),IFERROR(21-1/(1/SUMPRODUCT(MAX((JP_StartInhalt=DATE(Planungsjahr,12,CI87))*Anzeige_I*((JP_Anzeige=TRUE)+NOT(Filter_Aktiv)&gt;0)*(11-JP_Farbe)))),IF(COUNTIF(Feiertage,DATE(Planungsjahr,12,CI87))&gt;0,"h","w")),"")</f>
      </c>
      <c r="CK88" s="225">
        <f>IF(ISNUMBER(CI87),IFERROR(31-1/(1/SUMPRODUCT(MAX((JP_PAL=DATE(Planungsjahr,12,CI87))*Anzeige_P*((JP_Anzeige=TRUE)+NOT(Filter_Aktiv)&gt;0)*(11-JP_Farbe)))),IF(COUNTIF(Feiertage,DATE(Planungsjahr,12,CI87))&gt;0,"h","w")),"")</f>
      </c>
      <c r="CL88" s="223">
        <f>IF(ISNUMBER(CL87),IFERROR(11-1/(1/SUMPRODUCT(MAX((JP_StartSel=DATE(Planungsjahr,12,CL87))*Anzeige_S*((JP_Anzeige=TRUE)+NOT(Filter_Aktiv)&gt;0)*(11-JP_Farbe)))),IF(COUNTIF(Feiertage,DATE(Planungsjahr,12,CL87))&gt;0,"h","w")),"")</f>
      </c>
      <c r="CM88" s="224">
        <f>IF(ISNUMBER(CL87),IFERROR(21-1/(1/SUMPRODUCT(MAX((JP_StartInhalt=DATE(Planungsjahr,12,CL87))*Anzeige_I*((JP_Anzeige=TRUE)+NOT(Filter_Aktiv)&gt;0)*(11-JP_Farbe)))),IF(COUNTIF(Feiertage,DATE(Planungsjahr,12,CL87))&gt;0,"h","w")),"")</f>
      </c>
      <c r="CN88" s="225">
        <f>IF(ISNUMBER(CL87),IFERROR(31-1/(1/SUMPRODUCT(MAX((JP_PAL=DATE(Planungsjahr,12,CL87))*Anzeige_P*((JP_Anzeige=TRUE)+NOT(Filter_Aktiv)&gt;0)*(11-JP_Farbe)))),IF(COUNTIF(Feiertage,DATE(Planungsjahr,12,CL87))&gt;0,"h","w")),"")</f>
      </c>
    </row>
    <row r="89" spans="2:92" ht="15.95" customHeight="1" x14ac:dyDescent="0.25">
      <c r="B89" s="177">
        <f>IF(OR(ISNUMBER(C89),ISNUMBER(U89)),_xlfn.ISOWEEKNUM(DATE(Planungsjahr,9,1)-WEEKDAY(DATE(Planungsjahr,9,1),2)+29),"")</f>
        <v>39</v>
      </c>
      <c r="C89" s="188">
        <f>IF(MONTH(DATE(Planungsjahr,9,1)-WEEKDAY(DATE(Planungsjahr,9,1),2)+29)=9,DAY(DATE(Planungsjahr,9,1)-WEEKDAY(DATE(Planungsjahr,9,1),2)+29),"")</f>
        <v>27</v>
      </c>
      <c r="D89" s="188"/>
      <c r="E89" s="188"/>
      <c r="F89" s="188">
        <f>IF(MONTH(DATE(Planungsjahr,9,1)-WEEKDAY(DATE(Planungsjahr,9,1),2)+30)=9,DAY(DATE(Planungsjahr,9,1)-WEEKDAY(DATE(Planungsjahr,9,1),2)+30),"")</f>
        <v>28</v>
      </c>
      <c r="G89" s="188"/>
      <c r="H89" s="188"/>
      <c r="I89" s="188">
        <f>IF(MONTH(DATE(Planungsjahr,9,1)-WEEKDAY(DATE(Planungsjahr,9,1),2)+31)=9,DAY(DATE(Planungsjahr,9,1)-WEEKDAY(DATE(Planungsjahr,9,1),2)+31),"")</f>
        <v>29</v>
      </c>
      <c r="J89" s="188"/>
      <c r="K89" s="188"/>
      <c r="L89" s="188">
        <f>IF(MONTH(DATE(Planungsjahr,9,1)-WEEKDAY(DATE(Planungsjahr,9,1),2)+32)=9,DAY(DATE(Planungsjahr,9,1)-WEEKDAY(DATE(Planungsjahr,9,1),2)+32),"")</f>
        <v>30</v>
      </c>
      <c r="M89" s="188"/>
      <c r="N89" s="188"/>
      <c r="O89" s="188" t="str">
        <f>IF(MONTH(DATE(Planungsjahr,9,1)-WEEKDAY(DATE(Planungsjahr,9,1),2)+33)=9,DAY(DATE(Planungsjahr,9,1)-WEEKDAY(DATE(Planungsjahr,9,1),2)+33),"")</f>
        <v/>
      </c>
      <c r="P89" s="188"/>
      <c r="Q89" s="188"/>
      <c r="R89" s="188" t="str">
        <f>IF(MONTH(DATE(Planungsjahr,9,1)-WEEKDAY(DATE(Planungsjahr,9,1),2)+34)=9,DAY(DATE(Planungsjahr,9,1)-WEEKDAY(DATE(Planungsjahr,9,1),2)+34),"")</f>
        <v/>
      </c>
      <c r="S89" s="188"/>
      <c r="T89" s="188"/>
      <c r="U89" s="188" t="str">
        <f>IF(MONTH(DATE(Planungsjahr,9,1)-WEEKDAY(DATE(Planungsjahr,9,1),2)+35)=9,DAY(DATE(Planungsjahr,9,1)-WEEKDAY(DATE(Planungsjahr,9,1),2)+35),"")</f>
        <v/>
      </c>
      <c r="V89" s="188"/>
      <c r="W89" s="190"/>
      <c r="Y89" s="177">
        <f>IF(OR(ISNUMBER(Z89),ISNUMBER(AR89)),_xlfn.ISOWEEKNUM(DATE(Planungsjahr,10,1)-WEEKDAY(DATE(Planungsjahr,10,1),2)+29),"")</f>
        <v>43</v>
      </c>
      <c r="Z89" s="188">
        <f>IF(MONTH(DATE(Planungsjahr,10,1)-WEEKDAY(DATE(Planungsjahr,10,1),2)+29)=10,DAY(DATE(Planungsjahr,10,1)-WEEKDAY(DATE(Planungsjahr,10,1),2)+29),"")</f>
        <v>25</v>
      </c>
      <c r="AA89" s="188"/>
      <c r="AB89" s="188"/>
      <c r="AC89" s="188">
        <f>IF(MONTH(DATE(Planungsjahr,10,1)-WEEKDAY(DATE(Planungsjahr,10,1),2)+30)=10,DAY(DATE(Planungsjahr,10,1)-WEEKDAY(DATE(Planungsjahr,10,1),2)+30),"")</f>
        <v>26</v>
      </c>
      <c r="AD89" s="188"/>
      <c r="AE89" s="188"/>
      <c r="AF89" s="188">
        <f>IF(MONTH(DATE(Planungsjahr,10,1)-WEEKDAY(DATE(Planungsjahr,10,1),2)+31)=10,DAY(DATE(Planungsjahr,10,1)-WEEKDAY(DATE(Planungsjahr,10,1),2)+31),"")</f>
        <v>27</v>
      </c>
      <c r="AG89" s="188"/>
      <c r="AH89" s="188"/>
      <c r="AI89" s="188">
        <f>IF(MONTH(DATE(Planungsjahr,10,1)-WEEKDAY(DATE(Planungsjahr,10,1),2)+32)=10,DAY(DATE(Planungsjahr,10,1)-WEEKDAY(DATE(Planungsjahr,10,1),2)+32),"")</f>
        <v>28</v>
      </c>
      <c r="AJ89" s="188"/>
      <c r="AK89" s="188"/>
      <c r="AL89" s="188">
        <f>IF(MONTH(DATE(Planungsjahr,10,1)-WEEKDAY(DATE(Planungsjahr,10,1),2)+33)=10,DAY(DATE(Planungsjahr,10,1)-WEEKDAY(DATE(Planungsjahr,10,1),2)+33),"")</f>
        <v>29</v>
      </c>
      <c r="AM89" s="188"/>
      <c r="AN89" s="188"/>
      <c r="AO89" s="188">
        <f>IF(MONTH(DATE(Planungsjahr,10,1)-WEEKDAY(DATE(Planungsjahr,10,1),2)+34)=10,DAY(DATE(Planungsjahr,10,1)-WEEKDAY(DATE(Planungsjahr,10,1),2)+34),"")</f>
        <v>30</v>
      </c>
      <c r="AP89" s="188"/>
      <c r="AQ89" s="188"/>
      <c r="AR89" s="188">
        <f>IF(MONTH(DATE(Planungsjahr,10,1)-WEEKDAY(DATE(Planungsjahr,10,1),2)+35)=10,DAY(DATE(Planungsjahr,10,1)-WEEKDAY(DATE(Planungsjahr,10,1),2)+35),"")</f>
        <v>31</v>
      </c>
      <c r="AS89" s="188"/>
      <c r="AT89" s="190"/>
      <c r="AV89" s="177">
        <f>IF(OR(ISNUMBER(AW89),ISNUMBER(BO89)),_xlfn.ISOWEEKNUM(DATE(Planungsjahr,11,1)-WEEKDAY(DATE(Planungsjahr,11,1),2)+29),"")</f>
        <v>48</v>
      </c>
      <c r="AW89" s="188">
        <f>IF(MONTH(DATE(Planungsjahr,11,1)-WEEKDAY(DATE(Planungsjahr,11,1),2)+29)=11,DAY(DATE(Planungsjahr,11,1)-WEEKDAY(DATE(Planungsjahr,11,1),2)+29),"")</f>
        <v>29</v>
      </c>
      <c r="AX89" s="188"/>
      <c r="AY89" s="188"/>
      <c r="AZ89" s="188">
        <f>IF(MONTH(DATE(Planungsjahr,11,1)-WEEKDAY(DATE(Planungsjahr,11,1),2)+30)=11,DAY(DATE(Planungsjahr,11,1)-WEEKDAY(DATE(Planungsjahr,11,1),2)+30),"")</f>
        <v>30</v>
      </c>
      <c r="BA89" s="188"/>
      <c r="BB89" s="188"/>
      <c r="BC89" s="188" t="str">
        <f>IF(MONTH(DATE(Planungsjahr,11,1)-WEEKDAY(DATE(Planungsjahr,11,1),2)+31)=11,DAY(DATE(Planungsjahr,11,1)-WEEKDAY(DATE(Planungsjahr,11,1),2)+31),"")</f>
        <v/>
      </c>
      <c r="BD89" s="188"/>
      <c r="BE89" s="188"/>
      <c r="BF89" s="188" t="str">
        <f>IF(MONTH(DATE(Planungsjahr,11,1)-WEEKDAY(DATE(Planungsjahr,11,1),2)+32)=11,DAY(DATE(Planungsjahr,11,1)-WEEKDAY(DATE(Planungsjahr,11,1),2)+32),"")</f>
        <v/>
      </c>
      <c r="BG89" s="188"/>
      <c r="BH89" s="188"/>
      <c r="BI89" s="188" t="str">
        <f>IF(MONTH(DATE(Planungsjahr,11,1)-WEEKDAY(DATE(Planungsjahr,11,1),2)+33)=11,DAY(DATE(Planungsjahr,11,1)-WEEKDAY(DATE(Planungsjahr,11,1),2)+33),"")</f>
        <v/>
      </c>
      <c r="BJ89" s="188"/>
      <c r="BK89" s="188"/>
      <c r="BL89" s="188" t="str">
        <f>IF(MONTH(DATE(Planungsjahr,11,1)-WEEKDAY(DATE(Planungsjahr,11,1),2)+34)=11,DAY(DATE(Planungsjahr,11,1)-WEEKDAY(DATE(Planungsjahr,11,1),2)+34),"")</f>
        <v/>
      </c>
      <c r="BM89" s="188"/>
      <c r="BN89" s="188"/>
      <c r="BO89" s="188" t="str">
        <f>IF(MONTH(DATE(Planungsjahr,11,1)-WEEKDAY(DATE(Planungsjahr,11,1),2)+35)=11,DAY(DATE(Planungsjahr,11,1)-WEEKDAY(DATE(Planungsjahr,11,1),2)+35),"")</f>
        <v/>
      </c>
      <c r="BP89" s="188"/>
      <c r="BQ89" s="190"/>
      <c r="BS89" s="177">
        <f>IF(OR(ISNUMBER(BT89),ISNUMBER(CL89)),_xlfn.ISOWEEKNUM(DATE(Planungsjahr,12,1)-WEEKDAY(DATE(Planungsjahr,12,1),2)+29),"")</f>
        <v>52</v>
      </c>
      <c r="BT89" s="188">
        <f>IF(MONTH(DATE(Planungsjahr,12,1)-WEEKDAY(DATE(Planungsjahr,12,1),2)+29)=12,DAY(DATE(Planungsjahr,12,1)-WEEKDAY(DATE(Planungsjahr,12,1),2)+29),"")</f>
        <v>27</v>
      </c>
      <c r="BU89" s="188"/>
      <c r="BV89" s="188"/>
      <c r="BW89" s="188">
        <f>IF(MONTH(DATE(Planungsjahr,12,1)-WEEKDAY(DATE(Planungsjahr,12,1),2)+30)=12,DAY(DATE(Planungsjahr,12,1)-WEEKDAY(DATE(Planungsjahr,12,1),2)+30),"")</f>
        <v>28</v>
      </c>
      <c r="BX89" s="188"/>
      <c r="BY89" s="188"/>
      <c r="BZ89" s="188">
        <f>IF(MONTH(DATE(Planungsjahr,12,1)-WEEKDAY(DATE(Planungsjahr,12,1),2)+31)=12,DAY(DATE(Planungsjahr,12,1)-WEEKDAY(DATE(Planungsjahr,12,1),2)+31),"")</f>
        <v>29</v>
      </c>
      <c r="CA89" s="188"/>
      <c r="CB89" s="188"/>
      <c r="CC89" s="188">
        <f>IF(MONTH(DATE(Planungsjahr,12,1)-WEEKDAY(DATE(Planungsjahr,12,1),2)+32)=12,DAY(DATE(Planungsjahr,12,1)-WEEKDAY(DATE(Planungsjahr,12,1),2)+32),"")</f>
        <v>30</v>
      </c>
      <c r="CD89" s="188"/>
      <c r="CE89" s="188"/>
      <c r="CF89" s="188">
        <f>IF(MONTH(DATE(Planungsjahr,12,1)-WEEKDAY(DATE(Planungsjahr,12,1),2)+33)=12,DAY(DATE(Planungsjahr,12,1)-WEEKDAY(DATE(Planungsjahr,12,1),2)+33),"")</f>
        <v>31</v>
      </c>
      <c r="CG89" s="188"/>
      <c r="CH89" s="188"/>
      <c r="CI89" s="188" t="str">
        <f>IF(MONTH(DATE(Planungsjahr,12,1)-WEEKDAY(DATE(Planungsjahr,12,1),2)+34)=12,DAY(DATE(Planungsjahr,12,1)-WEEKDAY(DATE(Planungsjahr,12,1),2)+34),"")</f>
        <v/>
      </c>
      <c r="CJ89" s="188"/>
      <c r="CK89" s="188"/>
      <c r="CL89" s="188" t="str">
        <f>IF(MONTH(DATE(Planungsjahr,12,1)-WEEKDAY(DATE(Planungsjahr,12,1),2)+35)=12,DAY(DATE(Planungsjahr,12,1)-WEEKDAY(DATE(Planungsjahr,12,1),2)+35),"")</f>
        <v/>
      </c>
      <c r="CM89" s="188"/>
      <c r="CN89" s="190"/>
    </row>
    <row r="90" spans="2:92" ht="10.5" customHeight="1" x14ac:dyDescent="0.25">
      <c r="B90" s="179"/>
      <c r="C90" s="223">
        <f>IF(ISNUMBER(C89),IFERROR(11-1/(1/SUMPRODUCT(MAX((JP_StartSel=DATE(Planungsjahr,9,C89))*Anzeige_S*((JP_Anzeige=TRUE)+NOT(Filter_Aktiv)&gt;0)*(11-JP_Farbe)))),IF(COUNTIF(Feiertage,DATE(Planungsjahr,9,C89))&gt;0,"h",IF(COUNTIFS(U_Von,"&lt;="&amp;DATE(Planungsjahr,9,C89),U_Bis,"&gt;="&amp;DATE(Planungsjahr,9,C89))&gt;0,"u",""))),"")</f>
      </c>
      <c r="D90" s="224">
        <f>IF(ISNUMBER(C89),IFERROR(21-1/(1/SUMPRODUCT(MAX((JP_StartInhalt=DATE(Planungsjahr,9,C89))*Anzeige_I*((JP_Anzeige=TRUE)+NOT(Filter_Aktiv)&gt;0)*(11-JP_Farbe)))),IF(COUNTIF(Feiertage,DATE(Planungsjahr,9,C89))&gt;0,"h",IF(COUNTIFS(U_Von,"&lt;="&amp;DATE(Planungsjahr,9,C89),U_Bis,"&gt;="&amp;DATE(Planungsjahr,9,C89))&gt;0,"u",""))),"")</f>
      </c>
      <c r="E90" s="225">
        <f>IF(ISNUMBER(C89),IFERROR(31-1/(1/SUMPRODUCT(MAX((JP_PAL=DATE(Planungsjahr,9,C89))*Anzeige_P*((JP_Anzeige=TRUE)+NOT(Filter_Aktiv)&gt;0)*(11-JP_Farbe)))),IF(COUNTIF(Feiertage,DATE(Planungsjahr,9,C89))&gt;0,"h",IF(COUNTIFS(U_Von,"&lt;="&amp;DATE(Planungsjahr,9,C89),U_Bis,"&gt;="&amp;DATE(Planungsjahr,9,C89))&gt;0,"u",""))),"")</f>
      </c>
      <c r="F90" s="223">
        <f>IF(ISNUMBER(F89),IFERROR(11-1/(1/SUMPRODUCT(MAX((JP_StartSel=DATE(Planungsjahr,9,F89))*Anzeige_S*((JP_Anzeige=TRUE)+NOT(Filter_Aktiv)&gt;0)*(11-JP_Farbe)))),IF(COUNTIF(Feiertage,DATE(Planungsjahr,9,F89))&gt;0,"h",IF(COUNTIFS(U_Von,"&lt;="&amp;DATE(Planungsjahr,9,F89),U_Bis,"&gt;="&amp;DATE(Planungsjahr,9,F89))&gt;0,"u",""))),"")</f>
      </c>
      <c r="G90" s="224">
        <f>IF(ISNUMBER(F89),IFERROR(21-1/(1/SUMPRODUCT(MAX((JP_StartInhalt=DATE(Planungsjahr,9,F89))*Anzeige_I*((JP_Anzeige=TRUE)+NOT(Filter_Aktiv)&gt;0)*(11-JP_Farbe)))),IF(COUNTIF(Feiertage,DATE(Planungsjahr,9,F89))&gt;0,"h",IF(COUNTIFS(U_Von,"&lt;="&amp;DATE(Planungsjahr,9,F89),U_Bis,"&gt;="&amp;DATE(Planungsjahr,9,F89))&gt;0,"u",""))),"")</f>
      </c>
      <c r="H90" s="225">
        <f>IF(ISNUMBER(F89),IFERROR(31-1/(1/SUMPRODUCT(MAX((JP_PAL=DATE(Planungsjahr,9,F89))*Anzeige_P*((JP_Anzeige=TRUE)+NOT(Filter_Aktiv)&gt;0)*(11-JP_Farbe)))),IF(COUNTIF(Feiertage,DATE(Planungsjahr,9,F89))&gt;0,"h",IF(COUNTIFS(U_Von,"&lt;="&amp;DATE(Planungsjahr,9,F89),U_Bis,"&gt;="&amp;DATE(Planungsjahr,9,F89))&gt;0,"u",""))),"")</f>
      </c>
      <c r="I90" s="223">
        <f>IF(ISNUMBER(I89),IFERROR(11-1/(1/SUMPRODUCT(MAX((JP_StartSel=DATE(Planungsjahr,9,I89))*Anzeige_S*((JP_Anzeige=TRUE)+NOT(Filter_Aktiv)&gt;0)*(11-JP_Farbe)))),IF(COUNTIF(Feiertage,DATE(Planungsjahr,9,I89))&gt;0,"h",IF(COUNTIFS(U_Von,"&lt;="&amp;DATE(Planungsjahr,9,I89),U_Bis,"&gt;="&amp;DATE(Planungsjahr,9,I89))&gt;0,"u",""))),"")</f>
      </c>
      <c r="J90" s="224">
        <f>IF(ISNUMBER(I89),IFERROR(21-1/(1/SUMPRODUCT(MAX((JP_StartInhalt=DATE(Planungsjahr,9,I89))*Anzeige_I*((JP_Anzeige=TRUE)+NOT(Filter_Aktiv)&gt;0)*(11-JP_Farbe)))),IF(COUNTIF(Feiertage,DATE(Planungsjahr,9,I89))&gt;0,"h",IF(COUNTIFS(U_Von,"&lt;="&amp;DATE(Planungsjahr,9,I89),U_Bis,"&gt;="&amp;DATE(Planungsjahr,9,I89))&gt;0,"u",""))),"")</f>
      </c>
      <c r="K90" s="225">
        <f>IF(ISNUMBER(I89),IFERROR(31-1/(1/SUMPRODUCT(MAX((JP_PAL=DATE(Planungsjahr,9,I89))*Anzeige_P*((JP_Anzeige=TRUE)+NOT(Filter_Aktiv)&gt;0)*(11-JP_Farbe)))),IF(COUNTIF(Feiertage,DATE(Planungsjahr,9,I89))&gt;0,"h",IF(COUNTIFS(U_Von,"&lt;="&amp;DATE(Planungsjahr,9,I89),U_Bis,"&gt;="&amp;DATE(Planungsjahr,9,I89))&gt;0,"u",""))),"")</f>
      </c>
      <c r="L90" s="223">
        <f>IF(ISNUMBER(L89),IFERROR(11-1/(1/SUMPRODUCT(MAX((JP_StartSel=DATE(Planungsjahr,9,L89))*Anzeige_S*((JP_Anzeige=TRUE)+NOT(Filter_Aktiv)&gt;0)*(11-JP_Farbe)))),IF(COUNTIF(Feiertage,DATE(Planungsjahr,9,L89))&gt;0,"h",IF(COUNTIFS(U_Von,"&lt;="&amp;DATE(Planungsjahr,9,L89),U_Bis,"&gt;="&amp;DATE(Planungsjahr,9,L89))&gt;0,"u",""))),"")</f>
      </c>
      <c r="M90" s="224">
        <f>IF(ISNUMBER(L89),IFERROR(21-1/(1/SUMPRODUCT(MAX((JP_StartInhalt=DATE(Planungsjahr,9,L89))*Anzeige_I*((JP_Anzeige=TRUE)+NOT(Filter_Aktiv)&gt;0)*(11-JP_Farbe)))),IF(COUNTIF(Feiertage,DATE(Planungsjahr,9,L89))&gt;0,"h",IF(COUNTIFS(U_Von,"&lt;="&amp;DATE(Planungsjahr,9,L89),U_Bis,"&gt;="&amp;DATE(Planungsjahr,9,L89))&gt;0,"u",""))),"")</f>
      </c>
      <c r="N90" s="225">
        <f>IF(ISNUMBER(L89),IFERROR(31-1/(1/SUMPRODUCT(MAX((JP_PAL=DATE(Planungsjahr,9,L89))*Anzeige_P*((JP_Anzeige=TRUE)+NOT(Filter_Aktiv)&gt;0)*(11-JP_Farbe)))),IF(COUNTIF(Feiertage,DATE(Planungsjahr,9,L89))&gt;0,"h",IF(COUNTIFS(U_Von,"&lt;="&amp;DATE(Planungsjahr,9,L89),U_Bis,"&gt;="&amp;DATE(Planungsjahr,9,L89))&gt;0,"u",""))),"")</f>
      </c>
      <c r="O90" s="223">
        <f>IF(ISNUMBER(O89),IFERROR(11-1/(1/SUMPRODUCT(MAX((JP_StartSel=DATE(Planungsjahr,9,O89))*Anzeige_S*((JP_Anzeige=TRUE)+NOT(Filter_Aktiv)&gt;0)*(11-JP_Farbe)))),IF(COUNTIF(Feiertage,DATE(Planungsjahr,9,O89))&gt;0,"h",IF(COUNTIFS(U_Von,"&lt;="&amp;DATE(Planungsjahr,9,O89),U_Bis,"&gt;="&amp;DATE(Planungsjahr,9,O89))&gt;0,"u",""))),"")</f>
      </c>
      <c r="P90" s="224">
        <f>IF(ISNUMBER(O89),IFERROR(21-1/(1/SUMPRODUCT(MAX((JP_StartInhalt=DATE(Planungsjahr,9,O89))*Anzeige_I*((JP_Anzeige=TRUE)+NOT(Filter_Aktiv)&gt;0)*(11-JP_Farbe)))),IF(COUNTIF(Feiertage,DATE(Planungsjahr,9,O89))&gt;0,"h",IF(COUNTIFS(U_Von,"&lt;="&amp;DATE(Planungsjahr,9,O89),U_Bis,"&gt;="&amp;DATE(Planungsjahr,9,O89))&gt;0,"u",""))),"")</f>
      </c>
      <c r="Q90" s="225">
        <f>IF(ISNUMBER(O89),IFERROR(31-1/(1/SUMPRODUCT(MAX((JP_PAL=DATE(Planungsjahr,9,O89))*Anzeige_P*((JP_Anzeige=TRUE)+NOT(Filter_Aktiv)&gt;0)*(11-JP_Farbe)))),IF(COUNTIF(Feiertage,DATE(Planungsjahr,9,O89))&gt;0,"h",IF(COUNTIFS(U_Von,"&lt;="&amp;DATE(Planungsjahr,9,O89),U_Bis,"&gt;="&amp;DATE(Planungsjahr,9,O89))&gt;0,"u",""))),"")</f>
      </c>
      <c r="R90" s="223">
        <f>IF(ISNUMBER(R89),IFERROR(11-1/(1/SUMPRODUCT(MAX((JP_StartSel=DATE(Planungsjahr,9,R89))*Anzeige_S*((JP_Anzeige=TRUE)+NOT(Filter_Aktiv)&gt;0)*(11-JP_Farbe)))),IF(COUNTIF(Feiertage,DATE(Planungsjahr,9,R89))&gt;0,"h","w")),"")</f>
      </c>
      <c r="S90" s="224">
        <f>IF(ISNUMBER(R89),IFERROR(21-1/(1/SUMPRODUCT(MAX((JP_StartInhalt=DATE(Planungsjahr,9,R89))*Anzeige_I*((JP_Anzeige=TRUE)+NOT(Filter_Aktiv)&gt;0)*(11-JP_Farbe)))),IF(COUNTIF(Feiertage,DATE(Planungsjahr,9,R89))&gt;0,"h","w")),"")</f>
      </c>
      <c r="T90" s="225">
        <f>IF(ISNUMBER(R89),IFERROR(31-1/(1/SUMPRODUCT(MAX((JP_PAL=DATE(Planungsjahr,9,R89))*Anzeige_P*((JP_Anzeige=TRUE)+NOT(Filter_Aktiv)&gt;0)*(11-JP_Farbe)))),IF(COUNTIF(Feiertage,DATE(Planungsjahr,9,R89))&gt;0,"h","w")),"")</f>
      </c>
      <c r="U90" s="223">
        <f>IF(ISNUMBER(U89),IFERROR(11-1/(1/SUMPRODUCT(MAX((JP_StartSel=DATE(Planungsjahr,9,U89))*Anzeige_S*((JP_Anzeige=TRUE)+NOT(Filter_Aktiv)&gt;0)*(11-JP_Farbe)))),IF(COUNTIF(Feiertage,DATE(Planungsjahr,9,U89))&gt;0,"h","w")),"")</f>
      </c>
      <c r="V90" s="224">
        <f>IF(ISNUMBER(U89),IFERROR(21-1/(1/SUMPRODUCT(MAX((JP_StartInhalt=DATE(Planungsjahr,9,U89))*Anzeige_I*((JP_Anzeige=TRUE)+NOT(Filter_Aktiv)&gt;0)*(11-JP_Farbe)))),IF(COUNTIF(Feiertage,DATE(Planungsjahr,9,U89))&gt;0,"h","w")),"")</f>
      </c>
      <c r="W90" s="225">
        <f>IF(ISNUMBER(U89),IFERROR(31-1/(1/SUMPRODUCT(MAX((JP_PAL=DATE(Planungsjahr,9,U89))*Anzeige_P*((JP_Anzeige=TRUE)+NOT(Filter_Aktiv)&gt;0)*(11-JP_Farbe)))),IF(COUNTIF(Feiertage,DATE(Planungsjahr,9,U89))&gt;0,"h","w")),"")</f>
      </c>
      <c r="Y90" s="179"/>
      <c r="Z90" s="223">
        <f>IF(ISNUMBER(Z89),IFERROR(11-1/(1/SUMPRODUCT(MAX((JP_StartSel=DATE(Planungsjahr,10,Z89))*Anzeige_S*((JP_Anzeige=TRUE)+NOT(Filter_Aktiv)&gt;0)*(11-JP_Farbe)))),IF(COUNTIF(Feiertage,DATE(Planungsjahr,10,Z89))&gt;0,"h",IF(COUNTIFS(U_Von,"&lt;="&amp;DATE(Planungsjahr,10,Z89),U_Bis,"&gt;="&amp;DATE(Planungsjahr,10,Z89))&gt;0,"u",""))),"")</f>
      </c>
      <c r="AA90" s="224">
        <f>IF(ISNUMBER(Z89),IFERROR(21-1/(1/SUMPRODUCT(MAX((JP_StartInhalt=DATE(Planungsjahr,10,Z89))*Anzeige_I*((JP_Anzeige=TRUE)+NOT(Filter_Aktiv)&gt;0)*(11-JP_Farbe)))),IF(COUNTIF(Feiertage,DATE(Planungsjahr,10,Z89))&gt;0,"h",IF(COUNTIFS(U_Von,"&lt;="&amp;DATE(Planungsjahr,10,Z89),U_Bis,"&gt;="&amp;DATE(Planungsjahr,10,Z89))&gt;0,"u",""))),"")</f>
      </c>
      <c r="AB90" s="225">
        <f>IF(ISNUMBER(Z89),IFERROR(31-1/(1/SUMPRODUCT(MAX((JP_PAL=DATE(Planungsjahr,10,Z89))*Anzeige_P*((JP_Anzeige=TRUE)+NOT(Filter_Aktiv)&gt;0)*(11-JP_Farbe)))),IF(COUNTIF(Feiertage,DATE(Planungsjahr,10,Z89))&gt;0,"h",IF(COUNTIFS(U_Von,"&lt;="&amp;DATE(Planungsjahr,10,Z89),U_Bis,"&gt;="&amp;DATE(Planungsjahr,10,Z89))&gt;0,"u",""))),"")</f>
      </c>
      <c r="AC90" s="223">
        <f>IF(ISNUMBER(AC89),IFERROR(11-1/(1/SUMPRODUCT(MAX((JP_StartSel=DATE(Planungsjahr,10,AC89))*Anzeige_S*((JP_Anzeige=TRUE)+NOT(Filter_Aktiv)&gt;0)*(11-JP_Farbe)))),IF(COUNTIF(Feiertage,DATE(Planungsjahr,10,AC89))&gt;0,"h",IF(COUNTIFS(U_Von,"&lt;="&amp;DATE(Planungsjahr,10,AC89),U_Bis,"&gt;="&amp;DATE(Planungsjahr,10,AC89))&gt;0,"u",""))),"")</f>
      </c>
      <c r="AD90" s="224">
        <f>IF(ISNUMBER(AC89),IFERROR(21-1/(1/SUMPRODUCT(MAX((JP_StartInhalt=DATE(Planungsjahr,10,AC89))*Anzeige_I*((JP_Anzeige=TRUE)+NOT(Filter_Aktiv)&gt;0)*(11-JP_Farbe)))),IF(COUNTIF(Feiertage,DATE(Planungsjahr,10,AC89))&gt;0,"h",IF(COUNTIFS(U_Von,"&lt;="&amp;DATE(Planungsjahr,10,AC89),U_Bis,"&gt;="&amp;DATE(Planungsjahr,10,AC89))&gt;0,"u",""))),"")</f>
      </c>
      <c r="AE90" s="225">
        <f>IF(ISNUMBER(AC89),IFERROR(31-1/(1/SUMPRODUCT(MAX((JP_PAL=DATE(Planungsjahr,10,AC89))*Anzeige_P*((JP_Anzeige=TRUE)+NOT(Filter_Aktiv)&gt;0)*(11-JP_Farbe)))),IF(COUNTIF(Feiertage,DATE(Planungsjahr,10,AC89))&gt;0,"h",IF(COUNTIFS(U_Von,"&lt;="&amp;DATE(Planungsjahr,10,AC89),U_Bis,"&gt;="&amp;DATE(Planungsjahr,10,AC89))&gt;0,"u",""))),"")</f>
      </c>
      <c r="AF90" s="223">
        <f>IF(ISNUMBER(AF89),IFERROR(11-1/(1/SUMPRODUCT(MAX((JP_StartSel=DATE(Planungsjahr,10,AF89))*Anzeige_S*((JP_Anzeige=TRUE)+NOT(Filter_Aktiv)&gt;0)*(11-JP_Farbe)))),IF(COUNTIF(Feiertage,DATE(Planungsjahr,10,AF89))&gt;0,"h",IF(COUNTIFS(U_Von,"&lt;="&amp;DATE(Planungsjahr,10,AF89),U_Bis,"&gt;="&amp;DATE(Planungsjahr,10,AF89))&gt;0,"u",""))),"")</f>
      </c>
      <c r="AG90" s="224">
        <f>IF(ISNUMBER(AF89),IFERROR(21-1/(1/SUMPRODUCT(MAX((JP_StartInhalt=DATE(Planungsjahr,10,AF89))*Anzeige_I*((JP_Anzeige=TRUE)+NOT(Filter_Aktiv)&gt;0)*(11-JP_Farbe)))),IF(COUNTIF(Feiertage,DATE(Planungsjahr,10,AF89))&gt;0,"h",IF(COUNTIFS(U_Von,"&lt;="&amp;DATE(Planungsjahr,10,AF89),U_Bis,"&gt;="&amp;DATE(Planungsjahr,10,AF89))&gt;0,"u",""))),"")</f>
      </c>
      <c r="AH90" s="225">
        <f>IF(ISNUMBER(AF89),IFERROR(31-1/(1/SUMPRODUCT(MAX((JP_PAL=DATE(Planungsjahr,10,AF89))*Anzeige_P*((JP_Anzeige=TRUE)+NOT(Filter_Aktiv)&gt;0)*(11-JP_Farbe)))),IF(COUNTIF(Feiertage,DATE(Planungsjahr,10,AF89))&gt;0,"h",IF(COUNTIFS(U_Von,"&lt;="&amp;DATE(Planungsjahr,10,AF89),U_Bis,"&gt;="&amp;DATE(Planungsjahr,10,AF89))&gt;0,"u",""))),"")</f>
      </c>
      <c r="AI90" s="223">
        <f>IF(ISNUMBER(AI89),IFERROR(11-1/(1/SUMPRODUCT(MAX((JP_StartSel=DATE(Planungsjahr,10,AI89))*Anzeige_S*((JP_Anzeige=TRUE)+NOT(Filter_Aktiv)&gt;0)*(11-JP_Farbe)))),IF(COUNTIF(Feiertage,DATE(Planungsjahr,10,AI89))&gt;0,"h",IF(COUNTIFS(U_Von,"&lt;="&amp;DATE(Planungsjahr,10,AI89),U_Bis,"&gt;="&amp;DATE(Planungsjahr,10,AI89))&gt;0,"u",""))),"")</f>
      </c>
      <c r="AJ90" s="224">
        <f>IF(ISNUMBER(AI89),IFERROR(21-1/(1/SUMPRODUCT(MAX((JP_StartInhalt=DATE(Planungsjahr,10,AI89))*Anzeige_I*((JP_Anzeige=TRUE)+NOT(Filter_Aktiv)&gt;0)*(11-JP_Farbe)))),IF(COUNTIF(Feiertage,DATE(Planungsjahr,10,AI89))&gt;0,"h",IF(COUNTIFS(U_Von,"&lt;="&amp;DATE(Planungsjahr,10,AI89),U_Bis,"&gt;="&amp;DATE(Planungsjahr,10,AI89))&gt;0,"u",""))),"")</f>
      </c>
      <c r="AK90" s="225">
        <f>IF(ISNUMBER(AI89),IFERROR(31-1/(1/SUMPRODUCT(MAX((JP_PAL=DATE(Planungsjahr,10,AI89))*Anzeige_P*((JP_Anzeige=TRUE)+NOT(Filter_Aktiv)&gt;0)*(11-JP_Farbe)))),IF(COUNTIF(Feiertage,DATE(Planungsjahr,10,AI89))&gt;0,"h",IF(COUNTIFS(U_Von,"&lt;="&amp;DATE(Planungsjahr,10,AI89),U_Bis,"&gt;="&amp;DATE(Planungsjahr,10,AI89))&gt;0,"u",""))),"")</f>
      </c>
      <c r="AL90" s="223">
        <f>IF(ISNUMBER(AL89),IFERROR(11-1/(1/SUMPRODUCT(MAX((JP_StartSel=DATE(Planungsjahr,10,AL89))*Anzeige_S*((JP_Anzeige=TRUE)+NOT(Filter_Aktiv)&gt;0)*(11-JP_Farbe)))),IF(COUNTIF(Feiertage,DATE(Planungsjahr,10,AL89))&gt;0,"h",IF(COUNTIFS(U_Von,"&lt;="&amp;DATE(Planungsjahr,10,AL89),U_Bis,"&gt;="&amp;DATE(Planungsjahr,10,AL89))&gt;0,"u",""))),"")</f>
      </c>
      <c r="AM90" s="224">
        <f>IF(ISNUMBER(AL89),IFERROR(21-1/(1/SUMPRODUCT(MAX((JP_StartInhalt=DATE(Planungsjahr,10,AL89))*Anzeige_I*((JP_Anzeige=TRUE)+NOT(Filter_Aktiv)&gt;0)*(11-JP_Farbe)))),IF(COUNTIF(Feiertage,DATE(Planungsjahr,10,AL89))&gt;0,"h",IF(COUNTIFS(U_Von,"&lt;="&amp;DATE(Planungsjahr,10,AL89),U_Bis,"&gt;="&amp;DATE(Planungsjahr,10,AL89))&gt;0,"u",""))),"")</f>
      </c>
      <c r="AN90" s="225">
        <f>IF(ISNUMBER(AL89),IFERROR(31-1/(1/SUMPRODUCT(MAX((JP_PAL=DATE(Planungsjahr,10,AL89))*Anzeige_P*((JP_Anzeige=TRUE)+NOT(Filter_Aktiv)&gt;0)*(11-JP_Farbe)))),IF(COUNTIF(Feiertage,DATE(Planungsjahr,10,AL89))&gt;0,"h",IF(COUNTIFS(U_Von,"&lt;="&amp;DATE(Planungsjahr,10,AL89),U_Bis,"&gt;="&amp;DATE(Planungsjahr,10,AL89))&gt;0,"u",""))),"")</f>
      </c>
      <c r="AO90" s="223">
        <f>IF(ISNUMBER(AO89),IFERROR(11-1/(1/SUMPRODUCT(MAX((JP_StartSel=DATE(Planungsjahr,10,AO89))*Anzeige_S*((JP_Anzeige=TRUE)+NOT(Filter_Aktiv)&gt;0)*(11-JP_Farbe)))),IF(COUNTIF(Feiertage,DATE(Planungsjahr,10,AO89))&gt;0,"h","w")),"")</f>
      </c>
      <c r="AP90" s="224">
        <f>IF(ISNUMBER(AO89),IFERROR(21-1/(1/SUMPRODUCT(MAX((JP_StartInhalt=DATE(Planungsjahr,10,AO89))*Anzeige_I*((JP_Anzeige=TRUE)+NOT(Filter_Aktiv)&gt;0)*(11-JP_Farbe)))),IF(COUNTIF(Feiertage,DATE(Planungsjahr,10,AO89))&gt;0,"h","w")),"")</f>
      </c>
      <c r="AQ90" s="225">
        <f>IF(ISNUMBER(AO89),IFERROR(31-1/(1/SUMPRODUCT(MAX((JP_PAL=DATE(Planungsjahr,10,AO89))*Anzeige_P*((JP_Anzeige=TRUE)+NOT(Filter_Aktiv)&gt;0)*(11-JP_Farbe)))),IF(COUNTIF(Feiertage,DATE(Planungsjahr,10,AO89))&gt;0,"h","w")),"")</f>
      </c>
      <c r="AR90" s="223">
        <f>IF(ISNUMBER(AR89),IFERROR(11-1/(1/SUMPRODUCT(MAX((JP_StartSel=DATE(Planungsjahr,10,AR89))*Anzeige_S*((JP_Anzeige=TRUE)+NOT(Filter_Aktiv)&gt;0)*(11-JP_Farbe)))),IF(COUNTIF(Feiertage,DATE(Planungsjahr,10,AR89))&gt;0,"h","w")),"")</f>
      </c>
      <c r="AS90" s="224">
        <f>IF(ISNUMBER(AR89),IFERROR(21-1/(1/SUMPRODUCT(MAX((JP_StartInhalt=DATE(Planungsjahr,10,AR89))*Anzeige_I*((JP_Anzeige=TRUE)+NOT(Filter_Aktiv)&gt;0)*(11-JP_Farbe)))),IF(COUNTIF(Feiertage,DATE(Planungsjahr,10,AR89))&gt;0,"h","w")),"")</f>
      </c>
      <c r="AT90" s="225">
        <f>IF(ISNUMBER(AR89),IFERROR(31-1/(1/SUMPRODUCT(MAX((JP_PAL=DATE(Planungsjahr,10,AR89))*Anzeige_P*((JP_Anzeige=TRUE)+NOT(Filter_Aktiv)&gt;0)*(11-JP_Farbe)))),IF(COUNTIF(Feiertage,DATE(Planungsjahr,10,AR89))&gt;0,"h","w")),"")</f>
      </c>
      <c r="AV90" s="179"/>
      <c r="AW90" s="223">
        <f>IF(ISNUMBER(AW89),IFERROR(11-1/(1/SUMPRODUCT(MAX((JP_StartSel=DATE(Planungsjahr,11,AW89))*Anzeige_S*((JP_Anzeige=TRUE)+NOT(Filter_Aktiv)&gt;0)*(11-JP_Farbe)))),IF(COUNTIF(Feiertage,DATE(Planungsjahr,11,AW89))&gt;0,"h",IF(COUNTIFS(U_Von,"&lt;="&amp;DATE(Planungsjahr,11,AW89),U_Bis,"&gt;="&amp;DATE(Planungsjahr,11,AW89))&gt;0,"u",""))),"")</f>
      </c>
      <c r="AX90" s="224">
        <f>IF(ISNUMBER(AW89),IFERROR(21-1/(1/SUMPRODUCT(MAX((JP_StartInhalt=DATE(Planungsjahr,11,AW89))*Anzeige_I*((JP_Anzeige=TRUE)+NOT(Filter_Aktiv)&gt;0)*(11-JP_Farbe)))),IF(COUNTIF(Feiertage,DATE(Planungsjahr,11,AW89))&gt;0,"h",IF(COUNTIFS(U_Von,"&lt;="&amp;DATE(Planungsjahr,11,AW89),U_Bis,"&gt;="&amp;DATE(Planungsjahr,11,AW89))&gt;0,"u",""))),"")</f>
      </c>
      <c r="AY90" s="225">
        <f>IF(ISNUMBER(AW89),IFERROR(31-1/(1/SUMPRODUCT(MAX((JP_PAL=DATE(Planungsjahr,11,AW89))*Anzeige_P*((JP_Anzeige=TRUE)+NOT(Filter_Aktiv)&gt;0)*(11-JP_Farbe)))),IF(COUNTIF(Feiertage,DATE(Planungsjahr,11,AW89))&gt;0,"h",IF(COUNTIFS(U_Von,"&lt;="&amp;DATE(Planungsjahr,11,AW89),U_Bis,"&gt;="&amp;DATE(Planungsjahr,11,AW89))&gt;0,"u",""))),"")</f>
      </c>
      <c r="AZ90" s="223">
        <f>IF(ISNUMBER(AZ89),IFERROR(11-1/(1/SUMPRODUCT(MAX((JP_StartSel=DATE(Planungsjahr,11,AZ89))*Anzeige_S*((JP_Anzeige=TRUE)+NOT(Filter_Aktiv)&gt;0)*(11-JP_Farbe)))),IF(COUNTIF(Feiertage,DATE(Planungsjahr,11,AZ89))&gt;0,"h",IF(COUNTIFS(U_Von,"&lt;="&amp;DATE(Planungsjahr,11,AZ89),U_Bis,"&gt;="&amp;DATE(Planungsjahr,11,AZ89))&gt;0,"u",""))),"")</f>
      </c>
      <c r="BA90" s="224">
        <f>IF(ISNUMBER(AZ89),IFERROR(21-1/(1/SUMPRODUCT(MAX((JP_StartInhalt=DATE(Planungsjahr,11,AZ89))*Anzeige_I*((JP_Anzeige=TRUE)+NOT(Filter_Aktiv)&gt;0)*(11-JP_Farbe)))),IF(COUNTIF(Feiertage,DATE(Planungsjahr,11,AZ89))&gt;0,"h",IF(COUNTIFS(U_Von,"&lt;="&amp;DATE(Planungsjahr,11,AZ89),U_Bis,"&gt;="&amp;DATE(Planungsjahr,11,AZ89))&gt;0,"u",""))),"")</f>
      </c>
      <c r="BB90" s="225">
        <f>IF(ISNUMBER(AZ89),IFERROR(31-1/(1/SUMPRODUCT(MAX((JP_PAL=DATE(Planungsjahr,11,AZ89))*Anzeige_P*((JP_Anzeige=TRUE)+NOT(Filter_Aktiv)&gt;0)*(11-JP_Farbe)))),IF(COUNTIF(Feiertage,DATE(Planungsjahr,11,AZ89))&gt;0,"h",IF(COUNTIFS(U_Von,"&lt;="&amp;DATE(Planungsjahr,11,AZ89),U_Bis,"&gt;="&amp;DATE(Planungsjahr,11,AZ89))&gt;0,"u",""))),"")</f>
      </c>
      <c r="BC90" s="223">
        <f>IF(ISNUMBER(BC89),IFERROR(11-1/(1/SUMPRODUCT(MAX((JP_StartSel=DATE(Planungsjahr,11,BC89))*Anzeige_S*((JP_Anzeige=TRUE)+NOT(Filter_Aktiv)&gt;0)*(11-JP_Farbe)))),IF(COUNTIF(Feiertage,DATE(Planungsjahr,11,BC89))&gt;0,"h",IF(COUNTIFS(U_Von,"&lt;="&amp;DATE(Planungsjahr,11,BC89),U_Bis,"&gt;="&amp;DATE(Planungsjahr,11,BC89))&gt;0,"u",""))),"")</f>
      </c>
      <c r="BD90" s="224">
        <f>IF(ISNUMBER(BC89),IFERROR(21-1/(1/SUMPRODUCT(MAX((JP_StartInhalt=DATE(Planungsjahr,11,BC89))*Anzeige_I*((JP_Anzeige=TRUE)+NOT(Filter_Aktiv)&gt;0)*(11-JP_Farbe)))),IF(COUNTIF(Feiertage,DATE(Planungsjahr,11,BC89))&gt;0,"h",IF(COUNTIFS(U_Von,"&lt;="&amp;DATE(Planungsjahr,11,BC89),U_Bis,"&gt;="&amp;DATE(Planungsjahr,11,BC89))&gt;0,"u",""))),"")</f>
      </c>
      <c r="BE90" s="225">
        <f>IF(ISNUMBER(BC89),IFERROR(31-1/(1/SUMPRODUCT(MAX((JP_PAL=DATE(Planungsjahr,11,BC89))*Anzeige_P*((JP_Anzeige=TRUE)+NOT(Filter_Aktiv)&gt;0)*(11-JP_Farbe)))),IF(COUNTIF(Feiertage,DATE(Planungsjahr,11,BC89))&gt;0,"h",IF(COUNTIFS(U_Von,"&lt;="&amp;DATE(Planungsjahr,11,BC89),U_Bis,"&gt;="&amp;DATE(Planungsjahr,11,BC89))&gt;0,"u",""))),"")</f>
      </c>
      <c r="BF90" s="223">
        <f>IF(ISNUMBER(BF89),IFERROR(11-1/(1/SUMPRODUCT(MAX((JP_StartSel=DATE(Planungsjahr,11,BF89))*Anzeige_S*((JP_Anzeige=TRUE)+NOT(Filter_Aktiv)&gt;0)*(11-JP_Farbe)))),IF(COUNTIF(Feiertage,DATE(Planungsjahr,11,BF89))&gt;0,"h",IF(COUNTIFS(U_Von,"&lt;="&amp;DATE(Planungsjahr,11,BF89),U_Bis,"&gt;="&amp;DATE(Planungsjahr,11,BF89))&gt;0,"u",""))),"")</f>
      </c>
      <c r="BG90" s="224">
        <f>IF(ISNUMBER(BF89),IFERROR(21-1/(1/SUMPRODUCT(MAX((JP_StartInhalt=DATE(Planungsjahr,11,BF89))*Anzeige_I*((JP_Anzeige=TRUE)+NOT(Filter_Aktiv)&gt;0)*(11-JP_Farbe)))),IF(COUNTIF(Feiertage,DATE(Planungsjahr,11,BF89))&gt;0,"h",IF(COUNTIFS(U_Von,"&lt;="&amp;DATE(Planungsjahr,11,BF89),U_Bis,"&gt;="&amp;DATE(Planungsjahr,11,BF89))&gt;0,"u",""))),"")</f>
      </c>
      <c r="BH90" s="225">
        <f>IF(ISNUMBER(BF89),IFERROR(31-1/(1/SUMPRODUCT(MAX((JP_PAL=DATE(Planungsjahr,11,BF89))*Anzeige_P*((JP_Anzeige=TRUE)+NOT(Filter_Aktiv)&gt;0)*(11-JP_Farbe)))),IF(COUNTIF(Feiertage,DATE(Planungsjahr,11,BF89))&gt;0,"h",IF(COUNTIFS(U_Von,"&lt;="&amp;DATE(Planungsjahr,11,BF89),U_Bis,"&gt;="&amp;DATE(Planungsjahr,11,BF89))&gt;0,"u",""))),"")</f>
      </c>
      <c r="BI90" s="223">
        <f>IF(ISNUMBER(BI89),IFERROR(11-1/(1/SUMPRODUCT(MAX((JP_StartSel=DATE(Planungsjahr,11,BI89))*Anzeige_S*((JP_Anzeige=TRUE)+NOT(Filter_Aktiv)&gt;0)*(11-JP_Farbe)))),IF(COUNTIF(Feiertage,DATE(Planungsjahr,11,BI89))&gt;0,"h",IF(COUNTIFS(U_Von,"&lt;="&amp;DATE(Planungsjahr,11,BI89),U_Bis,"&gt;="&amp;DATE(Planungsjahr,11,BI89))&gt;0,"u",""))),"")</f>
      </c>
      <c r="BJ90" s="224">
        <f>IF(ISNUMBER(BI89),IFERROR(21-1/(1/SUMPRODUCT(MAX((JP_StartInhalt=DATE(Planungsjahr,11,BI89))*Anzeige_I*((JP_Anzeige=TRUE)+NOT(Filter_Aktiv)&gt;0)*(11-JP_Farbe)))),IF(COUNTIF(Feiertage,DATE(Planungsjahr,11,BI89))&gt;0,"h",IF(COUNTIFS(U_Von,"&lt;="&amp;DATE(Planungsjahr,11,BI89),U_Bis,"&gt;="&amp;DATE(Planungsjahr,11,BI89))&gt;0,"u",""))),"")</f>
      </c>
      <c r="BK90" s="225">
        <f>IF(ISNUMBER(BI89),IFERROR(31-1/(1/SUMPRODUCT(MAX((JP_PAL=DATE(Planungsjahr,11,BI89))*Anzeige_P*((JP_Anzeige=TRUE)+NOT(Filter_Aktiv)&gt;0)*(11-JP_Farbe)))),IF(COUNTIF(Feiertage,DATE(Planungsjahr,11,BI89))&gt;0,"h",IF(COUNTIFS(U_Von,"&lt;="&amp;DATE(Planungsjahr,11,BI89),U_Bis,"&gt;="&amp;DATE(Planungsjahr,11,BI89))&gt;0,"u",""))),"")</f>
      </c>
      <c r="BL90" s="223">
        <f>IF(ISNUMBER(BL89),IFERROR(11-1/(1/SUMPRODUCT(MAX((JP_StartSel=DATE(Planungsjahr,11,BL89))*Anzeige_S*((JP_Anzeige=TRUE)+NOT(Filter_Aktiv)&gt;0)*(11-JP_Farbe)))),IF(COUNTIF(Feiertage,DATE(Planungsjahr,11,BL89))&gt;0,"h","w")),"")</f>
      </c>
      <c r="BM90" s="224">
        <f>IF(ISNUMBER(BL89),IFERROR(21-1/(1/SUMPRODUCT(MAX((JP_StartInhalt=DATE(Planungsjahr,11,BL89))*Anzeige_I*((JP_Anzeige=TRUE)+NOT(Filter_Aktiv)&gt;0)*(11-JP_Farbe)))),IF(COUNTIF(Feiertage,DATE(Planungsjahr,11,BL89))&gt;0,"h","w")),"")</f>
      </c>
      <c r="BN90" s="225">
        <f>IF(ISNUMBER(BL89),IFERROR(31-1/(1/SUMPRODUCT(MAX((JP_PAL=DATE(Planungsjahr,11,BL89))*Anzeige_P*((JP_Anzeige=TRUE)+NOT(Filter_Aktiv)&gt;0)*(11-JP_Farbe)))),IF(COUNTIF(Feiertage,DATE(Planungsjahr,11,BL89))&gt;0,"h","w")),"")</f>
      </c>
      <c r="BO90" s="223">
        <f>IF(ISNUMBER(BO89),IFERROR(11-1/(1/SUMPRODUCT(MAX((JP_StartSel=DATE(Planungsjahr,11,BO89))*Anzeige_S*((JP_Anzeige=TRUE)+NOT(Filter_Aktiv)&gt;0)*(11-JP_Farbe)))),IF(COUNTIF(Feiertage,DATE(Planungsjahr,11,BO89))&gt;0,"h","w")),"")</f>
      </c>
      <c r="BP90" s="224">
        <f>IF(ISNUMBER(BO89),IFERROR(21-1/(1/SUMPRODUCT(MAX((JP_StartInhalt=DATE(Planungsjahr,11,BO89))*Anzeige_I*((JP_Anzeige=TRUE)+NOT(Filter_Aktiv)&gt;0)*(11-JP_Farbe)))),IF(COUNTIF(Feiertage,DATE(Planungsjahr,11,BO89))&gt;0,"h","w")),"")</f>
      </c>
      <c r="BQ90" s="225">
        <f>IF(ISNUMBER(BO89),IFERROR(31-1/(1/SUMPRODUCT(MAX((JP_PAL=DATE(Planungsjahr,11,BO89))*Anzeige_P*((JP_Anzeige=TRUE)+NOT(Filter_Aktiv)&gt;0)*(11-JP_Farbe)))),IF(COUNTIF(Feiertage,DATE(Planungsjahr,11,BO89))&gt;0,"h","w")),"")</f>
      </c>
      <c r="BS90" s="179"/>
      <c r="BT90" s="223">
        <f>IF(ISNUMBER(BT89),IFERROR(11-1/(1/SUMPRODUCT(MAX((JP_StartSel=DATE(Planungsjahr,12,BT89))*Anzeige_S*((JP_Anzeige=TRUE)+NOT(Filter_Aktiv)&gt;0)*(11-JP_Farbe)))),IF(COUNTIF(Feiertage,DATE(Planungsjahr,12,BT89))&gt;0,"h",IF(COUNTIFS(U_Von,"&lt;="&amp;DATE(Planungsjahr,12,BT89),U_Bis,"&gt;="&amp;DATE(Planungsjahr,12,BT89))&gt;0,"u",""))),"")</f>
      </c>
      <c r="BU90" s="224">
        <f>IF(ISNUMBER(BT89),IFERROR(21-1/(1/SUMPRODUCT(MAX((JP_StartInhalt=DATE(Planungsjahr,12,BT89))*Anzeige_I*((JP_Anzeige=TRUE)+NOT(Filter_Aktiv)&gt;0)*(11-JP_Farbe)))),IF(COUNTIF(Feiertage,DATE(Planungsjahr,12,BT89))&gt;0,"h",IF(COUNTIFS(U_Von,"&lt;="&amp;DATE(Planungsjahr,12,BT89),U_Bis,"&gt;="&amp;DATE(Planungsjahr,12,BT89))&gt;0,"u",""))),"")</f>
      </c>
      <c r="BV90" s="225">
        <f>IF(ISNUMBER(BT89),IFERROR(31-1/(1/SUMPRODUCT(MAX((JP_PAL=DATE(Planungsjahr,12,BT89))*Anzeige_P*((JP_Anzeige=TRUE)+NOT(Filter_Aktiv)&gt;0)*(11-JP_Farbe)))),IF(COUNTIF(Feiertage,DATE(Planungsjahr,12,BT89))&gt;0,"h",IF(COUNTIFS(U_Von,"&lt;="&amp;DATE(Planungsjahr,12,BT89),U_Bis,"&gt;="&amp;DATE(Planungsjahr,12,BT89))&gt;0,"u",""))),"")</f>
      </c>
      <c r="BW90" s="223">
        <f>IF(ISNUMBER(BW89),IFERROR(11-1/(1/SUMPRODUCT(MAX((JP_StartSel=DATE(Planungsjahr,12,BW89))*Anzeige_S*((JP_Anzeige=TRUE)+NOT(Filter_Aktiv)&gt;0)*(11-JP_Farbe)))),IF(COUNTIF(Feiertage,DATE(Planungsjahr,12,BW89))&gt;0,"h",IF(COUNTIFS(U_Von,"&lt;="&amp;DATE(Planungsjahr,12,BW89),U_Bis,"&gt;="&amp;DATE(Planungsjahr,12,BW89))&gt;0,"u",""))),"")</f>
      </c>
      <c r="BX90" s="224">
        <f>IF(ISNUMBER(BW89),IFERROR(21-1/(1/SUMPRODUCT(MAX((JP_StartInhalt=DATE(Planungsjahr,12,BW89))*Anzeige_I*((JP_Anzeige=TRUE)+NOT(Filter_Aktiv)&gt;0)*(11-JP_Farbe)))),IF(COUNTIF(Feiertage,DATE(Planungsjahr,12,BW89))&gt;0,"h",IF(COUNTIFS(U_Von,"&lt;="&amp;DATE(Planungsjahr,12,BW89),U_Bis,"&gt;="&amp;DATE(Planungsjahr,12,BW89))&gt;0,"u",""))),"")</f>
      </c>
      <c r="BY90" s="225">
        <f>IF(ISNUMBER(BW89),IFERROR(31-1/(1/SUMPRODUCT(MAX((JP_PAL=DATE(Planungsjahr,12,BW89))*Anzeige_P*((JP_Anzeige=TRUE)+NOT(Filter_Aktiv)&gt;0)*(11-JP_Farbe)))),IF(COUNTIF(Feiertage,DATE(Planungsjahr,12,BW89))&gt;0,"h",IF(COUNTIFS(U_Von,"&lt;="&amp;DATE(Planungsjahr,12,BW89),U_Bis,"&gt;="&amp;DATE(Planungsjahr,12,BW89))&gt;0,"u",""))),"")</f>
      </c>
      <c r="BZ90" s="223">
        <f>IF(ISNUMBER(BZ89),IFERROR(11-1/(1/SUMPRODUCT(MAX((JP_StartSel=DATE(Planungsjahr,12,BZ89))*Anzeige_S*((JP_Anzeige=TRUE)+NOT(Filter_Aktiv)&gt;0)*(11-JP_Farbe)))),IF(COUNTIF(Feiertage,DATE(Planungsjahr,12,BZ89))&gt;0,"h",IF(COUNTIFS(U_Von,"&lt;="&amp;DATE(Planungsjahr,12,BZ89),U_Bis,"&gt;="&amp;DATE(Planungsjahr,12,BZ89))&gt;0,"u",""))),"")</f>
      </c>
      <c r="CA90" s="224">
        <f>IF(ISNUMBER(BZ89),IFERROR(21-1/(1/SUMPRODUCT(MAX((JP_StartInhalt=DATE(Planungsjahr,12,BZ89))*Anzeige_I*((JP_Anzeige=TRUE)+NOT(Filter_Aktiv)&gt;0)*(11-JP_Farbe)))),IF(COUNTIF(Feiertage,DATE(Planungsjahr,12,BZ89))&gt;0,"h",IF(COUNTIFS(U_Von,"&lt;="&amp;DATE(Planungsjahr,12,BZ89),U_Bis,"&gt;="&amp;DATE(Planungsjahr,12,BZ89))&gt;0,"u",""))),"")</f>
      </c>
      <c r="CB90" s="225">
        <f>IF(ISNUMBER(BZ89),IFERROR(31-1/(1/SUMPRODUCT(MAX((JP_PAL=DATE(Planungsjahr,12,BZ89))*Anzeige_P*((JP_Anzeige=TRUE)+NOT(Filter_Aktiv)&gt;0)*(11-JP_Farbe)))),IF(COUNTIF(Feiertage,DATE(Planungsjahr,12,BZ89))&gt;0,"h",IF(COUNTIFS(U_Von,"&lt;="&amp;DATE(Planungsjahr,12,BZ89),U_Bis,"&gt;="&amp;DATE(Planungsjahr,12,BZ89))&gt;0,"u",""))),"")</f>
      </c>
      <c r="CC90" s="223">
        <f>IF(ISNUMBER(CC89),IFERROR(11-1/(1/SUMPRODUCT(MAX((JP_StartSel=DATE(Planungsjahr,12,CC89))*Anzeige_S*((JP_Anzeige=TRUE)+NOT(Filter_Aktiv)&gt;0)*(11-JP_Farbe)))),IF(COUNTIF(Feiertage,DATE(Planungsjahr,12,CC89))&gt;0,"h",IF(COUNTIFS(U_Von,"&lt;="&amp;DATE(Planungsjahr,12,CC89),U_Bis,"&gt;="&amp;DATE(Planungsjahr,12,CC89))&gt;0,"u",""))),"")</f>
      </c>
      <c r="CD90" s="224">
        <f>IF(ISNUMBER(CC89),IFERROR(21-1/(1/SUMPRODUCT(MAX((JP_StartInhalt=DATE(Planungsjahr,12,CC89))*Anzeige_I*((JP_Anzeige=TRUE)+NOT(Filter_Aktiv)&gt;0)*(11-JP_Farbe)))),IF(COUNTIF(Feiertage,DATE(Planungsjahr,12,CC89))&gt;0,"h",IF(COUNTIFS(U_Von,"&lt;="&amp;DATE(Planungsjahr,12,CC89),U_Bis,"&gt;="&amp;DATE(Planungsjahr,12,CC89))&gt;0,"u",""))),"")</f>
      </c>
      <c r="CE90" s="225">
        <f>IF(ISNUMBER(CC89),IFERROR(31-1/(1/SUMPRODUCT(MAX((JP_PAL=DATE(Planungsjahr,12,CC89))*Anzeige_P*((JP_Anzeige=TRUE)+NOT(Filter_Aktiv)&gt;0)*(11-JP_Farbe)))),IF(COUNTIF(Feiertage,DATE(Planungsjahr,12,CC89))&gt;0,"h",IF(COUNTIFS(U_Von,"&lt;="&amp;DATE(Planungsjahr,12,CC89),U_Bis,"&gt;="&amp;DATE(Planungsjahr,12,CC89))&gt;0,"u",""))),"")</f>
      </c>
      <c r="CF90" s="223">
        <f>IF(ISNUMBER(CF89),IFERROR(11-1/(1/SUMPRODUCT(MAX((JP_StartSel=DATE(Planungsjahr,12,CF89))*Anzeige_S*((JP_Anzeige=TRUE)+NOT(Filter_Aktiv)&gt;0)*(11-JP_Farbe)))),IF(COUNTIF(Feiertage,DATE(Planungsjahr,12,CF89))&gt;0,"h",IF(COUNTIFS(U_Von,"&lt;="&amp;DATE(Planungsjahr,12,CF89),U_Bis,"&gt;="&amp;DATE(Planungsjahr,12,CF89))&gt;0,"u",""))),"")</f>
      </c>
      <c r="CG90" s="224">
        <f>IF(ISNUMBER(CF89),IFERROR(21-1/(1/SUMPRODUCT(MAX((JP_StartInhalt=DATE(Planungsjahr,12,CF89))*Anzeige_I*((JP_Anzeige=TRUE)+NOT(Filter_Aktiv)&gt;0)*(11-JP_Farbe)))),IF(COUNTIF(Feiertage,DATE(Planungsjahr,12,CF89))&gt;0,"h",IF(COUNTIFS(U_Von,"&lt;="&amp;DATE(Planungsjahr,12,CF89),U_Bis,"&gt;="&amp;DATE(Planungsjahr,12,CF89))&gt;0,"u",""))),"")</f>
      </c>
      <c r="CH90" s="225">
        <f>IF(ISNUMBER(CF89),IFERROR(31-1/(1/SUMPRODUCT(MAX((JP_PAL=DATE(Planungsjahr,12,CF89))*Anzeige_P*((JP_Anzeige=TRUE)+NOT(Filter_Aktiv)&gt;0)*(11-JP_Farbe)))),IF(COUNTIF(Feiertage,DATE(Planungsjahr,12,CF89))&gt;0,"h",IF(COUNTIFS(U_Von,"&lt;="&amp;DATE(Planungsjahr,12,CF89),U_Bis,"&gt;="&amp;DATE(Planungsjahr,12,CF89))&gt;0,"u",""))),"")</f>
      </c>
      <c r="CI90" s="223">
        <f>IF(ISNUMBER(CI89),IFERROR(11-1/(1/SUMPRODUCT(MAX((JP_StartSel=DATE(Planungsjahr,12,CI89))*Anzeige_S*((JP_Anzeige=TRUE)+NOT(Filter_Aktiv)&gt;0)*(11-JP_Farbe)))),IF(COUNTIF(Feiertage,DATE(Planungsjahr,12,CI89))&gt;0,"h","w")),"")</f>
      </c>
      <c r="CJ90" s="224">
        <f>IF(ISNUMBER(CI89),IFERROR(21-1/(1/SUMPRODUCT(MAX((JP_StartInhalt=DATE(Planungsjahr,12,CI89))*Anzeige_I*((JP_Anzeige=TRUE)+NOT(Filter_Aktiv)&gt;0)*(11-JP_Farbe)))),IF(COUNTIF(Feiertage,DATE(Planungsjahr,12,CI89))&gt;0,"h","w")),"")</f>
      </c>
      <c r="CK90" s="225">
        <f>IF(ISNUMBER(CI89),IFERROR(31-1/(1/SUMPRODUCT(MAX((JP_PAL=DATE(Planungsjahr,12,CI89))*Anzeige_P*((JP_Anzeige=TRUE)+NOT(Filter_Aktiv)&gt;0)*(11-JP_Farbe)))),IF(COUNTIF(Feiertage,DATE(Planungsjahr,12,CI89))&gt;0,"h","w")),"")</f>
      </c>
      <c r="CL90" s="223">
        <f>IF(ISNUMBER(CL89),IFERROR(11-1/(1/SUMPRODUCT(MAX((JP_StartSel=DATE(Planungsjahr,12,CL89))*Anzeige_S*((JP_Anzeige=TRUE)+NOT(Filter_Aktiv)&gt;0)*(11-JP_Farbe)))),IF(COUNTIF(Feiertage,DATE(Planungsjahr,12,CL89))&gt;0,"h","w")),"")</f>
      </c>
      <c r="CM90" s="224">
        <f>IF(ISNUMBER(CL89),IFERROR(21-1/(1/SUMPRODUCT(MAX((JP_StartInhalt=DATE(Planungsjahr,12,CL89))*Anzeige_I*((JP_Anzeige=TRUE)+NOT(Filter_Aktiv)&gt;0)*(11-JP_Farbe)))),IF(COUNTIF(Feiertage,DATE(Planungsjahr,12,CL89))&gt;0,"h","w")),"")</f>
      </c>
      <c r="CN90" s="225">
        <f>IF(ISNUMBER(CL89),IFERROR(31-1/(1/SUMPRODUCT(MAX((JP_PAL=DATE(Planungsjahr,12,CL89))*Anzeige_P*((JP_Anzeige=TRUE)+NOT(Filter_Aktiv)&gt;0)*(11-JP_Farbe)))),IF(COUNTIF(Feiertage,DATE(Planungsjahr,12,CL89))&gt;0,"h","w")),"")</f>
      </c>
    </row>
    <row r="91" spans="2:92" ht="15.95" customHeight="1" x14ac:dyDescent="0.25">
      <c r="B91" s="177" t="str">
        <f>IF(OR(ISNUMBER(C91),ISNUMBER(U91)),_xlfn.ISOWEEKNUM(DATE(Planungsjahr,9,1)-WEEKDAY(DATE(Planungsjahr,9,1),2)+36),"")</f>
        <v/>
      </c>
      <c r="C91" s="188" t="str">
        <f>IF(MONTH(DATE(Planungsjahr,9,1)-WEEKDAY(DATE(Planungsjahr,9,1),2)+36)=9,DAY(DATE(Planungsjahr,9,1)-WEEKDAY(DATE(Planungsjahr,9,1),2)+36),"")</f>
        <v/>
      </c>
      <c r="D91" s="188"/>
      <c r="E91" s="188"/>
      <c r="F91" s="188" t="str">
        <f>IF(MONTH(DATE(Planungsjahr,9,1)-WEEKDAY(DATE(Planungsjahr,9,1),2)+37)=9,DAY(DATE(Planungsjahr,9,1)-WEEKDAY(DATE(Planungsjahr,9,1),2)+37),"")</f>
        <v/>
      </c>
      <c r="G91" s="188"/>
      <c r="H91" s="188"/>
      <c r="I91" s="188" t="str">
        <f>IF(MONTH(DATE(Planungsjahr,9,1)-WEEKDAY(DATE(Planungsjahr,9,1),2)+38)=9,DAY(DATE(Planungsjahr,9,1)-WEEKDAY(DATE(Planungsjahr,9,1),2)+38),"")</f>
        <v/>
      </c>
      <c r="J91" s="188"/>
      <c r="K91" s="188"/>
      <c r="L91" s="188" t="str">
        <f>IF(MONTH(DATE(Planungsjahr,9,1)-WEEKDAY(DATE(Planungsjahr,9,1),2)+39)=9,DAY(DATE(Planungsjahr,9,1)-WEEKDAY(DATE(Planungsjahr,9,1),2)+39),"")</f>
        <v/>
      </c>
      <c r="M91" s="188"/>
      <c r="N91" s="188"/>
      <c r="O91" s="188" t="str">
        <f>IF(MONTH(DATE(Planungsjahr,9,1)-WEEKDAY(DATE(Planungsjahr,9,1),2)+40)=9,DAY(DATE(Planungsjahr,9,1)-WEEKDAY(DATE(Planungsjahr,9,1),2)+40),"")</f>
        <v/>
      </c>
      <c r="P91" s="188"/>
      <c r="Q91" s="188"/>
      <c r="R91" s="188" t="str">
        <f>IF(MONTH(DATE(Planungsjahr,9,1)-WEEKDAY(DATE(Planungsjahr,9,1),2)+41)=9,DAY(DATE(Planungsjahr,9,1)-WEEKDAY(DATE(Planungsjahr,9,1),2)+41),"")</f>
        <v/>
      </c>
      <c r="S91" s="188"/>
      <c r="T91" s="188"/>
      <c r="U91" s="188" t="str">
        <f>IF(MONTH(DATE(Planungsjahr,9,1)-WEEKDAY(DATE(Planungsjahr,9,1),2)+42)=9,DAY(DATE(Planungsjahr,9,1)-WEEKDAY(DATE(Planungsjahr,9,1),2)+42),"")</f>
        <v/>
      </c>
      <c r="V91" s="188"/>
      <c r="W91" s="190"/>
      <c r="Y91" s="177" t="str">
        <f>IF(OR(ISNUMBER(Z91),ISNUMBER(AR91)),_xlfn.ISOWEEKNUM(DATE(Planungsjahr,10,1)-WEEKDAY(DATE(Planungsjahr,10,1),2)+36),"")</f>
        <v/>
      </c>
      <c r="Z91" s="188" t="str">
        <f>IF(MONTH(DATE(Planungsjahr,10,1)-WEEKDAY(DATE(Planungsjahr,10,1),2)+36)=10,DAY(DATE(Planungsjahr,10,1)-WEEKDAY(DATE(Planungsjahr,10,1),2)+36),"")</f>
        <v/>
      </c>
      <c r="AA91" s="188"/>
      <c r="AB91" s="188"/>
      <c r="AC91" s="188" t="str">
        <f>IF(MONTH(DATE(Planungsjahr,10,1)-WEEKDAY(DATE(Planungsjahr,10,1),2)+37)=10,DAY(DATE(Planungsjahr,10,1)-WEEKDAY(DATE(Planungsjahr,10,1),2)+37),"")</f>
        <v/>
      </c>
      <c r="AD91" s="188"/>
      <c r="AE91" s="188"/>
      <c r="AF91" s="188" t="str">
        <f>IF(MONTH(DATE(Planungsjahr,10,1)-WEEKDAY(DATE(Planungsjahr,10,1),2)+38)=10,DAY(DATE(Planungsjahr,10,1)-WEEKDAY(DATE(Planungsjahr,10,1),2)+38),"")</f>
        <v/>
      </c>
      <c r="AG91" s="188"/>
      <c r="AH91" s="188"/>
      <c r="AI91" s="188" t="str">
        <f>IF(MONTH(DATE(Planungsjahr,10,1)-WEEKDAY(DATE(Planungsjahr,10,1),2)+39)=10,DAY(DATE(Planungsjahr,10,1)-WEEKDAY(DATE(Planungsjahr,10,1),2)+39),"")</f>
        <v/>
      </c>
      <c r="AJ91" s="188"/>
      <c r="AK91" s="188"/>
      <c r="AL91" s="188" t="str">
        <f>IF(MONTH(DATE(Planungsjahr,10,1)-WEEKDAY(DATE(Planungsjahr,10,1),2)+40)=10,DAY(DATE(Planungsjahr,10,1)-WEEKDAY(DATE(Planungsjahr,10,1),2)+40),"")</f>
        <v/>
      </c>
      <c r="AM91" s="188"/>
      <c r="AN91" s="188"/>
      <c r="AO91" s="188" t="str">
        <f>IF(MONTH(DATE(Planungsjahr,10,1)-WEEKDAY(DATE(Planungsjahr,10,1),2)+41)=10,DAY(DATE(Planungsjahr,10,1)-WEEKDAY(DATE(Planungsjahr,10,1),2)+41),"")</f>
        <v/>
      </c>
      <c r="AP91" s="188"/>
      <c r="AQ91" s="188"/>
      <c r="AR91" s="188" t="str">
        <f>IF(MONTH(DATE(Planungsjahr,10,1)-WEEKDAY(DATE(Planungsjahr,10,1),2)+42)=10,DAY(DATE(Planungsjahr,10,1)-WEEKDAY(DATE(Planungsjahr,10,1),2)+42),"")</f>
        <v/>
      </c>
      <c r="AS91" s="188"/>
      <c r="AT91" s="190"/>
      <c r="AV91" s="177" t="str">
        <f>IF(OR(ISNUMBER(AW91),ISNUMBER(BO91)),_xlfn.ISOWEEKNUM(DATE(Planungsjahr,11,1)-WEEKDAY(DATE(Planungsjahr,11,1),2)+36),"")</f>
        <v/>
      </c>
      <c r="AW91" s="188" t="str">
        <f>IF(MONTH(DATE(Planungsjahr,11,1)-WEEKDAY(DATE(Planungsjahr,11,1),2)+36)=11,DAY(DATE(Planungsjahr,11,1)-WEEKDAY(DATE(Planungsjahr,11,1),2)+36),"")</f>
        <v/>
      </c>
      <c r="AX91" s="188"/>
      <c r="AY91" s="188"/>
      <c r="AZ91" s="188" t="str">
        <f>IF(MONTH(DATE(Planungsjahr,11,1)-WEEKDAY(DATE(Planungsjahr,11,1),2)+37)=11,DAY(DATE(Planungsjahr,11,1)-WEEKDAY(DATE(Planungsjahr,11,1),2)+37),"")</f>
        <v/>
      </c>
      <c r="BA91" s="188"/>
      <c r="BB91" s="188"/>
      <c r="BC91" s="188" t="str">
        <f>IF(MONTH(DATE(Planungsjahr,11,1)-WEEKDAY(DATE(Planungsjahr,11,1),2)+38)=11,DAY(DATE(Planungsjahr,11,1)-WEEKDAY(DATE(Planungsjahr,11,1),2)+38),"")</f>
        <v/>
      </c>
      <c r="BD91" s="188"/>
      <c r="BE91" s="188"/>
      <c r="BF91" s="188" t="str">
        <f>IF(MONTH(DATE(Planungsjahr,11,1)-WEEKDAY(DATE(Planungsjahr,11,1),2)+39)=11,DAY(DATE(Planungsjahr,11,1)-WEEKDAY(DATE(Planungsjahr,11,1),2)+39),"")</f>
        <v/>
      </c>
      <c r="BG91" s="188"/>
      <c r="BH91" s="188"/>
      <c r="BI91" s="188" t="str">
        <f>IF(MONTH(DATE(Planungsjahr,11,1)-WEEKDAY(DATE(Planungsjahr,11,1),2)+40)=11,DAY(DATE(Planungsjahr,11,1)-WEEKDAY(DATE(Planungsjahr,11,1),2)+40),"")</f>
        <v/>
      </c>
      <c r="BJ91" s="188"/>
      <c r="BK91" s="188"/>
      <c r="BL91" s="188" t="str">
        <f>IF(MONTH(DATE(Planungsjahr,11,1)-WEEKDAY(DATE(Planungsjahr,11,1),2)+41)=11,DAY(DATE(Planungsjahr,11,1)-WEEKDAY(DATE(Planungsjahr,11,1),2)+41),"")</f>
        <v/>
      </c>
      <c r="BM91" s="188"/>
      <c r="BN91" s="188"/>
      <c r="BO91" s="188" t="str">
        <f>IF(MONTH(DATE(Planungsjahr,11,1)-WEEKDAY(DATE(Planungsjahr,11,1),2)+42)=11,DAY(DATE(Planungsjahr,11,1)-WEEKDAY(DATE(Planungsjahr,11,1),2)+42),"")</f>
        <v/>
      </c>
      <c r="BP91" s="188"/>
      <c r="BQ91" s="190"/>
      <c r="BS91" s="177" t="str">
        <f>IF(OR(ISNUMBER(BT91),ISNUMBER(CL91)),_xlfn.ISOWEEKNUM(DATE(Planungsjahr,12,1)-WEEKDAY(DATE(Planungsjahr,12,1),2)+36),"")</f>
        <v/>
      </c>
      <c r="BT91" s="188" t="str">
        <f>IF(MONTH(DATE(Planungsjahr,12,1)-WEEKDAY(DATE(Planungsjahr,12,1),2)+36)=12,DAY(DATE(Planungsjahr,12,1)-WEEKDAY(DATE(Planungsjahr,12,1),2)+36),"")</f>
        <v/>
      </c>
      <c r="BU91" s="188"/>
      <c r="BV91" s="188"/>
      <c r="BW91" s="188" t="str">
        <f>IF(MONTH(DATE(Planungsjahr,12,1)-WEEKDAY(DATE(Planungsjahr,12,1),2)+37)=12,DAY(DATE(Planungsjahr,12,1)-WEEKDAY(DATE(Planungsjahr,12,1),2)+37),"")</f>
        <v/>
      </c>
      <c r="BX91" s="188"/>
      <c r="BY91" s="188"/>
      <c r="BZ91" s="188" t="str">
        <f>IF(MONTH(DATE(Planungsjahr,12,1)-WEEKDAY(DATE(Planungsjahr,12,1),2)+38)=12,DAY(DATE(Planungsjahr,12,1)-WEEKDAY(DATE(Planungsjahr,12,1),2)+38),"")</f>
        <v/>
      </c>
      <c r="CA91" s="188"/>
      <c r="CB91" s="188"/>
      <c r="CC91" s="188" t="str">
        <f>IF(MONTH(DATE(Planungsjahr,12,1)-WEEKDAY(DATE(Planungsjahr,12,1),2)+39)=12,DAY(DATE(Planungsjahr,12,1)-WEEKDAY(DATE(Planungsjahr,12,1),2)+39),"")</f>
        <v/>
      </c>
      <c r="CD91" s="188"/>
      <c r="CE91" s="188"/>
      <c r="CF91" s="188" t="str">
        <f>IF(MONTH(DATE(Planungsjahr,12,1)-WEEKDAY(DATE(Planungsjahr,12,1),2)+40)=12,DAY(DATE(Planungsjahr,12,1)-WEEKDAY(DATE(Planungsjahr,12,1),2)+40),"")</f>
        <v/>
      </c>
      <c r="CG91" s="188"/>
      <c r="CH91" s="188"/>
      <c r="CI91" s="188" t="str">
        <f>IF(MONTH(DATE(Planungsjahr,12,1)-WEEKDAY(DATE(Planungsjahr,12,1),2)+41)=12,DAY(DATE(Planungsjahr,12,1)-WEEKDAY(DATE(Planungsjahr,12,1),2)+41),"")</f>
        <v/>
      </c>
      <c r="CJ91" s="188"/>
      <c r="CK91" s="188"/>
      <c r="CL91" s="188" t="str">
        <f>IF(MONTH(DATE(Planungsjahr,12,1)-WEEKDAY(DATE(Planungsjahr,12,1),2)+42)=12,DAY(DATE(Planungsjahr,12,1)-WEEKDAY(DATE(Planungsjahr,12,1),2)+42),"")</f>
        <v/>
      </c>
      <c r="CM91" s="188"/>
      <c r="CN91" s="190"/>
    </row>
    <row r="92" spans="2:92" ht="10.5" customHeight="1" x14ac:dyDescent="0.25">
      <c r="B92" s="181"/>
      <c r="C92" s="223">
        <f>IF(ISNUMBER(C91),IFERROR(11-1/(1/SUMPRODUCT(MAX((JP_StartSel=DATE(Planungsjahr,9,C91))*Anzeige_S*((JP_Anzeige=TRUE)+NOT(Filter_Aktiv)&gt;0)*(11-JP_Farbe)))),IF(COUNTIF(Feiertage,DATE(Planungsjahr,9,C91))&gt;0,"h",IF(COUNTIFS(U_Von,"&lt;="&amp;DATE(Planungsjahr,9,C91),U_Bis,"&gt;="&amp;DATE(Planungsjahr,9,C91))&gt;0,"u",""))),"")</f>
      </c>
      <c r="D92" s="224">
        <f>IF(ISNUMBER(C91),IFERROR(21-1/(1/SUMPRODUCT(MAX((JP_StartInhalt=DATE(Planungsjahr,9,C91))*Anzeige_I*((JP_Anzeige=TRUE)+NOT(Filter_Aktiv)&gt;0)*(11-JP_Farbe)))),IF(COUNTIF(Feiertage,DATE(Planungsjahr,9,C91))&gt;0,"h",IF(COUNTIFS(U_Von,"&lt;="&amp;DATE(Planungsjahr,9,C91),U_Bis,"&gt;="&amp;DATE(Planungsjahr,9,C91))&gt;0,"u",""))),"")</f>
      </c>
      <c r="E92" s="225">
        <f>IF(ISNUMBER(C91),IFERROR(31-1/(1/SUMPRODUCT(MAX((JP_PAL=DATE(Planungsjahr,9,C91))*Anzeige_P*((JP_Anzeige=TRUE)+NOT(Filter_Aktiv)&gt;0)*(11-JP_Farbe)))),IF(COUNTIF(Feiertage,DATE(Planungsjahr,9,C91))&gt;0,"h",IF(COUNTIFS(U_Von,"&lt;="&amp;DATE(Planungsjahr,9,C91),U_Bis,"&gt;="&amp;DATE(Planungsjahr,9,C91))&gt;0,"u",""))),"")</f>
      </c>
      <c r="F92" s="223">
        <f>IF(ISNUMBER(F91),IFERROR(11-1/(1/SUMPRODUCT(MAX((JP_StartSel=DATE(Planungsjahr,9,F91))*Anzeige_S*((JP_Anzeige=TRUE)+NOT(Filter_Aktiv)&gt;0)*(11-JP_Farbe)))),IF(COUNTIF(Feiertage,DATE(Planungsjahr,9,F91))&gt;0,"h",IF(COUNTIFS(U_Von,"&lt;="&amp;DATE(Planungsjahr,9,F91),U_Bis,"&gt;="&amp;DATE(Planungsjahr,9,F91))&gt;0,"u",""))),"")</f>
      </c>
      <c r="G92" s="224">
        <f>IF(ISNUMBER(F91),IFERROR(21-1/(1/SUMPRODUCT(MAX((JP_StartInhalt=DATE(Planungsjahr,9,F91))*Anzeige_I*((JP_Anzeige=TRUE)+NOT(Filter_Aktiv)&gt;0)*(11-JP_Farbe)))),IF(COUNTIF(Feiertage,DATE(Planungsjahr,9,F91))&gt;0,"h",IF(COUNTIFS(U_Von,"&lt;="&amp;DATE(Planungsjahr,9,F91),U_Bis,"&gt;="&amp;DATE(Planungsjahr,9,F91))&gt;0,"u",""))),"")</f>
      </c>
      <c r="H92" s="225">
        <f>IF(ISNUMBER(F91),IFERROR(31-1/(1/SUMPRODUCT(MAX((JP_PAL=DATE(Planungsjahr,9,F91))*Anzeige_P*((JP_Anzeige=TRUE)+NOT(Filter_Aktiv)&gt;0)*(11-JP_Farbe)))),IF(COUNTIF(Feiertage,DATE(Planungsjahr,9,F91))&gt;0,"h",IF(COUNTIFS(U_Von,"&lt;="&amp;DATE(Planungsjahr,9,F91),U_Bis,"&gt;="&amp;DATE(Planungsjahr,9,F91))&gt;0,"u",""))),"")</f>
      </c>
      <c r="I92" s="223">
        <f>IF(ISNUMBER(I91),IFERROR(11-1/(1/SUMPRODUCT(MAX((JP_StartSel=DATE(Planungsjahr,9,I91))*Anzeige_S*((JP_Anzeige=TRUE)+NOT(Filter_Aktiv)&gt;0)*(11-JP_Farbe)))),IF(COUNTIF(Feiertage,DATE(Planungsjahr,9,I91))&gt;0,"h",IF(COUNTIFS(U_Von,"&lt;="&amp;DATE(Planungsjahr,9,I91),U_Bis,"&gt;="&amp;DATE(Planungsjahr,9,I91))&gt;0,"u",""))),"")</f>
      </c>
      <c r="J92" s="224">
        <f>IF(ISNUMBER(I91),IFERROR(21-1/(1/SUMPRODUCT(MAX((JP_StartInhalt=DATE(Planungsjahr,9,I91))*Anzeige_I*((JP_Anzeige=TRUE)+NOT(Filter_Aktiv)&gt;0)*(11-JP_Farbe)))),IF(COUNTIF(Feiertage,DATE(Planungsjahr,9,I91))&gt;0,"h",IF(COUNTIFS(U_Von,"&lt;="&amp;DATE(Planungsjahr,9,I91),U_Bis,"&gt;="&amp;DATE(Planungsjahr,9,I91))&gt;0,"u",""))),"")</f>
      </c>
      <c r="K92" s="225">
        <f>IF(ISNUMBER(I91),IFERROR(31-1/(1/SUMPRODUCT(MAX((JP_PAL=DATE(Planungsjahr,9,I91))*Anzeige_P*((JP_Anzeige=TRUE)+NOT(Filter_Aktiv)&gt;0)*(11-JP_Farbe)))),IF(COUNTIF(Feiertage,DATE(Planungsjahr,9,I91))&gt;0,"h",IF(COUNTIFS(U_Von,"&lt;="&amp;DATE(Planungsjahr,9,I91),U_Bis,"&gt;="&amp;DATE(Planungsjahr,9,I91))&gt;0,"u",""))),"")</f>
      </c>
      <c r="L92" s="223">
        <f>IF(ISNUMBER(L91),IFERROR(11-1/(1/SUMPRODUCT(MAX((JP_StartSel=DATE(Planungsjahr,9,L91))*Anzeige_S*((JP_Anzeige=TRUE)+NOT(Filter_Aktiv)&gt;0)*(11-JP_Farbe)))),IF(COUNTIF(Feiertage,DATE(Planungsjahr,9,L91))&gt;0,"h",IF(COUNTIFS(U_Von,"&lt;="&amp;DATE(Planungsjahr,9,L91),U_Bis,"&gt;="&amp;DATE(Planungsjahr,9,L91))&gt;0,"u",""))),"")</f>
      </c>
      <c r="M92" s="224">
        <f>IF(ISNUMBER(L91),IFERROR(21-1/(1/SUMPRODUCT(MAX((JP_StartInhalt=DATE(Planungsjahr,9,L91))*Anzeige_I*((JP_Anzeige=TRUE)+NOT(Filter_Aktiv)&gt;0)*(11-JP_Farbe)))),IF(COUNTIF(Feiertage,DATE(Planungsjahr,9,L91))&gt;0,"h",IF(COUNTIFS(U_Von,"&lt;="&amp;DATE(Planungsjahr,9,L91),U_Bis,"&gt;="&amp;DATE(Planungsjahr,9,L91))&gt;0,"u",""))),"")</f>
      </c>
      <c r="N92" s="225">
        <f>IF(ISNUMBER(L91),IFERROR(31-1/(1/SUMPRODUCT(MAX((JP_PAL=DATE(Planungsjahr,9,L91))*Anzeige_P*((JP_Anzeige=TRUE)+NOT(Filter_Aktiv)&gt;0)*(11-JP_Farbe)))),IF(COUNTIF(Feiertage,DATE(Planungsjahr,9,L91))&gt;0,"h",IF(COUNTIFS(U_Von,"&lt;="&amp;DATE(Planungsjahr,9,L91),U_Bis,"&gt;="&amp;DATE(Planungsjahr,9,L91))&gt;0,"u",""))),"")</f>
      </c>
      <c r="O92" s="223">
        <f>IF(ISNUMBER(O91),IFERROR(11-1/(1/SUMPRODUCT(MAX((JP_StartSel=DATE(Planungsjahr,9,O91))*Anzeige_S*((JP_Anzeige=TRUE)+NOT(Filter_Aktiv)&gt;0)*(11-JP_Farbe)))),IF(COUNTIF(Feiertage,DATE(Planungsjahr,9,O91))&gt;0,"h",IF(COUNTIFS(U_Von,"&lt;="&amp;DATE(Planungsjahr,9,O91),U_Bis,"&gt;="&amp;DATE(Planungsjahr,9,O91))&gt;0,"u",""))),"")</f>
      </c>
      <c r="P92" s="224">
        <f>IF(ISNUMBER(O91),IFERROR(21-1/(1/SUMPRODUCT(MAX((JP_StartInhalt=DATE(Planungsjahr,9,O91))*Anzeige_I*((JP_Anzeige=TRUE)+NOT(Filter_Aktiv)&gt;0)*(11-JP_Farbe)))),IF(COUNTIF(Feiertage,DATE(Planungsjahr,9,O91))&gt;0,"h",IF(COUNTIFS(U_Von,"&lt;="&amp;DATE(Planungsjahr,9,O91),U_Bis,"&gt;="&amp;DATE(Planungsjahr,9,O91))&gt;0,"u",""))),"")</f>
      </c>
      <c r="Q92" s="225">
        <f>IF(ISNUMBER(O91),IFERROR(31-1/(1/SUMPRODUCT(MAX((JP_PAL=DATE(Planungsjahr,9,O91))*Anzeige_P*((JP_Anzeige=TRUE)+NOT(Filter_Aktiv)&gt;0)*(11-JP_Farbe)))),IF(COUNTIF(Feiertage,DATE(Planungsjahr,9,O91))&gt;0,"h",IF(COUNTIFS(U_Von,"&lt;="&amp;DATE(Planungsjahr,9,O91),U_Bis,"&gt;="&amp;DATE(Planungsjahr,9,O91))&gt;0,"u",""))),"")</f>
      </c>
      <c r="R92" s="223">
        <f>IF(ISNUMBER(R91),IFERROR(11-1/(1/SUMPRODUCT(MAX((JP_StartSel=DATE(Planungsjahr,9,R91))*Anzeige_S*((JP_Anzeige=TRUE)+NOT(Filter_Aktiv)&gt;0)*(11-JP_Farbe)))),IF(COUNTIF(Feiertage,DATE(Planungsjahr,9,R91))&gt;0,"h","w")),"")</f>
      </c>
      <c r="S92" s="224">
        <f>IF(ISNUMBER(R91),IFERROR(21-1/(1/SUMPRODUCT(MAX((JP_StartInhalt=DATE(Planungsjahr,9,R91))*Anzeige_I*((JP_Anzeige=TRUE)+NOT(Filter_Aktiv)&gt;0)*(11-JP_Farbe)))),IF(COUNTIF(Feiertage,DATE(Planungsjahr,9,R91))&gt;0,"h","w")),"")</f>
      </c>
      <c r="T92" s="225">
        <f>IF(ISNUMBER(R91),IFERROR(31-1/(1/SUMPRODUCT(MAX((JP_PAL=DATE(Planungsjahr,9,R91))*Anzeige_P*((JP_Anzeige=TRUE)+NOT(Filter_Aktiv)&gt;0)*(11-JP_Farbe)))),IF(COUNTIF(Feiertage,DATE(Planungsjahr,9,R91))&gt;0,"h","w")),"")</f>
      </c>
      <c r="U92" s="223">
        <f>IF(ISNUMBER(U91),IFERROR(11-1/(1/SUMPRODUCT(MAX((JP_StartSel=DATE(Planungsjahr,9,U91))*Anzeige_S*((JP_Anzeige=TRUE)+NOT(Filter_Aktiv)&gt;0)*(11-JP_Farbe)))),IF(COUNTIF(Feiertage,DATE(Planungsjahr,9,U91))&gt;0,"h","w")),"")</f>
      </c>
      <c r="V92" s="224">
        <f>IF(ISNUMBER(U91),IFERROR(21-1/(1/SUMPRODUCT(MAX((JP_StartInhalt=DATE(Planungsjahr,9,U91))*Anzeige_I*((JP_Anzeige=TRUE)+NOT(Filter_Aktiv)&gt;0)*(11-JP_Farbe)))),IF(COUNTIF(Feiertage,DATE(Planungsjahr,9,U91))&gt;0,"h","w")),"")</f>
      </c>
      <c r="W92" s="225">
        <f>IF(ISNUMBER(U91),IFERROR(31-1/(1/SUMPRODUCT(MAX((JP_PAL=DATE(Planungsjahr,9,U91))*Anzeige_P*((JP_Anzeige=TRUE)+NOT(Filter_Aktiv)&gt;0)*(11-JP_Farbe)))),IF(COUNTIF(Feiertage,DATE(Planungsjahr,9,U91))&gt;0,"h","w")),"")</f>
      </c>
      <c r="Y92" s="181"/>
      <c r="Z92" s="223">
        <f>IF(ISNUMBER(Z91),IFERROR(11-1/(1/SUMPRODUCT(MAX((JP_StartSel=DATE(Planungsjahr,10,Z91))*Anzeige_S*((JP_Anzeige=TRUE)+NOT(Filter_Aktiv)&gt;0)*(11-JP_Farbe)))),IF(COUNTIF(Feiertage,DATE(Planungsjahr,10,Z91))&gt;0,"h",IF(COUNTIFS(U_Von,"&lt;="&amp;DATE(Planungsjahr,10,Z91),U_Bis,"&gt;="&amp;DATE(Planungsjahr,10,Z91))&gt;0,"u",""))),"")</f>
      </c>
      <c r="AA92" s="224">
        <f>IF(ISNUMBER(Z91),IFERROR(21-1/(1/SUMPRODUCT(MAX((JP_StartInhalt=DATE(Planungsjahr,10,Z91))*Anzeige_I*((JP_Anzeige=TRUE)+NOT(Filter_Aktiv)&gt;0)*(11-JP_Farbe)))),IF(COUNTIF(Feiertage,DATE(Planungsjahr,10,Z91))&gt;0,"h",IF(COUNTIFS(U_Von,"&lt;="&amp;DATE(Planungsjahr,10,Z91),U_Bis,"&gt;="&amp;DATE(Planungsjahr,10,Z91))&gt;0,"u",""))),"")</f>
      </c>
      <c r="AB92" s="225">
        <f>IF(ISNUMBER(Z91),IFERROR(31-1/(1/SUMPRODUCT(MAX((JP_PAL=DATE(Planungsjahr,10,Z91))*Anzeige_P*((JP_Anzeige=TRUE)+NOT(Filter_Aktiv)&gt;0)*(11-JP_Farbe)))),IF(COUNTIF(Feiertage,DATE(Planungsjahr,10,Z91))&gt;0,"h",IF(COUNTIFS(U_Von,"&lt;="&amp;DATE(Planungsjahr,10,Z91),U_Bis,"&gt;="&amp;DATE(Planungsjahr,10,Z91))&gt;0,"u",""))),"")</f>
      </c>
      <c r="AC92" s="223">
        <f>IF(ISNUMBER(AC91),IFERROR(11-1/(1/SUMPRODUCT(MAX((JP_StartSel=DATE(Planungsjahr,10,AC91))*Anzeige_S*((JP_Anzeige=TRUE)+NOT(Filter_Aktiv)&gt;0)*(11-JP_Farbe)))),IF(COUNTIF(Feiertage,DATE(Planungsjahr,10,AC91))&gt;0,"h",IF(COUNTIFS(U_Von,"&lt;="&amp;DATE(Planungsjahr,10,AC91),U_Bis,"&gt;="&amp;DATE(Planungsjahr,10,AC91))&gt;0,"u",""))),"")</f>
      </c>
      <c r="AD92" s="224">
        <f>IF(ISNUMBER(AC91),IFERROR(21-1/(1/SUMPRODUCT(MAX((JP_StartInhalt=DATE(Planungsjahr,10,AC91))*Anzeige_I*((JP_Anzeige=TRUE)+NOT(Filter_Aktiv)&gt;0)*(11-JP_Farbe)))),IF(COUNTIF(Feiertage,DATE(Planungsjahr,10,AC91))&gt;0,"h",IF(COUNTIFS(U_Von,"&lt;="&amp;DATE(Planungsjahr,10,AC91),U_Bis,"&gt;="&amp;DATE(Planungsjahr,10,AC91))&gt;0,"u",""))),"")</f>
      </c>
      <c r="AE92" s="225">
        <f>IF(ISNUMBER(AC91),IFERROR(31-1/(1/SUMPRODUCT(MAX((JP_PAL=DATE(Planungsjahr,10,AC91))*Anzeige_P*((JP_Anzeige=TRUE)+NOT(Filter_Aktiv)&gt;0)*(11-JP_Farbe)))),IF(COUNTIF(Feiertage,DATE(Planungsjahr,10,AC91))&gt;0,"h",IF(COUNTIFS(U_Von,"&lt;="&amp;DATE(Planungsjahr,10,AC91),U_Bis,"&gt;="&amp;DATE(Planungsjahr,10,AC91))&gt;0,"u",""))),"")</f>
      </c>
      <c r="AF92" s="223">
        <f>IF(ISNUMBER(AF91),IFERROR(11-1/(1/SUMPRODUCT(MAX((JP_StartSel=DATE(Planungsjahr,10,AF91))*Anzeige_S*((JP_Anzeige=TRUE)+NOT(Filter_Aktiv)&gt;0)*(11-JP_Farbe)))),IF(COUNTIF(Feiertage,DATE(Planungsjahr,10,AF91))&gt;0,"h",IF(COUNTIFS(U_Von,"&lt;="&amp;DATE(Planungsjahr,10,AF91),U_Bis,"&gt;="&amp;DATE(Planungsjahr,10,AF91))&gt;0,"u",""))),"")</f>
      </c>
      <c r="AG92" s="224">
        <f>IF(ISNUMBER(AF91),IFERROR(21-1/(1/SUMPRODUCT(MAX((JP_StartInhalt=DATE(Planungsjahr,10,AF91))*Anzeige_I*((JP_Anzeige=TRUE)+NOT(Filter_Aktiv)&gt;0)*(11-JP_Farbe)))),IF(COUNTIF(Feiertage,DATE(Planungsjahr,10,AF91))&gt;0,"h",IF(COUNTIFS(U_Von,"&lt;="&amp;DATE(Planungsjahr,10,AF91),U_Bis,"&gt;="&amp;DATE(Planungsjahr,10,AF91))&gt;0,"u",""))),"")</f>
      </c>
      <c r="AH92" s="225">
        <f>IF(ISNUMBER(AF91),IFERROR(31-1/(1/SUMPRODUCT(MAX((JP_PAL=DATE(Planungsjahr,10,AF91))*Anzeige_P*((JP_Anzeige=TRUE)+NOT(Filter_Aktiv)&gt;0)*(11-JP_Farbe)))),IF(COUNTIF(Feiertage,DATE(Planungsjahr,10,AF91))&gt;0,"h",IF(COUNTIFS(U_Von,"&lt;="&amp;DATE(Planungsjahr,10,AF91),U_Bis,"&gt;="&amp;DATE(Planungsjahr,10,AF91))&gt;0,"u",""))),"")</f>
      </c>
      <c r="AI92" s="223">
        <f>IF(ISNUMBER(AI91),IFERROR(11-1/(1/SUMPRODUCT(MAX((JP_StartSel=DATE(Planungsjahr,10,AI91))*Anzeige_S*((JP_Anzeige=TRUE)+NOT(Filter_Aktiv)&gt;0)*(11-JP_Farbe)))),IF(COUNTIF(Feiertage,DATE(Planungsjahr,10,AI91))&gt;0,"h",IF(COUNTIFS(U_Von,"&lt;="&amp;DATE(Planungsjahr,10,AI91),U_Bis,"&gt;="&amp;DATE(Planungsjahr,10,AI91))&gt;0,"u",""))),"")</f>
      </c>
      <c r="AJ92" s="224">
        <f>IF(ISNUMBER(AI91),IFERROR(21-1/(1/SUMPRODUCT(MAX((JP_StartInhalt=DATE(Planungsjahr,10,AI91))*Anzeige_I*((JP_Anzeige=TRUE)+NOT(Filter_Aktiv)&gt;0)*(11-JP_Farbe)))),IF(COUNTIF(Feiertage,DATE(Planungsjahr,10,AI91))&gt;0,"h",IF(COUNTIFS(U_Von,"&lt;="&amp;DATE(Planungsjahr,10,AI91),U_Bis,"&gt;="&amp;DATE(Planungsjahr,10,AI91))&gt;0,"u",""))),"")</f>
      </c>
      <c r="AK92" s="225">
        <f>IF(ISNUMBER(AI91),IFERROR(31-1/(1/SUMPRODUCT(MAX((JP_PAL=DATE(Planungsjahr,10,AI91))*Anzeige_P*((JP_Anzeige=TRUE)+NOT(Filter_Aktiv)&gt;0)*(11-JP_Farbe)))),IF(COUNTIF(Feiertage,DATE(Planungsjahr,10,AI91))&gt;0,"h",IF(COUNTIFS(U_Von,"&lt;="&amp;DATE(Planungsjahr,10,AI91),U_Bis,"&gt;="&amp;DATE(Planungsjahr,10,AI91))&gt;0,"u",""))),"")</f>
      </c>
      <c r="AL92" s="223">
        <f>IF(ISNUMBER(AL91),IFERROR(11-1/(1/SUMPRODUCT(MAX((JP_StartSel=DATE(Planungsjahr,10,AL91))*Anzeige_S*((JP_Anzeige=TRUE)+NOT(Filter_Aktiv)&gt;0)*(11-JP_Farbe)))),IF(COUNTIF(Feiertage,DATE(Planungsjahr,10,AL91))&gt;0,"h",IF(COUNTIFS(U_Von,"&lt;="&amp;DATE(Planungsjahr,10,AL91),U_Bis,"&gt;="&amp;DATE(Planungsjahr,10,AL91))&gt;0,"u",""))),"")</f>
      </c>
      <c r="AM92" s="224">
        <f>IF(ISNUMBER(AL91),IFERROR(21-1/(1/SUMPRODUCT(MAX((JP_StartInhalt=DATE(Planungsjahr,10,AL91))*Anzeige_I*((JP_Anzeige=TRUE)+NOT(Filter_Aktiv)&gt;0)*(11-JP_Farbe)))),IF(COUNTIF(Feiertage,DATE(Planungsjahr,10,AL91))&gt;0,"h",IF(COUNTIFS(U_Von,"&lt;="&amp;DATE(Planungsjahr,10,AL91),U_Bis,"&gt;="&amp;DATE(Planungsjahr,10,AL91))&gt;0,"u",""))),"")</f>
      </c>
      <c r="AN92" s="225">
        <f>IF(ISNUMBER(AL91),IFERROR(31-1/(1/SUMPRODUCT(MAX((JP_PAL=DATE(Planungsjahr,10,AL91))*Anzeige_P*((JP_Anzeige=TRUE)+NOT(Filter_Aktiv)&gt;0)*(11-JP_Farbe)))),IF(COUNTIF(Feiertage,DATE(Planungsjahr,10,AL91))&gt;0,"h",IF(COUNTIFS(U_Von,"&lt;="&amp;DATE(Planungsjahr,10,AL91),U_Bis,"&gt;="&amp;DATE(Planungsjahr,10,AL91))&gt;0,"u",""))),"")</f>
      </c>
      <c r="AO92" s="223">
        <f>IF(ISNUMBER(AO91),IFERROR(11-1/(1/SUMPRODUCT(MAX((JP_StartSel=DATE(Planungsjahr,10,AO91))*Anzeige_S*((JP_Anzeige=TRUE)+NOT(Filter_Aktiv)&gt;0)*(11-JP_Farbe)))),IF(COUNTIF(Feiertage,DATE(Planungsjahr,10,AO91))&gt;0,"h","w")),"")</f>
      </c>
      <c r="AP92" s="224">
        <f>IF(ISNUMBER(AO91),IFERROR(21-1/(1/SUMPRODUCT(MAX((JP_StartInhalt=DATE(Planungsjahr,10,AO91))*Anzeige_I*((JP_Anzeige=TRUE)+NOT(Filter_Aktiv)&gt;0)*(11-JP_Farbe)))),IF(COUNTIF(Feiertage,DATE(Planungsjahr,10,AO91))&gt;0,"h","w")),"")</f>
      </c>
      <c r="AQ92" s="225">
        <f>IF(ISNUMBER(AO91),IFERROR(31-1/(1/SUMPRODUCT(MAX((JP_PAL=DATE(Planungsjahr,10,AO91))*Anzeige_P*((JP_Anzeige=TRUE)+NOT(Filter_Aktiv)&gt;0)*(11-JP_Farbe)))),IF(COUNTIF(Feiertage,DATE(Planungsjahr,10,AO91))&gt;0,"h","w")),"")</f>
      </c>
      <c r="AR92" s="223">
        <f>IF(ISNUMBER(AR91),IFERROR(11-1/(1/SUMPRODUCT(MAX((JP_StartSel=DATE(Planungsjahr,10,AR91))*Anzeige_S*((JP_Anzeige=TRUE)+NOT(Filter_Aktiv)&gt;0)*(11-JP_Farbe)))),IF(COUNTIF(Feiertage,DATE(Planungsjahr,10,AR91))&gt;0,"h","w")),"")</f>
      </c>
      <c r="AS92" s="224">
        <f>IF(ISNUMBER(AR91),IFERROR(21-1/(1/SUMPRODUCT(MAX((JP_StartInhalt=DATE(Planungsjahr,10,AR91))*Anzeige_I*((JP_Anzeige=TRUE)+NOT(Filter_Aktiv)&gt;0)*(11-JP_Farbe)))),IF(COUNTIF(Feiertage,DATE(Planungsjahr,10,AR91))&gt;0,"h","w")),"")</f>
      </c>
      <c r="AT92" s="225">
        <f>IF(ISNUMBER(AR91),IFERROR(31-1/(1/SUMPRODUCT(MAX((JP_PAL=DATE(Planungsjahr,10,AR91))*Anzeige_P*((JP_Anzeige=TRUE)+NOT(Filter_Aktiv)&gt;0)*(11-JP_Farbe)))),IF(COUNTIF(Feiertage,DATE(Planungsjahr,10,AR91))&gt;0,"h","w")),"")</f>
      </c>
      <c r="AV92" s="181"/>
      <c r="AW92" s="223">
        <f>IF(ISNUMBER(AW91),IFERROR(11-1/(1/SUMPRODUCT(MAX((JP_StartSel=DATE(Planungsjahr,11,AW91))*Anzeige_S*((JP_Anzeige=TRUE)+NOT(Filter_Aktiv)&gt;0)*(11-JP_Farbe)))),IF(COUNTIF(Feiertage,DATE(Planungsjahr,11,AW91))&gt;0,"h",IF(COUNTIFS(U_Von,"&lt;="&amp;DATE(Planungsjahr,11,AW91),U_Bis,"&gt;="&amp;DATE(Planungsjahr,11,AW91))&gt;0,"u",""))),"")</f>
      </c>
      <c r="AX92" s="224">
        <f>IF(ISNUMBER(AW91),IFERROR(21-1/(1/SUMPRODUCT(MAX((JP_StartInhalt=DATE(Planungsjahr,11,AW91))*Anzeige_I*((JP_Anzeige=TRUE)+NOT(Filter_Aktiv)&gt;0)*(11-JP_Farbe)))),IF(COUNTIF(Feiertage,DATE(Planungsjahr,11,AW91))&gt;0,"h",IF(COUNTIFS(U_Von,"&lt;="&amp;DATE(Planungsjahr,11,AW91),U_Bis,"&gt;="&amp;DATE(Planungsjahr,11,AW91))&gt;0,"u",""))),"")</f>
      </c>
      <c r="AY92" s="225">
        <f>IF(ISNUMBER(AW91),IFERROR(31-1/(1/SUMPRODUCT(MAX((JP_PAL=DATE(Planungsjahr,11,AW91))*Anzeige_P*((JP_Anzeige=TRUE)+NOT(Filter_Aktiv)&gt;0)*(11-JP_Farbe)))),IF(COUNTIF(Feiertage,DATE(Planungsjahr,11,AW91))&gt;0,"h",IF(COUNTIFS(U_Von,"&lt;="&amp;DATE(Planungsjahr,11,AW91),U_Bis,"&gt;="&amp;DATE(Planungsjahr,11,AW91))&gt;0,"u",""))),"")</f>
      </c>
      <c r="AZ92" s="223">
        <f>IF(ISNUMBER(AZ91),IFERROR(11-1/(1/SUMPRODUCT(MAX((JP_StartSel=DATE(Planungsjahr,11,AZ91))*Anzeige_S*((JP_Anzeige=TRUE)+NOT(Filter_Aktiv)&gt;0)*(11-JP_Farbe)))),IF(COUNTIF(Feiertage,DATE(Planungsjahr,11,AZ91))&gt;0,"h",IF(COUNTIFS(U_Von,"&lt;="&amp;DATE(Planungsjahr,11,AZ91),U_Bis,"&gt;="&amp;DATE(Planungsjahr,11,AZ91))&gt;0,"u",""))),"")</f>
      </c>
      <c r="BA92" s="224">
        <f>IF(ISNUMBER(AZ91),IFERROR(21-1/(1/SUMPRODUCT(MAX((JP_StartInhalt=DATE(Planungsjahr,11,AZ91))*Anzeige_I*((JP_Anzeige=TRUE)+NOT(Filter_Aktiv)&gt;0)*(11-JP_Farbe)))),IF(COUNTIF(Feiertage,DATE(Planungsjahr,11,AZ91))&gt;0,"h",IF(COUNTIFS(U_Von,"&lt;="&amp;DATE(Planungsjahr,11,AZ91),U_Bis,"&gt;="&amp;DATE(Planungsjahr,11,AZ91))&gt;0,"u",""))),"")</f>
      </c>
      <c r="BB92" s="225">
        <f>IF(ISNUMBER(AZ91),IFERROR(31-1/(1/SUMPRODUCT(MAX((JP_PAL=DATE(Planungsjahr,11,AZ91))*Anzeige_P*((JP_Anzeige=TRUE)+NOT(Filter_Aktiv)&gt;0)*(11-JP_Farbe)))),IF(COUNTIF(Feiertage,DATE(Planungsjahr,11,AZ91))&gt;0,"h",IF(COUNTIFS(U_Von,"&lt;="&amp;DATE(Planungsjahr,11,AZ91),U_Bis,"&gt;="&amp;DATE(Planungsjahr,11,AZ91))&gt;0,"u",""))),"")</f>
      </c>
      <c r="BC92" s="223">
        <f>IF(ISNUMBER(BC91),IFERROR(11-1/(1/SUMPRODUCT(MAX((JP_StartSel=DATE(Planungsjahr,11,BC91))*Anzeige_S*((JP_Anzeige=TRUE)+NOT(Filter_Aktiv)&gt;0)*(11-JP_Farbe)))),IF(COUNTIF(Feiertage,DATE(Planungsjahr,11,BC91))&gt;0,"h",IF(COUNTIFS(U_Von,"&lt;="&amp;DATE(Planungsjahr,11,BC91),U_Bis,"&gt;="&amp;DATE(Planungsjahr,11,BC91))&gt;0,"u",""))),"")</f>
      </c>
      <c r="BD92" s="224">
        <f>IF(ISNUMBER(BC91),IFERROR(21-1/(1/SUMPRODUCT(MAX((JP_StartInhalt=DATE(Planungsjahr,11,BC91))*Anzeige_I*((JP_Anzeige=TRUE)+NOT(Filter_Aktiv)&gt;0)*(11-JP_Farbe)))),IF(COUNTIF(Feiertage,DATE(Planungsjahr,11,BC91))&gt;0,"h",IF(COUNTIFS(U_Von,"&lt;="&amp;DATE(Planungsjahr,11,BC91),U_Bis,"&gt;="&amp;DATE(Planungsjahr,11,BC91))&gt;0,"u",""))),"")</f>
      </c>
      <c r="BE92" s="225">
        <f>IF(ISNUMBER(BC91),IFERROR(31-1/(1/SUMPRODUCT(MAX((JP_PAL=DATE(Planungsjahr,11,BC91))*Anzeige_P*((JP_Anzeige=TRUE)+NOT(Filter_Aktiv)&gt;0)*(11-JP_Farbe)))),IF(COUNTIF(Feiertage,DATE(Planungsjahr,11,BC91))&gt;0,"h",IF(COUNTIFS(U_Von,"&lt;="&amp;DATE(Planungsjahr,11,BC91),U_Bis,"&gt;="&amp;DATE(Planungsjahr,11,BC91))&gt;0,"u",""))),"")</f>
      </c>
      <c r="BF92" s="223">
        <f>IF(ISNUMBER(BF91),IFERROR(11-1/(1/SUMPRODUCT(MAX((JP_StartSel=DATE(Planungsjahr,11,BF91))*Anzeige_S*((JP_Anzeige=TRUE)+NOT(Filter_Aktiv)&gt;0)*(11-JP_Farbe)))),IF(COUNTIF(Feiertage,DATE(Planungsjahr,11,BF91))&gt;0,"h",IF(COUNTIFS(U_Von,"&lt;="&amp;DATE(Planungsjahr,11,BF91),U_Bis,"&gt;="&amp;DATE(Planungsjahr,11,BF91))&gt;0,"u",""))),"")</f>
      </c>
      <c r="BG92" s="224">
        <f>IF(ISNUMBER(BF91),IFERROR(21-1/(1/SUMPRODUCT(MAX((JP_StartInhalt=DATE(Planungsjahr,11,BF91))*Anzeige_I*((JP_Anzeige=TRUE)+NOT(Filter_Aktiv)&gt;0)*(11-JP_Farbe)))),IF(COUNTIF(Feiertage,DATE(Planungsjahr,11,BF91))&gt;0,"h",IF(COUNTIFS(U_Von,"&lt;="&amp;DATE(Planungsjahr,11,BF91),U_Bis,"&gt;="&amp;DATE(Planungsjahr,11,BF91))&gt;0,"u",""))),"")</f>
      </c>
      <c r="BH92" s="225">
        <f>IF(ISNUMBER(BF91),IFERROR(31-1/(1/SUMPRODUCT(MAX((JP_PAL=DATE(Planungsjahr,11,BF91))*Anzeige_P*((JP_Anzeige=TRUE)+NOT(Filter_Aktiv)&gt;0)*(11-JP_Farbe)))),IF(COUNTIF(Feiertage,DATE(Planungsjahr,11,BF91))&gt;0,"h",IF(COUNTIFS(U_Von,"&lt;="&amp;DATE(Planungsjahr,11,BF91),U_Bis,"&gt;="&amp;DATE(Planungsjahr,11,BF91))&gt;0,"u",""))),"")</f>
      </c>
      <c r="BI92" s="223">
        <f>IF(ISNUMBER(BI91),IFERROR(11-1/(1/SUMPRODUCT(MAX((JP_StartSel=DATE(Planungsjahr,11,BI91))*Anzeige_S*((JP_Anzeige=TRUE)+NOT(Filter_Aktiv)&gt;0)*(11-JP_Farbe)))),IF(COUNTIF(Feiertage,DATE(Planungsjahr,11,BI91))&gt;0,"h",IF(COUNTIFS(U_Von,"&lt;="&amp;DATE(Planungsjahr,11,BI91),U_Bis,"&gt;="&amp;DATE(Planungsjahr,11,BI91))&gt;0,"u",""))),"")</f>
      </c>
      <c r="BJ92" s="224">
        <f>IF(ISNUMBER(BI91),IFERROR(21-1/(1/SUMPRODUCT(MAX((JP_StartInhalt=DATE(Planungsjahr,11,BI91))*Anzeige_I*((JP_Anzeige=TRUE)+NOT(Filter_Aktiv)&gt;0)*(11-JP_Farbe)))),IF(COUNTIF(Feiertage,DATE(Planungsjahr,11,BI91))&gt;0,"h",IF(COUNTIFS(U_Von,"&lt;="&amp;DATE(Planungsjahr,11,BI91),U_Bis,"&gt;="&amp;DATE(Planungsjahr,11,BI91))&gt;0,"u",""))),"")</f>
      </c>
      <c r="BK92" s="225">
        <f>IF(ISNUMBER(BI91),IFERROR(31-1/(1/SUMPRODUCT(MAX((JP_PAL=DATE(Planungsjahr,11,BI91))*Anzeige_P*((JP_Anzeige=TRUE)+NOT(Filter_Aktiv)&gt;0)*(11-JP_Farbe)))),IF(COUNTIF(Feiertage,DATE(Planungsjahr,11,BI91))&gt;0,"h",IF(COUNTIFS(U_Von,"&lt;="&amp;DATE(Planungsjahr,11,BI91),U_Bis,"&gt;="&amp;DATE(Planungsjahr,11,BI91))&gt;0,"u",""))),"")</f>
      </c>
      <c r="BL92" s="223">
        <f>IF(ISNUMBER(BL91),IFERROR(11-1/(1/SUMPRODUCT(MAX((JP_StartSel=DATE(Planungsjahr,11,BL91))*Anzeige_S*((JP_Anzeige=TRUE)+NOT(Filter_Aktiv)&gt;0)*(11-JP_Farbe)))),IF(COUNTIF(Feiertage,DATE(Planungsjahr,11,BL91))&gt;0,"h","w")),"")</f>
      </c>
      <c r="BM92" s="224">
        <f>IF(ISNUMBER(BL91),IFERROR(21-1/(1/SUMPRODUCT(MAX((JP_StartInhalt=DATE(Planungsjahr,11,BL91))*Anzeige_I*((JP_Anzeige=TRUE)+NOT(Filter_Aktiv)&gt;0)*(11-JP_Farbe)))),IF(COUNTIF(Feiertage,DATE(Planungsjahr,11,BL91))&gt;0,"h","w")),"")</f>
      </c>
      <c r="BN92" s="225">
        <f>IF(ISNUMBER(BL91),IFERROR(31-1/(1/SUMPRODUCT(MAX((JP_PAL=DATE(Planungsjahr,11,BL91))*Anzeige_P*((JP_Anzeige=TRUE)+NOT(Filter_Aktiv)&gt;0)*(11-JP_Farbe)))),IF(COUNTIF(Feiertage,DATE(Planungsjahr,11,BL91))&gt;0,"h","w")),"")</f>
      </c>
      <c r="BO92" s="223">
        <f>IF(ISNUMBER(BO91),IFERROR(11-1/(1/SUMPRODUCT(MAX((JP_StartSel=DATE(Planungsjahr,11,BO91))*Anzeige_S*((JP_Anzeige=TRUE)+NOT(Filter_Aktiv)&gt;0)*(11-JP_Farbe)))),IF(COUNTIF(Feiertage,DATE(Planungsjahr,11,BO91))&gt;0,"h","w")),"")</f>
      </c>
      <c r="BP92" s="224">
        <f>IF(ISNUMBER(BO91),IFERROR(21-1/(1/SUMPRODUCT(MAX((JP_StartInhalt=DATE(Planungsjahr,11,BO91))*Anzeige_I*((JP_Anzeige=TRUE)+NOT(Filter_Aktiv)&gt;0)*(11-JP_Farbe)))),IF(COUNTIF(Feiertage,DATE(Planungsjahr,11,BO91))&gt;0,"h","w")),"")</f>
      </c>
      <c r="BQ92" s="225">
        <f>IF(ISNUMBER(BO91),IFERROR(31-1/(1/SUMPRODUCT(MAX((JP_PAL=DATE(Planungsjahr,11,BO91))*Anzeige_P*((JP_Anzeige=TRUE)+NOT(Filter_Aktiv)&gt;0)*(11-JP_Farbe)))),IF(COUNTIF(Feiertage,DATE(Planungsjahr,11,BO91))&gt;0,"h","w")),"")</f>
      </c>
      <c r="BS92" s="181"/>
      <c r="BT92" s="223">
        <f>IF(ISNUMBER(BT91),IFERROR(11-1/(1/SUMPRODUCT(MAX((JP_StartSel=DATE(Planungsjahr,12,BT91))*Anzeige_S*((JP_Anzeige=TRUE)+NOT(Filter_Aktiv)&gt;0)*(11-JP_Farbe)))),IF(COUNTIF(Feiertage,DATE(Planungsjahr,12,BT91))&gt;0,"h",IF(COUNTIFS(U_Von,"&lt;="&amp;DATE(Planungsjahr,12,BT91),U_Bis,"&gt;="&amp;DATE(Planungsjahr,12,BT91))&gt;0,"u",""))),"")</f>
      </c>
      <c r="BU92" s="224">
        <f>IF(ISNUMBER(BT91),IFERROR(21-1/(1/SUMPRODUCT(MAX((JP_StartInhalt=DATE(Planungsjahr,12,BT91))*Anzeige_I*((JP_Anzeige=TRUE)+NOT(Filter_Aktiv)&gt;0)*(11-JP_Farbe)))),IF(COUNTIF(Feiertage,DATE(Planungsjahr,12,BT91))&gt;0,"h",IF(COUNTIFS(U_Von,"&lt;="&amp;DATE(Planungsjahr,12,BT91),U_Bis,"&gt;="&amp;DATE(Planungsjahr,12,BT91))&gt;0,"u",""))),"")</f>
      </c>
      <c r="BV92" s="225">
        <f>IF(ISNUMBER(BT91),IFERROR(31-1/(1/SUMPRODUCT(MAX((JP_PAL=DATE(Planungsjahr,12,BT91))*Anzeige_P*((JP_Anzeige=TRUE)+NOT(Filter_Aktiv)&gt;0)*(11-JP_Farbe)))),IF(COUNTIF(Feiertage,DATE(Planungsjahr,12,BT91))&gt;0,"h",IF(COUNTIFS(U_Von,"&lt;="&amp;DATE(Planungsjahr,12,BT91),U_Bis,"&gt;="&amp;DATE(Planungsjahr,12,BT91))&gt;0,"u",""))),"")</f>
      </c>
      <c r="BW92" s="223">
        <f>IF(ISNUMBER(BW91),IFERROR(11-1/(1/SUMPRODUCT(MAX((JP_StartSel=DATE(Planungsjahr,12,BW91))*Anzeige_S*((JP_Anzeige=TRUE)+NOT(Filter_Aktiv)&gt;0)*(11-JP_Farbe)))),IF(COUNTIF(Feiertage,DATE(Planungsjahr,12,BW91))&gt;0,"h",IF(COUNTIFS(U_Von,"&lt;="&amp;DATE(Planungsjahr,12,BW91),U_Bis,"&gt;="&amp;DATE(Planungsjahr,12,BW91))&gt;0,"u",""))),"")</f>
      </c>
      <c r="BX92" s="224">
        <f>IF(ISNUMBER(BW91),IFERROR(21-1/(1/SUMPRODUCT(MAX((JP_StartInhalt=DATE(Planungsjahr,12,BW91))*Anzeige_I*((JP_Anzeige=TRUE)+NOT(Filter_Aktiv)&gt;0)*(11-JP_Farbe)))),IF(COUNTIF(Feiertage,DATE(Planungsjahr,12,BW91))&gt;0,"h",IF(COUNTIFS(U_Von,"&lt;="&amp;DATE(Planungsjahr,12,BW91),U_Bis,"&gt;="&amp;DATE(Planungsjahr,12,BW91))&gt;0,"u",""))),"")</f>
      </c>
      <c r="BY92" s="225">
        <f>IF(ISNUMBER(BW91),IFERROR(31-1/(1/SUMPRODUCT(MAX((JP_PAL=DATE(Planungsjahr,12,BW91))*Anzeige_P*((JP_Anzeige=TRUE)+NOT(Filter_Aktiv)&gt;0)*(11-JP_Farbe)))),IF(COUNTIF(Feiertage,DATE(Planungsjahr,12,BW91))&gt;0,"h",IF(COUNTIFS(U_Von,"&lt;="&amp;DATE(Planungsjahr,12,BW91),U_Bis,"&gt;="&amp;DATE(Planungsjahr,12,BW91))&gt;0,"u",""))),"")</f>
      </c>
      <c r="BZ92" s="223">
        <f>IF(ISNUMBER(BZ91),IFERROR(11-1/(1/SUMPRODUCT(MAX((JP_StartSel=DATE(Planungsjahr,12,BZ91))*Anzeige_S*((JP_Anzeige=TRUE)+NOT(Filter_Aktiv)&gt;0)*(11-JP_Farbe)))),IF(COUNTIF(Feiertage,DATE(Planungsjahr,12,BZ91))&gt;0,"h",IF(COUNTIFS(U_Von,"&lt;="&amp;DATE(Planungsjahr,12,BZ91),U_Bis,"&gt;="&amp;DATE(Planungsjahr,12,BZ91))&gt;0,"u",""))),"")</f>
      </c>
      <c r="CA92" s="224">
        <f>IF(ISNUMBER(BZ91),IFERROR(21-1/(1/SUMPRODUCT(MAX((JP_StartInhalt=DATE(Planungsjahr,12,BZ91))*Anzeige_I*((JP_Anzeige=TRUE)+NOT(Filter_Aktiv)&gt;0)*(11-JP_Farbe)))),IF(COUNTIF(Feiertage,DATE(Planungsjahr,12,BZ91))&gt;0,"h",IF(COUNTIFS(U_Von,"&lt;="&amp;DATE(Planungsjahr,12,BZ91),U_Bis,"&gt;="&amp;DATE(Planungsjahr,12,BZ91))&gt;0,"u",""))),"")</f>
      </c>
      <c r="CB92" s="225">
        <f>IF(ISNUMBER(BZ91),IFERROR(31-1/(1/SUMPRODUCT(MAX((JP_PAL=DATE(Planungsjahr,12,BZ91))*Anzeige_P*((JP_Anzeige=TRUE)+NOT(Filter_Aktiv)&gt;0)*(11-JP_Farbe)))),IF(COUNTIF(Feiertage,DATE(Planungsjahr,12,BZ91))&gt;0,"h",IF(COUNTIFS(U_Von,"&lt;="&amp;DATE(Planungsjahr,12,BZ91),U_Bis,"&gt;="&amp;DATE(Planungsjahr,12,BZ91))&gt;0,"u",""))),"")</f>
      </c>
      <c r="CC92" s="223">
        <f>IF(ISNUMBER(CC91),IFERROR(11-1/(1/SUMPRODUCT(MAX((JP_StartSel=DATE(Planungsjahr,12,CC91))*Anzeige_S*((JP_Anzeige=TRUE)+NOT(Filter_Aktiv)&gt;0)*(11-JP_Farbe)))),IF(COUNTIF(Feiertage,DATE(Planungsjahr,12,CC91))&gt;0,"h",IF(COUNTIFS(U_Von,"&lt;="&amp;DATE(Planungsjahr,12,CC91),U_Bis,"&gt;="&amp;DATE(Planungsjahr,12,CC91))&gt;0,"u",""))),"")</f>
      </c>
      <c r="CD92" s="224">
        <f>IF(ISNUMBER(CC91),IFERROR(21-1/(1/SUMPRODUCT(MAX((JP_StartInhalt=DATE(Planungsjahr,12,CC91))*Anzeige_I*((JP_Anzeige=TRUE)+NOT(Filter_Aktiv)&gt;0)*(11-JP_Farbe)))),IF(COUNTIF(Feiertage,DATE(Planungsjahr,12,CC91))&gt;0,"h",IF(COUNTIFS(U_Von,"&lt;="&amp;DATE(Planungsjahr,12,CC91),U_Bis,"&gt;="&amp;DATE(Planungsjahr,12,CC91))&gt;0,"u",""))),"")</f>
      </c>
      <c r="CE92" s="225">
        <f>IF(ISNUMBER(CC91),IFERROR(31-1/(1/SUMPRODUCT(MAX((JP_PAL=DATE(Planungsjahr,12,CC91))*Anzeige_P*((JP_Anzeige=TRUE)+NOT(Filter_Aktiv)&gt;0)*(11-JP_Farbe)))),IF(COUNTIF(Feiertage,DATE(Planungsjahr,12,CC91))&gt;0,"h",IF(COUNTIFS(U_Von,"&lt;="&amp;DATE(Planungsjahr,12,CC91),U_Bis,"&gt;="&amp;DATE(Planungsjahr,12,CC91))&gt;0,"u",""))),"")</f>
      </c>
      <c r="CF92" s="223">
        <f>IF(ISNUMBER(CF91),IFERROR(11-1/(1/SUMPRODUCT(MAX((JP_StartSel=DATE(Planungsjahr,12,CF91))*Anzeige_S*((JP_Anzeige=TRUE)+NOT(Filter_Aktiv)&gt;0)*(11-JP_Farbe)))),IF(COUNTIF(Feiertage,DATE(Planungsjahr,12,CF91))&gt;0,"h",IF(COUNTIFS(U_Von,"&lt;="&amp;DATE(Planungsjahr,12,CF91),U_Bis,"&gt;="&amp;DATE(Planungsjahr,12,CF91))&gt;0,"u",""))),"")</f>
      </c>
      <c r="CG92" s="224">
        <f>IF(ISNUMBER(CF91),IFERROR(21-1/(1/SUMPRODUCT(MAX((JP_StartInhalt=DATE(Planungsjahr,12,CF91))*Anzeige_I*((JP_Anzeige=TRUE)+NOT(Filter_Aktiv)&gt;0)*(11-JP_Farbe)))),IF(COUNTIF(Feiertage,DATE(Planungsjahr,12,CF91))&gt;0,"h",IF(COUNTIFS(U_Von,"&lt;="&amp;DATE(Planungsjahr,12,CF91),U_Bis,"&gt;="&amp;DATE(Planungsjahr,12,CF91))&gt;0,"u",""))),"")</f>
      </c>
      <c r="CH92" s="225">
        <f>IF(ISNUMBER(CF91),IFERROR(31-1/(1/SUMPRODUCT(MAX((JP_PAL=DATE(Planungsjahr,12,CF91))*Anzeige_P*((JP_Anzeige=TRUE)+NOT(Filter_Aktiv)&gt;0)*(11-JP_Farbe)))),IF(COUNTIF(Feiertage,DATE(Planungsjahr,12,CF91))&gt;0,"h",IF(COUNTIFS(U_Von,"&lt;="&amp;DATE(Planungsjahr,12,CF91),U_Bis,"&gt;="&amp;DATE(Planungsjahr,12,CF91))&gt;0,"u",""))),"")</f>
      </c>
      <c r="CI92" s="223">
        <f>IF(ISNUMBER(CI91),IFERROR(11-1/(1/SUMPRODUCT(MAX((JP_StartSel=DATE(Planungsjahr,12,CI91))*Anzeige_S*((JP_Anzeige=TRUE)+NOT(Filter_Aktiv)&gt;0)*(11-JP_Farbe)))),IF(COUNTIF(Feiertage,DATE(Planungsjahr,12,CI91))&gt;0,"h","w")),"")</f>
      </c>
      <c r="CJ92" s="224">
        <f>IF(ISNUMBER(CI91),IFERROR(21-1/(1/SUMPRODUCT(MAX((JP_StartInhalt=DATE(Planungsjahr,12,CI91))*Anzeige_I*((JP_Anzeige=TRUE)+NOT(Filter_Aktiv)&gt;0)*(11-JP_Farbe)))),IF(COUNTIF(Feiertage,DATE(Planungsjahr,12,CI91))&gt;0,"h","w")),"")</f>
      </c>
      <c r="CK92" s="225">
        <f>IF(ISNUMBER(CI91),IFERROR(31-1/(1/SUMPRODUCT(MAX((JP_PAL=DATE(Planungsjahr,12,CI91))*Anzeige_P*((JP_Anzeige=TRUE)+NOT(Filter_Aktiv)&gt;0)*(11-JP_Farbe)))),IF(COUNTIF(Feiertage,DATE(Planungsjahr,12,CI91))&gt;0,"h","w")),"")</f>
      </c>
      <c r="CL92" s="223">
        <f>IF(ISNUMBER(CL91),IFERROR(11-1/(1/SUMPRODUCT(MAX((JP_StartSel=DATE(Planungsjahr,12,CL91))*Anzeige_S*((JP_Anzeige=TRUE)+NOT(Filter_Aktiv)&gt;0)*(11-JP_Farbe)))),IF(COUNTIF(Feiertage,DATE(Planungsjahr,12,CL91))&gt;0,"h","w")),"")</f>
      </c>
      <c r="CM92" s="224">
        <f>IF(ISNUMBER(CL91),IFERROR(21-1/(1/SUMPRODUCT(MAX((JP_StartInhalt=DATE(Planungsjahr,12,CL91))*Anzeige_I*((JP_Anzeige=TRUE)+NOT(Filter_Aktiv)&gt;0)*(11-JP_Farbe)))),IF(COUNTIF(Feiertage,DATE(Planungsjahr,12,CL91))&gt;0,"h","w")),"")</f>
      </c>
      <c r="CN92" s="225">
        <f>IF(ISNUMBER(CL91),IFERROR(31-1/(1/SUMPRODUCT(MAX((JP_PAL=DATE(Planungsjahr,12,CL91))*Anzeige_P*((JP_Anzeige=TRUE)+NOT(Filter_Aktiv)&gt;0)*(11-JP_Farbe)))),IF(COUNTIF(Feiertage,DATE(Planungsjahr,12,CL91))&gt;0,"h","w")),"")</f>
      </c>
    </row>
    <row r="93" spans="2:92" ht="21.95" customHeight="1" x14ac:dyDescent="0.25">
      <c r="B93" s="184" t="str">
        <f t="array" ref="B93">_xlfn.TEXTJOIN("  ·  ",TRUE,IF(MONTH(Feiertage)=9,TEXT(DAY(Feiertage),"00")&amp;"."&amp;TEXT(MONTH(Feiertage),"00")&amp;". "&amp;Feiertage_Name,""),IF(ISNUMBER(U_Von)*ISNUMBER(U_Bis)*(U_Von&lt;=DATE(Planungsjahr,9+1,0))*(U_Bis&gt;=DATE(Planungsjahr,9,1)),"Urlaub "&amp;TEXT(DAY(U_Von),"00")&amp;"."&amp;TEXT(MONTH(U_Von),"00")&amp;".–"&amp;TEXT(DAY(U_Bis),"00")&amp;"."&amp;TEXT(MONTH(U_Bis),"00")&amp;"."&amp;IF(U_Wer="",""," "&amp;U_Wer),""))</f>
      </c>
      <c r="C93" s="184"/>
      <c r="D93" s="184"/>
      <c r="E93" s="184"/>
      <c r="F93" s="184"/>
      <c r="G93" s="184"/>
      <c r="H93" s="184"/>
      <c r="I93" s="184"/>
      <c r="J93" s="184"/>
      <c r="K93" s="184"/>
      <c r="L93" s="184"/>
      <c r="M93" s="184"/>
      <c r="N93" s="184"/>
      <c r="O93" s="184"/>
      <c r="P93" s="184"/>
      <c r="Q93" s="184"/>
      <c r="R93" s="184"/>
      <c r="S93" s="184"/>
      <c r="T93" s="184"/>
      <c r="U93" s="184"/>
      <c r="V93" s="184"/>
      <c r="W93" s="184"/>
      <c r="Y93" s="184" t="str">
        <f t="array" ref="Y93">_xlfn.TEXTJOIN("  ·  ",TRUE,IF(MONTH(Feiertage)=10,TEXT(DAY(Feiertage),"00")&amp;"."&amp;TEXT(MONTH(Feiertage),"00")&amp;". "&amp;Feiertage_Name,""),IF(ISNUMBER(U_Von)*ISNUMBER(U_Bis)*(U_Von&lt;=DATE(Planungsjahr,10+1,0))*(U_Bis&gt;=DATE(Planungsjahr,10,1)),"Urlaub "&amp;TEXT(DAY(U_Von),"00")&amp;"."&amp;TEXT(MONTH(U_Von),"00")&amp;".–"&amp;TEXT(DAY(U_Bis),"00")&amp;"."&amp;TEXT(MONTH(U_Bis),"00")&amp;"."&amp;IF(U_Wer="",""," "&amp;U_Wer),""))</f>
      </c>
      <c r="Z93" s="184"/>
      <c r="AA93" s="184"/>
      <c r="AB93" s="184"/>
      <c r="AC93" s="184"/>
      <c r="AD93" s="184"/>
      <c r="AE93" s="184"/>
      <c r="AF93" s="184"/>
      <c r="AG93" s="184"/>
      <c r="AH93" s="184"/>
      <c r="AI93" s="184"/>
      <c r="AJ93" s="184"/>
      <c r="AK93" s="184"/>
      <c r="AL93" s="184"/>
      <c r="AM93" s="184"/>
      <c r="AN93" s="184"/>
      <c r="AO93" s="184"/>
      <c r="AP93" s="184"/>
      <c r="AQ93" s="184"/>
      <c r="AR93" s="184"/>
      <c r="AS93" s="184"/>
      <c r="AT93" s="184"/>
      <c r="AV93" s="184" t="str">
        <f t="array" ref="AV93">_xlfn.TEXTJOIN("  ·  ",TRUE,IF(MONTH(Feiertage)=11,TEXT(DAY(Feiertage),"00")&amp;"."&amp;TEXT(MONTH(Feiertage),"00")&amp;". "&amp;Feiertage_Name,""),IF(ISNUMBER(U_Von)*ISNUMBER(U_Bis)*(U_Von&lt;=DATE(Planungsjahr,11+1,0))*(U_Bis&gt;=DATE(Planungsjahr,11,1)),"Urlaub "&amp;TEXT(DAY(U_Von),"00")&amp;"."&amp;TEXT(MONTH(U_Von),"00")&amp;".–"&amp;TEXT(DAY(U_Bis),"00")&amp;"."&amp;TEXT(MONTH(U_Bis),"00")&amp;"."&amp;IF(U_Wer="",""," "&amp;U_Wer),""))</f>
      </c>
      <c r="AW93" s="184"/>
      <c r="AX93" s="184"/>
      <c r="AY93" s="184"/>
      <c r="AZ93" s="184"/>
      <c r="BA93" s="184"/>
      <c r="BB93" s="184"/>
      <c r="BC93" s="184"/>
      <c r="BD93" s="184"/>
      <c r="BE93" s="184"/>
      <c r="BF93" s="184"/>
      <c r="BG93" s="184"/>
      <c r="BH93" s="184"/>
      <c r="BI93" s="184"/>
      <c r="BJ93" s="184"/>
      <c r="BK93" s="184"/>
      <c r="BL93" s="184"/>
      <c r="BM93" s="184"/>
      <c r="BN93" s="184"/>
      <c r="BO93" s="184"/>
      <c r="BP93" s="184"/>
      <c r="BQ93" s="184"/>
      <c r="BS93" s="184" t="str">
        <f t="array" ref="BS93">_xlfn.TEXTJOIN("  ·  ",TRUE,IF(MONTH(Feiertage)=12,TEXT(DAY(Feiertage),"00")&amp;"."&amp;TEXT(MONTH(Feiertage),"00")&amp;". "&amp;Feiertage_Name,""),IF(ISNUMBER(U_Von)*ISNUMBER(U_Bis)*(U_Von&lt;=DATE(Planungsjahr,12+1,0))*(U_Bis&gt;=DATE(Planungsjahr,12,1)),"Urlaub "&amp;TEXT(DAY(U_Von),"00")&amp;"."&amp;TEXT(MONTH(U_Von),"00")&amp;".–"&amp;TEXT(DAY(U_Bis),"00")&amp;"."&amp;TEXT(MONTH(U_Bis),"00")&amp;"."&amp;IF(U_Wer="",""," "&amp;U_Wer),""))</f>
      </c>
      <c r="BT93" s="184"/>
      <c r="BU93" s="184"/>
      <c r="BV93" s="184"/>
      <c r="BW93" s="184"/>
      <c r="BX93" s="184"/>
      <c r="BY93" s="184"/>
      <c r="BZ93" s="184"/>
      <c r="CA93" s="184"/>
      <c r="CB93" s="184"/>
      <c r="CC93" s="184"/>
      <c r="CD93" s="184"/>
      <c r="CE93" s="184"/>
      <c r="CF93" s="184"/>
      <c r="CG93" s="184"/>
      <c r="CH93" s="184"/>
      <c r="CI93" s="184"/>
      <c r="CJ93" s="184"/>
      <c r="CK93" s="184"/>
      <c r="CL93" s="184"/>
      <c r="CM93" s="184"/>
      <c r="CN93" s="184"/>
    </row>
    <row r="94" x14ac:dyDescent="0.25" ht="11.5" customHeight="1">
      <c r="B94" s="226">
        <f>Hilfsdaten!$D$48</f>
      </c>
      <c r="C94" s="227" t="str">
        <f>Hilfsdaten!$C$48</f>
      </c>
      <c r="D94" s="215"/>
      <c r="E94" s="215"/>
      <c r="F94" s="215"/>
      <c r="G94" s="215"/>
      <c r="H94" s="215"/>
      <c r="I94" s="215"/>
      <c r="J94" s="215"/>
      <c r="K94" s="215"/>
      <c r="L94" s="215"/>
      <c r="M94" s="215"/>
      <c r="N94" s="215"/>
      <c r="O94" s="215"/>
      <c r="P94" s="215"/>
      <c r="Q94" s="215"/>
      <c r="R94" s="215"/>
      <c r="S94" s="215"/>
      <c r="T94" s="215"/>
      <c r="U94" s="215"/>
      <c r="V94" s="215"/>
      <c r="W94" s="215"/>
      <c r="Y94" s="226">
        <f>Hilfsdaten!$D$51</f>
      </c>
      <c r="Z94" s="227" t="str">
        <f>Hilfsdaten!$C$51</f>
      </c>
      <c r="AA94" s="215"/>
      <c r="AB94" s="215"/>
      <c r="AC94" s="215"/>
      <c r="AD94" s="215"/>
      <c r="AE94" s="215"/>
      <c r="AF94" s="215"/>
      <c r="AG94" s="215"/>
      <c r="AH94" s="215"/>
      <c r="AI94" s="215"/>
      <c r="AJ94" s="215"/>
      <c r="AK94" s="215"/>
      <c r="AL94" s="215"/>
      <c r="AM94" s="215"/>
      <c r="AN94" s="215"/>
      <c r="AO94" s="215"/>
      <c r="AP94" s="215"/>
      <c r="AQ94" s="215"/>
      <c r="AR94" s="215"/>
      <c r="AS94" s="215"/>
      <c r="AT94" s="215"/>
      <c r="AV94" s="226">
        <f>Hilfsdaten!$D$54</f>
      </c>
      <c r="AW94" s="227" t="str">
        <f>Hilfsdaten!$C$54</f>
      </c>
      <c r="AX94" s="215"/>
      <c r="AY94" s="215"/>
      <c r="AZ94" s="215"/>
      <c r="BA94" s="215"/>
      <c r="BB94" s="215"/>
      <c r="BC94" s="215"/>
      <c r="BD94" s="215"/>
      <c r="BE94" s="215"/>
      <c r="BF94" s="215"/>
      <c r="BG94" s="215"/>
      <c r="BH94" s="215"/>
      <c r="BI94" s="215"/>
      <c r="BJ94" s="215"/>
      <c r="BK94" s="215"/>
      <c r="BL94" s="215"/>
      <c r="BM94" s="215"/>
      <c r="BN94" s="215"/>
      <c r="BO94" s="215"/>
      <c r="BP94" s="215"/>
      <c r="BQ94" s="215"/>
      <c r="BS94" s="226">
        <f>Hilfsdaten!$D$57</f>
      </c>
      <c r="BT94" s="227" t="str">
        <f>Hilfsdaten!$C$57</f>
      </c>
      <c r="BU94" s="215"/>
      <c r="BV94" s="215"/>
      <c r="BW94" s="215"/>
      <c r="BX94" s="215"/>
      <c r="BY94" s="215"/>
      <c r="BZ94" s="215"/>
      <c r="CA94" s="215"/>
      <c r="CB94" s="215"/>
      <c r="CC94" s="215"/>
      <c r="CD94" s="215"/>
      <c r="CE94" s="215"/>
      <c r="CF94" s="215"/>
      <c r="CG94" s="215"/>
      <c r="CH94" s="215"/>
      <c r="CI94" s="215"/>
      <c r="CJ94" s="215"/>
      <c r="CK94" s="215"/>
      <c r="CL94" s="215"/>
      <c r="CM94" s="215"/>
      <c r="CN94" s="215"/>
    </row>
    <row r="95" ht="11.5" customHeight="1">
      <c r="B95" s="226">
        <f>Hilfsdaten!$D$49</f>
      </c>
      <c r="C95" s="227" t="str">
        <f>Hilfsdaten!$C$49</f>
      </c>
      <c r="D95" s="217"/>
      <c r="E95" s="217"/>
      <c r="F95" s="217"/>
      <c r="G95" s="217"/>
      <c r="H95" s="217"/>
      <c r="I95" s="217"/>
      <c r="J95" s="217"/>
      <c r="K95" s="217"/>
      <c r="L95" s="217"/>
      <c r="M95" s="217"/>
      <c r="N95" s="217"/>
      <c r="O95" s="217"/>
      <c r="P95" s="217"/>
      <c r="Q95" s="217"/>
      <c r="R95" s="217"/>
      <c r="S95" s="217"/>
      <c r="T95" s="217"/>
      <c r="U95" s="217"/>
      <c r="V95" s="217"/>
      <c r="W95" s="217"/>
      <c r="Y95" s="226">
        <f>Hilfsdaten!$D$52</f>
      </c>
      <c r="Z95" s="227" t="str">
        <f>Hilfsdaten!$C$52</f>
      </c>
      <c r="AA95" s="217"/>
      <c r="AB95" s="217"/>
      <c r="AC95" s="217"/>
      <c r="AD95" s="217"/>
      <c r="AE95" s="217"/>
      <c r="AF95" s="217"/>
      <c r="AG95" s="217"/>
      <c r="AH95" s="217"/>
      <c r="AI95" s="217"/>
      <c r="AJ95" s="217"/>
      <c r="AK95" s="217"/>
      <c r="AL95" s="217"/>
      <c r="AM95" s="217"/>
      <c r="AN95" s="217"/>
      <c r="AO95" s="217"/>
      <c r="AP95" s="217"/>
      <c r="AQ95" s="217"/>
      <c r="AR95" s="217"/>
      <c r="AS95" s="217"/>
      <c r="AT95" s="217"/>
      <c r="AV95" s="226">
        <f>Hilfsdaten!$D$55</f>
      </c>
      <c r="AW95" s="227" t="str">
        <f>Hilfsdaten!$C$55</f>
      </c>
      <c r="AX95" s="217"/>
      <c r="AY95" s="217"/>
      <c r="AZ95" s="217"/>
      <c r="BA95" s="217"/>
      <c r="BB95" s="217"/>
      <c r="BC95" s="217"/>
      <c r="BD95" s="217"/>
      <c r="BE95" s="217"/>
      <c r="BF95" s="217"/>
      <c r="BG95" s="217"/>
      <c r="BH95" s="217"/>
      <c r="BI95" s="217"/>
      <c r="BJ95" s="217"/>
      <c r="BK95" s="217"/>
      <c r="BL95" s="217"/>
      <c r="BM95" s="217"/>
      <c r="BN95" s="217"/>
      <c r="BO95" s="217"/>
      <c r="BP95" s="217"/>
      <c r="BQ95" s="217"/>
      <c r="BS95" s="226">
        <f>Hilfsdaten!$D$58</f>
      </c>
      <c r="BT95" s="227" t="str">
        <f>Hilfsdaten!$C$58</f>
      </c>
      <c r="BU95" s="217"/>
      <c r="BV95" s="217"/>
      <c r="BW95" s="217"/>
      <c r="BX95" s="217"/>
      <c r="BY95" s="217"/>
      <c r="BZ95" s="217"/>
      <c r="CA95" s="217"/>
      <c r="CB95" s="217"/>
      <c r="CC95" s="217"/>
      <c r="CD95" s="217"/>
      <c r="CE95" s="217"/>
      <c r="CF95" s="217"/>
      <c r="CG95" s="217"/>
      <c r="CH95" s="217"/>
      <c r="CI95" s="217"/>
      <c r="CJ95" s="217"/>
      <c r="CK95" s="217"/>
      <c r="CL95" s="217"/>
      <c r="CM95" s="217"/>
      <c r="CN95" s="217"/>
    </row>
    <row r="96" ht="11.5" customHeight="1">
      <c r="B96" s="226">
        <f>Hilfsdaten!$D$50</f>
      </c>
      <c r="C96" s="227" t="str">
        <f>Hilfsdaten!$C$50</f>
      </c>
      <c r="D96" s="219"/>
      <c r="E96" s="219"/>
      <c r="F96" s="219"/>
      <c r="G96" s="219"/>
      <c r="H96" s="219"/>
      <c r="I96" s="219"/>
      <c r="J96" s="219"/>
      <c r="K96" s="219"/>
      <c r="L96" s="219"/>
      <c r="M96" s="219"/>
      <c r="N96" s="219"/>
      <c r="O96" s="219"/>
      <c r="P96" s="219"/>
      <c r="Q96" s="219"/>
      <c r="R96" s="219"/>
      <c r="S96" s="219"/>
      <c r="T96" s="219"/>
      <c r="U96" s="219"/>
      <c r="V96" s="219"/>
      <c r="W96" s="219"/>
      <c r="Y96" s="226">
        <f>Hilfsdaten!$D$53</f>
      </c>
      <c r="Z96" s="227" t="str">
        <f>Hilfsdaten!$C$53</f>
      </c>
      <c r="AA96" s="219"/>
      <c r="AB96" s="219"/>
      <c r="AC96" s="219"/>
      <c r="AD96" s="219"/>
      <c r="AE96" s="219"/>
      <c r="AF96" s="219"/>
      <c r="AG96" s="219"/>
      <c r="AH96" s="219"/>
      <c r="AI96" s="219"/>
      <c r="AJ96" s="219"/>
      <c r="AK96" s="219"/>
      <c r="AL96" s="219"/>
      <c r="AM96" s="219"/>
      <c r="AN96" s="219"/>
      <c r="AO96" s="219"/>
      <c r="AP96" s="219"/>
      <c r="AQ96" s="219"/>
      <c r="AR96" s="219"/>
      <c r="AS96" s="219"/>
      <c r="AT96" s="219"/>
      <c r="AV96" s="226">
        <f>Hilfsdaten!$D$56</f>
      </c>
      <c r="AW96" s="227" t="str">
        <f>Hilfsdaten!$C$56</f>
      </c>
      <c r="AX96" s="219"/>
      <c r="AY96" s="219"/>
      <c r="AZ96" s="219"/>
      <c r="BA96" s="219"/>
      <c r="BB96" s="219"/>
      <c r="BC96" s="219"/>
      <c r="BD96" s="219"/>
      <c r="BE96" s="219"/>
      <c r="BF96" s="219"/>
      <c r="BG96" s="219"/>
      <c r="BH96" s="219"/>
      <c r="BI96" s="219"/>
      <c r="BJ96" s="219"/>
      <c r="BK96" s="219"/>
      <c r="BL96" s="219"/>
      <c r="BM96" s="219"/>
      <c r="BN96" s="219"/>
      <c r="BO96" s="219"/>
      <c r="BP96" s="219"/>
      <c r="BQ96" s="219"/>
      <c r="BS96" s="226">
        <f>Hilfsdaten!$D$59</f>
      </c>
      <c r="BT96" s="227" t="str">
        <f>Hilfsdaten!$C$59</f>
      </c>
      <c r="BU96" s="219"/>
      <c r="BV96" s="219"/>
      <c r="BW96" s="219"/>
      <c r="BX96" s="219"/>
      <c r="BY96" s="219"/>
      <c r="BZ96" s="219"/>
      <c r="CA96" s="219"/>
      <c r="CB96" s="219"/>
      <c r="CC96" s="219"/>
      <c r="CD96" s="219"/>
      <c r="CE96" s="219"/>
      <c r="CF96" s="219"/>
      <c r="CG96" s="219"/>
      <c r="CH96" s="219"/>
      <c r="CI96" s="219"/>
      <c r="CJ96" s="219"/>
      <c r="CK96" s="219"/>
      <c r="CL96" s="219"/>
      <c r="CM96" s="219"/>
      <c r="CN96" s="219"/>
    </row>
  </sheetData>
  <mergeCells count="780">
    <mergeCell ref="B34:CN34"/>
    <mergeCell ref="B35:CN35"/>
    <mergeCell ref="B36:CN36"/>
    <mergeCell ref="B37:CN37"/>
    <mergeCell ref="B38:CN38"/>
    <mergeCell ref="B39:CN39"/>
    <mergeCell ref="V32:Y32"/>
    <mergeCell ref="Z32:AH32"/>
    <mergeCell ref="AI32:AO32"/>
    <mergeCell ref="AP32:AV32"/>
    <mergeCell ref="AW32:BC32"/>
    <mergeCell ref="BD32:BL32"/>
    <mergeCell ref="BM32:BT32"/>
    <mergeCell ref="BU32:CN32"/>
    <mergeCell ref="V31:Y31"/>
    <mergeCell ref="Z31:AH31"/>
    <mergeCell ref="AI31:AO31"/>
    <mergeCell ref="AP31:AV31"/>
    <mergeCell ref="AW31:BC31"/>
    <mergeCell ref="BD31:BL31"/>
    <mergeCell ref="BM31:BT31"/>
    <mergeCell ref="BU31:CN31"/>
    <mergeCell ref="V30:Y30"/>
    <mergeCell ref="Z30:AH30"/>
    <mergeCell ref="AI30:AO30"/>
    <mergeCell ref="AP30:AV30"/>
    <mergeCell ref="AW30:BC30"/>
    <mergeCell ref="BD30:BL30"/>
    <mergeCell ref="BM30:BT30"/>
    <mergeCell ref="BU30:CN30"/>
    <mergeCell ref="V29:Y29"/>
    <mergeCell ref="Z29:AH29"/>
    <mergeCell ref="AI29:AO29"/>
    <mergeCell ref="AP29:AV29"/>
    <mergeCell ref="AW29:BC29"/>
    <mergeCell ref="BD29:BL29"/>
    <mergeCell ref="BM29:BT29"/>
    <mergeCell ref="BU29:CN29"/>
    <mergeCell ref="V28:Y28"/>
    <mergeCell ref="Z28:AH28"/>
    <mergeCell ref="AI28:AO28"/>
    <mergeCell ref="AP28:AV28"/>
    <mergeCell ref="AW28:BC28"/>
    <mergeCell ref="BD28:BL28"/>
    <mergeCell ref="BM28:BT28"/>
    <mergeCell ref="BU28:CN28"/>
    <mergeCell ref="V27:Y27"/>
    <mergeCell ref="Z27:AH27"/>
    <mergeCell ref="AI27:AO27"/>
    <mergeCell ref="AP27:AV27"/>
    <mergeCell ref="AW27:BC27"/>
    <mergeCell ref="BD27:BL27"/>
    <mergeCell ref="BM27:BT27"/>
    <mergeCell ref="BU27:CN27"/>
    <mergeCell ref="V26:Y26"/>
    <mergeCell ref="Z26:AH26"/>
    <mergeCell ref="AI26:AO26"/>
    <mergeCell ref="AP26:AV26"/>
    <mergeCell ref="AW26:BC26"/>
    <mergeCell ref="BD26:BL26"/>
    <mergeCell ref="BM26:BT26"/>
    <mergeCell ref="BU26:CN26"/>
    <mergeCell ref="V25:Y25"/>
    <mergeCell ref="Z25:AH25"/>
    <mergeCell ref="AI25:AO25"/>
    <mergeCell ref="AP25:AV25"/>
    <mergeCell ref="AW25:BC25"/>
    <mergeCell ref="BD25:BL25"/>
    <mergeCell ref="BM25:BT25"/>
    <mergeCell ref="BU25:CN25"/>
    <mergeCell ref="V24:Y24"/>
    <mergeCell ref="Z24:AH24"/>
    <mergeCell ref="AI24:AO24"/>
    <mergeCell ref="AP24:AV24"/>
    <mergeCell ref="AW24:BC24"/>
    <mergeCell ref="BD24:BL24"/>
    <mergeCell ref="BM24:BT24"/>
    <mergeCell ref="BU24:CN24"/>
    <mergeCell ref="V23:Y23"/>
    <mergeCell ref="Z23:AH23"/>
    <mergeCell ref="AI23:AO23"/>
    <mergeCell ref="AP23:AV23"/>
    <mergeCell ref="AW23:BC23"/>
    <mergeCell ref="BD23:BL23"/>
    <mergeCell ref="BM23:BT23"/>
    <mergeCell ref="BU23:CN23"/>
    <mergeCell ref="V22:Y22"/>
    <mergeCell ref="Z22:AH22"/>
    <mergeCell ref="AI22:AO22"/>
    <mergeCell ref="AP22:AV22"/>
    <mergeCell ref="AW22:BC22"/>
    <mergeCell ref="BD22:BL22"/>
    <mergeCell ref="BM22:BT22"/>
    <mergeCell ref="BU22:CN22"/>
    <mergeCell ref="V21:Y21"/>
    <mergeCell ref="Z21:AH21"/>
    <mergeCell ref="AI21:AO21"/>
    <mergeCell ref="AP21:AV21"/>
    <mergeCell ref="AW21:BC21"/>
    <mergeCell ref="BD21:BL21"/>
    <mergeCell ref="BM21:BT21"/>
    <mergeCell ref="BU21:CN21"/>
    <mergeCell ref="V20:Y20"/>
    <mergeCell ref="Z20:AH20"/>
    <mergeCell ref="AI20:AO20"/>
    <mergeCell ref="AP20:AV20"/>
    <mergeCell ref="AW20:BC20"/>
    <mergeCell ref="BD20:BL20"/>
    <mergeCell ref="BM20:BT20"/>
    <mergeCell ref="BU20:CN20"/>
    <mergeCell ref="V19:Y19"/>
    <mergeCell ref="Z19:AH19"/>
    <mergeCell ref="AI19:AO19"/>
    <mergeCell ref="AP19:AV19"/>
    <mergeCell ref="AW19:BC19"/>
    <mergeCell ref="BD19:BL19"/>
    <mergeCell ref="BM19:BT19"/>
    <mergeCell ref="BU19:CN19"/>
    <mergeCell ref="V18:Y18"/>
    <mergeCell ref="Z18:AH18"/>
    <mergeCell ref="AI18:AO18"/>
    <mergeCell ref="AP18:AV18"/>
    <mergeCell ref="AW18:BC18"/>
    <mergeCell ref="BD18:BL18"/>
    <mergeCell ref="BM18:BT18"/>
    <mergeCell ref="BU18:CN18"/>
    <mergeCell ref="V17:Y17"/>
    <mergeCell ref="Z17:AH17"/>
    <mergeCell ref="AI17:AO17"/>
    <mergeCell ref="AP17:AV17"/>
    <mergeCell ref="AW17:BC17"/>
    <mergeCell ref="BD17:BL17"/>
    <mergeCell ref="BM17:BT17"/>
    <mergeCell ref="BU17:CN17"/>
    <mergeCell ref="V16:Y16"/>
    <mergeCell ref="Z16:AH16"/>
    <mergeCell ref="AI16:AO16"/>
    <mergeCell ref="AP16:AV16"/>
    <mergeCell ref="AW16:BC16"/>
    <mergeCell ref="BD16:BL16"/>
    <mergeCell ref="BM16:BT16"/>
    <mergeCell ref="BU16:CN16"/>
    <mergeCell ref="V15:Y15"/>
    <mergeCell ref="Z15:AH15"/>
    <mergeCell ref="AI15:AO15"/>
    <mergeCell ref="AP15:AV15"/>
    <mergeCell ref="AW15:BC15"/>
    <mergeCell ref="BD15:BL15"/>
    <mergeCell ref="BM15:BT15"/>
    <mergeCell ref="BU15:CN15"/>
    <mergeCell ref="V14:Y14"/>
    <mergeCell ref="Z14:AH14"/>
    <mergeCell ref="AI14:AO14"/>
    <mergeCell ref="AP14:AV14"/>
    <mergeCell ref="AW14:BC14"/>
    <mergeCell ref="BD14:BL14"/>
    <mergeCell ref="BM14:BT14"/>
    <mergeCell ref="BU14:CN14"/>
    <mergeCell ref="V13:Y13"/>
    <mergeCell ref="Z13:AH13"/>
    <mergeCell ref="AI13:AO13"/>
    <mergeCell ref="AP13:AV13"/>
    <mergeCell ref="AW13:BC13"/>
    <mergeCell ref="BD13:BL13"/>
    <mergeCell ref="BM13:BT13"/>
    <mergeCell ref="BU13:CN13"/>
    <mergeCell ref="BS93:CN93"/>
    <mergeCell ref="B11:AJ11"/>
    <mergeCell ref="AK11:CN11"/>
    <mergeCell ref="V12:Y12"/>
    <mergeCell ref="Z12:AH12"/>
    <mergeCell ref="AI12:AO12"/>
    <mergeCell ref="AP12:AV12"/>
    <mergeCell ref="AW12:BC12"/>
    <mergeCell ref="BD12:BL12"/>
    <mergeCell ref="BM12:BT12"/>
    <mergeCell ref="BU12:CN12"/>
    <mergeCell ref="BT89:BV89"/>
    <mergeCell ref="BW89:BY89"/>
    <mergeCell ref="BZ89:CB89"/>
    <mergeCell ref="CC89:CE89"/>
    <mergeCell ref="CF89:CH89"/>
    <mergeCell ref="CI89:CK89"/>
    <mergeCell ref="CL89:CN89"/>
    <mergeCell ref="BT91:BV91"/>
    <mergeCell ref="BW91:BY91"/>
    <mergeCell ref="BZ91:CB91"/>
    <mergeCell ref="CC91:CE91"/>
    <mergeCell ref="CF91:CH91"/>
    <mergeCell ref="CI91:CK91"/>
    <mergeCell ref="CL91:CN91"/>
    <mergeCell ref="BW85:BY85"/>
    <mergeCell ref="BZ85:CB85"/>
    <mergeCell ref="CC85:CE85"/>
    <mergeCell ref="CF85:CH85"/>
    <mergeCell ref="CI85:CK85"/>
    <mergeCell ref="CL85:CN85"/>
    <mergeCell ref="BT87:BV87"/>
    <mergeCell ref="BW87:BY87"/>
    <mergeCell ref="BZ87:CB87"/>
    <mergeCell ref="CC87:CE87"/>
    <mergeCell ref="CF87:CH87"/>
    <mergeCell ref="CI87:CK87"/>
    <mergeCell ref="CL87:CN87"/>
    <mergeCell ref="AV93:BQ93"/>
    <mergeCell ref="BS79:CN79"/>
    <mergeCell ref="BT81:BV81"/>
    <mergeCell ref="BW81:BY81"/>
    <mergeCell ref="BZ81:CB81"/>
    <mergeCell ref="CC81:CE81"/>
    <mergeCell ref="CF81:CH81"/>
    <mergeCell ref="CI81:CK81"/>
    <mergeCell ref="CL81:CN81"/>
    <mergeCell ref="BT83:BV83"/>
    <mergeCell ref="BW83:BY83"/>
    <mergeCell ref="BZ83:CB83"/>
    <mergeCell ref="CC83:CE83"/>
    <mergeCell ref="CF83:CH83"/>
    <mergeCell ref="CI83:CK83"/>
    <mergeCell ref="CL83:CN83"/>
    <mergeCell ref="BT85:BV85"/>
    <mergeCell ref="AW89:AY89"/>
    <mergeCell ref="AZ89:BB89"/>
    <mergeCell ref="BC89:BE89"/>
    <mergeCell ref="BF89:BH89"/>
    <mergeCell ref="BI89:BK89"/>
    <mergeCell ref="BL89:BN89"/>
    <mergeCell ref="BO89:BQ89"/>
    <mergeCell ref="AW91:AY91"/>
    <mergeCell ref="AZ91:BB91"/>
    <mergeCell ref="BC91:BE91"/>
    <mergeCell ref="BF91:BH91"/>
    <mergeCell ref="BI91:BK91"/>
    <mergeCell ref="BL91:BN91"/>
    <mergeCell ref="BO91:BQ91"/>
    <mergeCell ref="AZ85:BB85"/>
    <mergeCell ref="BC85:BE85"/>
    <mergeCell ref="BF85:BH85"/>
    <mergeCell ref="BI85:BK85"/>
    <mergeCell ref="BL85:BN85"/>
    <mergeCell ref="BO85:BQ85"/>
    <mergeCell ref="AW87:AY87"/>
    <mergeCell ref="AZ87:BB87"/>
    <mergeCell ref="BC87:BE87"/>
    <mergeCell ref="BF87:BH87"/>
    <mergeCell ref="BI87:BK87"/>
    <mergeCell ref="BL87:BN87"/>
    <mergeCell ref="BO87:BQ87"/>
    <mergeCell ref="Y93:AT93"/>
    <mergeCell ref="AV79:BQ79"/>
    <mergeCell ref="AW81:AY81"/>
    <mergeCell ref="AZ81:BB81"/>
    <mergeCell ref="BC81:BE81"/>
    <mergeCell ref="BF81:BH81"/>
    <mergeCell ref="BI81:BK81"/>
    <mergeCell ref="BL81:BN81"/>
    <mergeCell ref="BO81:BQ81"/>
    <mergeCell ref="AW83:AY83"/>
    <mergeCell ref="AZ83:BB83"/>
    <mergeCell ref="BC83:BE83"/>
    <mergeCell ref="BF83:BH83"/>
    <mergeCell ref="BI83:BK83"/>
    <mergeCell ref="BL83:BN83"/>
    <mergeCell ref="BO83:BQ83"/>
    <mergeCell ref="AW85:AY85"/>
    <mergeCell ref="Z89:AB89"/>
    <mergeCell ref="AC89:AE89"/>
    <mergeCell ref="AF89:AH89"/>
    <mergeCell ref="AI89:AK89"/>
    <mergeCell ref="AL89:AN89"/>
    <mergeCell ref="AO89:AQ89"/>
    <mergeCell ref="AR89:AT89"/>
    <mergeCell ref="Z91:AB91"/>
    <mergeCell ref="AC91:AE91"/>
    <mergeCell ref="AF91:AH91"/>
    <mergeCell ref="AI91:AK91"/>
    <mergeCell ref="AL91:AN91"/>
    <mergeCell ref="AO91:AQ91"/>
    <mergeCell ref="AR91:AT91"/>
    <mergeCell ref="AC85:AE85"/>
    <mergeCell ref="AF85:AH85"/>
    <mergeCell ref="AI85:AK85"/>
    <mergeCell ref="AL85:AN85"/>
    <mergeCell ref="AO85:AQ85"/>
    <mergeCell ref="AR85:AT85"/>
    <mergeCell ref="Z87:AB87"/>
    <mergeCell ref="AC87:AE87"/>
    <mergeCell ref="AF87:AH87"/>
    <mergeCell ref="AI87:AK87"/>
    <mergeCell ref="AL87:AN87"/>
    <mergeCell ref="AO87:AQ87"/>
    <mergeCell ref="AR87:AT87"/>
    <mergeCell ref="B93:W93"/>
    <mergeCell ref="Y79:AT79"/>
    <mergeCell ref="Z81:AB81"/>
    <mergeCell ref="AC81:AE81"/>
    <mergeCell ref="AF81:AH81"/>
    <mergeCell ref="AI81:AK81"/>
    <mergeCell ref="AL81:AN81"/>
    <mergeCell ref="AO81:AQ81"/>
    <mergeCell ref="AR81:AT81"/>
    <mergeCell ref="Z83:AB83"/>
    <mergeCell ref="AC83:AE83"/>
    <mergeCell ref="AF83:AH83"/>
    <mergeCell ref="AI83:AK83"/>
    <mergeCell ref="AL83:AN83"/>
    <mergeCell ref="AO83:AQ83"/>
    <mergeCell ref="AR83:AT83"/>
    <mergeCell ref="Z85:AB85"/>
    <mergeCell ref="C89:E89"/>
    <mergeCell ref="F89:H89"/>
    <mergeCell ref="I89:K89"/>
    <mergeCell ref="L89:N89"/>
    <mergeCell ref="O89:Q89"/>
    <mergeCell ref="R89:T89"/>
    <mergeCell ref="U89:W89"/>
    <mergeCell ref="C91:E91"/>
    <mergeCell ref="F91:H91"/>
    <mergeCell ref="I91:K91"/>
    <mergeCell ref="L91:N91"/>
    <mergeCell ref="O91:Q91"/>
    <mergeCell ref="R91:T91"/>
    <mergeCell ref="U91:W91"/>
    <mergeCell ref="C85:E85"/>
    <mergeCell ref="F85:H85"/>
    <mergeCell ref="I85:K85"/>
    <mergeCell ref="L85:N85"/>
    <mergeCell ref="O85:Q85"/>
    <mergeCell ref="R85:T85"/>
    <mergeCell ref="U85:W85"/>
    <mergeCell ref="C87:E87"/>
    <mergeCell ref="F87:H87"/>
    <mergeCell ref="I87:K87"/>
    <mergeCell ref="L87:N87"/>
    <mergeCell ref="O87:Q87"/>
    <mergeCell ref="R87:T87"/>
    <mergeCell ref="U87:W87"/>
    <mergeCell ref="C81:E81"/>
    <mergeCell ref="F81:H81"/>
    <mergeCell ref="I81:K81"/>
    <mergeCell ref="L81:N81"/>
    <mergeCell ref="O81:Q81"/>
    <mergeCell ref="R81:T81"/>
    <mergeCell ref="U81:W81"/>
    <mergeCell ref="C83:E83"/>
    <mergeCell ref="F83:H83"/>
    <mergeCell ref="I83:K83"/>
    <mergeCell ref="L83:N83"/>
    <mergeCell ref="O83:Q83"/>
    <mergeCell ref="R83:T83"/>
    <mergeCell ref="U83:W83"/>
    <mergeCell ref="BS75:CN75"/>
    <mergeCell ref="B79:W79"/>
    <mergeCell ref="BT71:BV71"/>
    <mergeCell ref="BW71:BY71"/>
    <mergeCell ref="BZ71:CB71"/>
    <mergeCell ref="CC71:CE71"/>
    <mergeCell ref="CF71:CH71"/>
    <mergeCell ref="CI71:CK71"/>
    <mergeCell ref="CL71:CN71"/>
    <mergeCell ref="BT73:BV73"/>
    <mergeCell ref="BW73:BY73"/>
    <mergeCell ref="BZ73:CB73"/>
    <mergeCell ref="CC73:CE73"/>
    <mergeCell ref="CF73:CH73"/>
    <mergeCell ref="CI73:CK73"/>
    <mergeCell ref="CL73:CN73"/>
    <mergeCell ref="BW67:BY67"/>
    <mergeCell ref="BZ67:CB67"/>
    <mergeCell ref="CC67:CE67"/>
    <mergeCell ref="CF67:CH67"/>
    <mergeCell ref="CI67:CK67"/>
    <mergeCell ref="CL67:CN67"/>
    <mergeCell ref="BT69:BV69"/>
    <mergeCell ref="BW69:BY69"/>
    <mergeCell ref="BZ69:CB69"/>
    <mergeCell ref="CC69:CE69"/>
    <mergeCell ref="CF69:CH69"/>
    <mergeCell ref="CI69:CK69"/>
    <mergeCell ref="CL69:CN69"/>
    <mergeCell ref="AV75:BQ75"/>
    <mergeCell ref="BS61:CN61"/>
    <mergeCell ref="BT63:BV63"/>
    <mergeCell ref="BW63:BY63"/>
    <mergeCell ref="BZ63:CB63"/>
    <mergeCell ref="CC63:CE63"/>
    <mergeCell ref="CF63:CH63"/>
    <mergeCell ref="CI63:CK63"/>
    <mergeCell ref="CL63:CN63"/>
    <mergeCell ref="BT65:BV65"/>
    <mergeCell ref="BW65:BY65"/>
    <mergeCell ref="BZ65:CB65"/>
    <mergeCell ref="CC65:CE65"/>
    <mergeCell ref="CF65:CH65"/>
    <mergeCell ref="CI65:CK65"/>
    <mergeCell ref="CL65:CN65"/>
    <mergeCell ref="BT67:BV67"/>
    <mergeCell ref="AW71:AY71"/>
    <mergeCell ref="AZ71:BB71"/>
    <mergeCell ref="BC71:BE71"/>
    <mergeCell ref="BF71:BH71"/>
    <mergeCell ref="BI71:BK71"/>
    <mergeCell ref="BL71:BN71"/>
    <mergeCell ref="BO71:BQ71"/>
    <mergeCell ref="AW73:AY73"/>
    <mergeCell ref="AZ73:BB73"/>
    <mergeCell ref="BC73:BE73"/>
    <mergeCell ref="BF73:BH73"/>
    <mergeCell ref="BI73:BK73"/>
    <mergeCell ref="BL73:BN73"/>
    <mergeCell ref="BO73:BQ73"/>
    <mergeCell ref="AZ67:BB67"/>
    <mergeCell ref="BC67:BE67"/>
    <mergeCell ref="BF67:BH67"/>
    <mergeCell ref="BI67:BK67"/>
    <mergeCell ref="BL67:BN67"/>
    <mergeCell ref="BO67:BQ67"/>
    <mergeCell ref="AW69:AY69"/>
    <mergeCell ref="AZ69:BB69"/>
    <mergeCell ref="BC69:BE69"/>
    <mergeCell ref="BF69:BH69"/>
    <mergeCell ref="BI69:BK69"/>
    <mergeCell ref="BL69:BN69"/>
    <mergeCell ref="BO69:BQ69"/>
    <mergeCell ref="Y75:AT75"/>
    <mergeCell ref="AV61:BQ61"/>
    <mergeCell ref="AW63:AY63"/>
    <mergeCell ref="AZ63:BB63"/>
    <mergeCell ref="BC63:BE63"/>
    <mergeCell ref="BF63:BH63"/>
    <mergeCell ref="BI63:BK63"/>
    <mergeCell ref="BL63:BN63"/>
    <mergeCell ref="BO63:BQ63"/>
    <mergeCell ref="AW65:AY65"/>
    <mergeCell ref="AZ65:BB65"/>
    <mergeCell ref="BC65:BE65"/>
    <mergeCell ref="BF65:BH65"/>
    <mergeCell ref="BI65:BK65"/>
    <mergeCell ref="BL65:BN65"/>
    <mergeCell ref="BO65:BQ65"/>
    <mergeCell ref="AW67:AY67"/>
    <mergeCell ref="Z71:AB71"/>
    <mergeCell ref="AC71:AE71"/>
    <mergeCell ref="AF71:AH71"/>
    <mergeCell ref="AI71:AK71"/>
    <mergeCell ref="AL71:AN71"/>
    <mergeCell ref="AO71:AQ71"/>
    <mergeCell ref="AR71:AT71"/>
    <mergeCell ref="Z73:AB73"/>
    <mergeCell ref="AC73:AE73"/>
    <mergeCell ref="AF73:AH73"/>
    <mergeCell ref="AI73:AK73"/>
    <mergeCell ref="AL73:AN73"/>
    <mergeCell ref="AO73:AQ73"/>
    <mergeCell ref="AR73:AT73"/>
    <mergeCell ref="AC67:AE67"/>
    <mergeCell ref="AF67:AH67"/>
    <mergeCell ref="AI67:AK67"/>
    <mergeCell ref="AL67:AN67"/>
    <mergeCell ref="AO67:AQ67"/>
    <mergeCell ref="AR67:AT67"/>
    <mergeCell ref="Z69:AB69"/>
    <mergeCell ref="AC69:AE69"/>
    <mergeCell ref="AF69:AH69"/>
    <mergeCell ref="AI69:AK69"/>
    <mergeCell ref="AL69:AN69"/>
    <mergeCell ref="AO69:AQ69"/>
    <mergeCell ref="AR69:AT69"/>
    <mergeCell ref="B75:W75"/>
    <mergeCell ref="Y61:AT61"/>
    <mergeCell ref="Z63:AB63"/>
    <mergeCell ref="AC63:AE63"/>
    <mergeCell ref="AF63:AH63"/>
    <mergeCell ref="AI63:AK63"/>
    <mergeCell ref="AL63:AN63"/>
    <mergeCell ref="AO63:AQ63"/>
    <mergeCell ref="AR63:AT63"/>
    <mergeCell ref="Z65:AB65"/>
    <mergeCell ref="AC65:AE65"/>
    <mergeCell ref="AF65:AH65"/>
    <mergeCell ref="AI65:AK65"/>
    <mergeCell ref="AL65:AN65"/>
    <mergeCell ref="AO65:AQ65"/>
    <mergeCell ref="AR65:AT65"/>
    <mergeCell ref="Z67:AB67"/>
    <mergeCell ref="C71:E71"/>
    <mergeCell ref="F71:H71"/>
    <mergeCell ref="I71:K71"/>
    <mergeCell ref="L71:N71"/>
    <mergeCell ref="O71:Q71"/>
    <mergeCell ref="R71:T71"/>
    <mergeCell ref="U71:W71"/>
    <mergeCell ref="C73:E73"/>
    <mergeCell ref="F73:H73"/>
    <mergeCell ref="I73:K73"/>
    <mergeCell ref="L73:N73"/>
    <mergeCell ref="O73:Q73"/>
    <mergeCell ref="R73:T73"/>
    <mergeCell ref="U73:W73"/>
    <mergeCell ref="C67:E67"/>
    <mergeCell ref="F67:H67"/>
    <mergeCell ref="I67:K67"/>
    <mergeCell ref="L67:N67"/>
    <mergeCell ref="O67:Q67"/>
    <mergeCell ref="R67:T67"/>
    <mergeCell ref="U67:W67"/>
    <mergeCell ref="C69:E69"/>
    <mergeCell ref="F69:H69"/>
    <mergeCell ref="I69:K69"/>
    <mergeCell ref="L69:N69"/>
    <mergeCell ref="O69:Q69"/>
    <mergeCell ref="R69:T69"/>
    <mergeCell ref="U69:W69"/>
    <mergeCell ref="C63:E63"/>
    <mergeCell ref="F63:H63"/>
    <mergeCell ref="I63:K63"/>
    <mergeCell ref="L63:N63"/>
    <mergeCell ref="O63:Q63"/>
    <mergeCell ref="R63:T63"/>
    <mergeCell ref="U63:W63"/>
    <mergeCell ref="C65:E65"/>
    <mergeCell ref="F65:H65"/>
    <mergeCell ref="I65:K65"/>
    <mergeCell ref="L65:N65"/>
    <mergeCell ref="O65:Q65"/>
    <mergeCell ref="R65:T65"/>
    <mergeCell ref="U65:W65"/>
    <mergeCell ref="BS57:CN57"/>
    <mergeCell ref="B61:W6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AV57:BQ57"/>
    <mergeCell ref="BS43:CN43"/>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Y57:AT57"/>
    <mergeCell ref="AV43:BQ43"/>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B57:W57"/>
    <mergeCell ref="Y43:AT43"/>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B9:CN9"/>
    <mergeCell ref="B43:W43"/>
    <mergeCell ref="Q2:CN2"/>
    <mergeCell ref="B4:V4"/>
    <mergeCell ref="W4:AA4"/>
    <mergeCell ref="B7:AC7"/>
    <mergeCell ref="AE4:BQ4"/>
    <mergeCell ref="AE5:BQ5"/>
    <mergeCell ref="AE6:BQ6"/>
    <mergeCell ref="BV4:CN4"/>
    <mergeCell ref="BV5:CN5"/>
    <mergeCell ref="BV6:CN6"/>
    <mergeCell ref="BT7:BU7"/>
    <mergeCell ref="BV7:CB7"/>
    <mergeCell ref="CD7:CE7"/>
    <mergeCell ref="CF7:CN7"/>
    <mergeCell ref="B12:U12"/>
    <mergeCell ref="B13:U13"/>
    <mergeCell ref="B14:U14"/>
    <mergeCell ref="B15:U15"/>
    <mergeCell ref="B16:U16"/>
    <mergeCell ref="B17:U17"/>
    <mergeCell ref="B18:U18"/>
    <mergeCell ref="B19:U19"/>
    <mergeCell ref="B20:U20"/>
    <mergeCell ref="B21:U21"/>
    <mergeCell ref="B22:U22"/>
    <mergeCell ref="B23:U23"/>
    <mergeCell ref="B24:U24"/>
    <mergeCell ref="B25:U25"/>
    <mergeCell ref="B26:U26"/>
    <mergeCell ref="B27:U27"/>
    <mergeCell ref="B28:U28"/>
    <mergeCell ref="B29:U29"/>
    <mergeCell ref="B30:U30"/>
    <mergeCell ref="B31:U31"/>
    <mergeCell ref="B32:U32"/>
    <mergeCell ref="B40:CN40"/>
    <mergeCell ref="C58:W58"/>
    <mergeCell ref="C59:W59"/>
    <mergeCell ref="C60:W60"/>
    <mergeCell ref="Z58:AT58"/>
    <mergeCell ref="Z59:AT59"/>
    <mergeCell ref="Z60:AT60"/>
    <mergeCell ref="AW58:BQ58"/>
    <mergeCell ref="AW59:BQ59"/>
    <mergeCell ref="AW60:BQ60"/>
    <mergeCell ref="BT58:CN58"/>
    <mergeCell ref="BT59:CN59"/>
    <mergeCell ref="BT60:CN60"/>
    <mergeCell ref="C76:W76"/>
    <mergeCell ref="C77:W77"/>
    <mergeCell ref="C78:W78"/>
    <mergeCell ref="Z76:AT76"/>
    <mergeCell ref="Z77:AT77"/>
    <mergeCell ref="Z78:AT78"/>
    <mergeCell ref="AW76:BQ76"/>
    <mergeCell ref="AW77:BQ77"/>
    <mergeCell ref="AW78:BQ78"/>
    <mergeCell ref="BT76:CN76"/>
    <mergeCell ref="BT77:CN77"/>
    <mergeCell ref="BT78:CN78"/>
    <mergeCell ref="C94:W94"/>
    <mergeCell ref="C95:W95"/>
    <mergeCell ref="C96:W96"/>
    <mergeCell ref="Z94:AT94"/>
    <mergeCell ref="Z95:AT95"/>
    <mergeCell ref="Z96:AT96"/>
    <mergeCell ref="AW94:BQ94"/>
    <mergeCell ref="AW95:BQ95"/>
    <mergeCell ref="AW96:BQ96"/>
    <mergeCell ref="BT94:CN94"/>
    <mergeCell ref="BT95:CN95"/>
    <mergeCell ref="BT96:CN96"/>
    <mergeCell ref="BT8:BU8"/>
    <mergeCell ref="BV8:CN8"/>
    <mergeCell ref="B41:CN41"/>
  </mergeCells>
  <conditionalFormatting sqref="C45 F45 I45 L45 O45 R45 U45 C47 F47 I47 L47 O47 R47 U47 C49 F49 I49 L49 O49 R49 U49 C51 F51 I51 L51 O51 R51 U51 C53 F53 I53 L53 O53 R53 U53 C55 F55 I55 L55 O55 R55 U55">
    <cfRule type="expression" dxfId="136" priority="1">
      <formula>AND(ISNUMBER(C45),DATE(Planungsjahr,1,C45)=TODAY())</formula>
    </cfRule>
  </conditionalFormatting>
  <conditionalFormatting sqref="C44 F44 I44 L44 O44 R44 U44 C46 F46 I46 L46 O46 R46 U46 C48 F48 I48 L48 O48 R48 U48 C50 F50 I50 L50 O50 R50 U50 C52 F52 I52 L52 O52 R52 U52 C54 F54 I54 L54 O54 R54 U54">
    <cfRule type="expression" dxfId="137" priority="2">
      <formula>AND(ISNUMBER(C45),DATE(Planungsjahr,1,C45)=TODAY())</formula>
    </cfRule>
  </conditionalFormatting>
  <conditionalFormatting sqref="D44 G44 J44 M44 P44 S44 V44 D46 G46 J46 M46 P46 S46 V46 D48 G48 J48 M48 P48 S48 V48 D50 G50 J50 M50 P50 S50 V50 D52 G52 J52 M52 P52 S52 V52 D54 G54 J54 M54 P54 S54 V54">
    <cfRule type="expression" dxfId="137" priority="3">
      <formula>AND(ISNUMBER(C45),DATE(Planungsjahr,1,C45)=TODAY())</formula>
    </cfRule>
  </conditionalFormatting>
  <conditionalFormatting sqref="E44 H44 K44 N44 Q44 T44 W44 E46 H46 K46 N46 Q46 T46 W46 E48 H48 K48 N48 Q48 T48 W48 E50 H50 K50 N50 Q50 T50 W50 E52 H52 K52 N52 Q52 T52 W52 E54 H54 K54 N54 Q54 T54 W54">
    <cfRule type="expression" dxfId="137" priority="4">
      <formula>AND(ISNUMBER(C45),DATE(Planungsjahr,1,C45)=TODAY())</formula>
    </cfRule>
  </conditionalFormatting>
  <conditionalFormatting sqref="F45 I45 L45 O45 R45 U45 X45 F47 I47 L47 O47 R47 U47 X47 F49 I49 L49 O49 R49 U49 X49 F51 I51 L51 O51 R51 U51 X51 F53 I53 L53 O53 R53 U53 X53 F55 I55 L55 O55 R55 U55 X55">
    <cfRule type="expression" dxfId="138" priority="5">
      <formula>AND(ISNUMBER(C45),DATE(Planungsjahr,1,C45)=TODAY())</formula>
    </cfRule>
  </conditionalFormatting>
  <conditionalFormatting sqref="C46 F46 I46 L46 O46 R46 U46 C48 F48 I48 L48 O48 R48 U48 C50 F50 I50 L50 O50 R50 U50 C52 F52 I52 L52 O52 R52 U52 C54 F54 I54 L54 O54 R54 U54 C56 F56 I56 L56 O56 R56 U56">
    <cfRule type="expression" dxfId="139" priority="6">
      <formula>AND(ISNUMBER(C45),DATE(Planungsjahr,1,C45)=TODAY())</formula>
    </cfRule>
  </conditionalFormatting>
  <conditionalFormatting sqref="D46 G46 J46 M46 P46 S46 V46 D48 G48 J48 M48 P48 S48 V48 D50 G50 J50 M50 P50 S50 V50 D52 G52 J52 M52 P52 S52 V52 D54 G54 J54 M54 P54 S54 V54 D56 G56 J56 M56 P56 S56 V56">
    <cfRule type="expression" dxfId="140" priority="7">
      <formula>AND(ISNUMBER(C45),DATE(Planungsjahr,1,C45)=TODAY())</formula>
    </cfRule>
  </conditionalFormatting>
  <conditionalFormatting sqref="E46 H46 K46 N46 Q46 T46 W46 E48 H48 K48 N48 Q48 T48 W48 E50 H50 K50 N50 Q50 T50 W50 E52 H52 K52 N52 Q52 T52 W52 E54 H54 K54 N54 Q54 T54 W54 E56 H56 K56 N56 Q56 T56 W56">
    <cfRule type="expression" dxfId="141" priority="8">
      <formula>AND(ISNUMBER(C45),DATE(Planungsjahr,1,C45)=TODAY())</formula>
    </cfRule>
  </conditionalFormatting>
  <conditionalFormatting sqref="Z45 AC45 AF45 AI45 AL45 AO45 AR45 Z47 AC47 AF47 AI47 AL47 AO47 AR47 Z49 AC49 AF49 AI49 AL49 AO49 AR49 Z51 AC51 AF51 AI51 AL51 AO51 AR51 Z53 AC53 AF53 AI53 AL53 AO53 AR53 Z55 AC55 AF55 AI55 AL55 AO55 AR55">
    <cfRule type="expression" dxfId="136" priority="9">
      <formula>AND(ISNUMBER(Z45),DATE(Planungsjahr,2,Z45)=TODAY())</formula>
    </cfRule>
  </conditionalFormatting>
  <conditionalFormatting sqref="Z44 AC44 AF44 AI44 AL44 AO44 AR44 Z46 AC46 AF46 AI46 AL46 AO46 AR46 Z48 AC48 AF48 AI48 AL48 AO48 AR48 Z50 AC50 AF50 AI50 AL50 AO50 AR50 Z52 AC52 AF52 AI52 AL52 AO52 AR52 Z54 AC54 AF54 AI54 AL54 AO54 AR54">
    <cfRule type="expression" dxfId="137" priority="10">
      <formula>AND(ISNUMBER(Z45),DATE(Planungsjahr,2,Z45)=TODAY())</formula>
    </cfRule>
  </conditionalFormatting>
  <conditionalFormatting sqref="AA44 AD44 AG44 AJ44 AM44 AP44 AS44 AA46 AD46 AG46 AJ46 AM46 AP46 AS46 AA48 AD48 AG48 AJ48 AM48 AP48 AS48 AA50 AD50 AG50 AJ50 AM50 AP50 AS50 AA52 AD52 AG52 AJ52 AM52 AP52 AS52 AA54 AD54 AG54 AJ54 AM54 AP54 AS54">
    <cfRule type="expression" dxfId="137" priority="11">
      <formula>AND(ISNUMBER(Z45),DATE(Planungsjahr,2,Z45)=TODAY())</formula>
    </cfRule>
  </conditionalFormatting>
  <conditionalFormatting sqref="AB44 AE44 AH44 AK44 AN44 AQ44 AT44 AB46 AE46 AH46 AK46 AN46 AQ46 AT46 AB48 AE48 AH48 AK48 AN48 AQ48 AT48 AB50 AE50 AH50 AK50 AN50 AQ50 AT50 AB52 AE52 AH52 AK52 AN52 AQ52 AT52 AB54 AE54 AH54 AK54 AN54 AQ54 AT54">
    <cfRule type="expression" dxfId="137" priority="12">
      <formula>AND(ISNUMBER(Z45),DATE(Planungsjahr,2,Z45)=TODAY())</formula>
    </cfRule>
  </conditionalFormatting>
  <conditionalFormatting sqref="AC45 AF45 AI45 AL45 AO45 AR45 AU45 AC47 AF47 AI47 AL47 AO47 AR47 AU47 AC49 AF49 AI49 AL49 AO49 AR49 AU49 AC51 AF51 AI51 AL51 AO51 AR51 AU51 AC53 AF53 AI53 AL53 AO53 AR53 AU53 AC55 AF55 AI55 AL55 AO55 AR55 AU55">
    <cfRule type="expression" dxfId="138" priority="13">
      <formula>AND(ISNUMBER(Z45),DATE(Planungsjahr,2,Z45)=TODAY())</formula>
    </cfRule>
  </conditionalFormatting>
  <conditionalFormatting sqref="Z46 AC46 AF46 AI46 AL46 AO46 AR46 Z48 AC48 AF48 AI48 AL48 AO48 AR48 Z50 AC50 AF50 AI50 AL50 AO50 AR50 Z52 AC52 AF52 AI52 AL52 AO52 AR52 Z54 AC54 AF54 AI54 AL54 AO54 AR54 Z56 AC56 AF56 AI56 AL56 AO56 AR56">
    <cfRule type="expression" dxfId="139" priority="14">
      <formula>AND(ISNUMBER(Z45),DATE(Planungsjahr,2,Z45)=TODAY())</formula>
    </cfRule>
  </conditionalFormatting>
  <conditionalFormatting sqref="AA46 AD46 AG46 AJ46 AM46 AP46 AS46 AA48 AD48 AG48 AJ48 AM48 AP48 AS48 AA50 AD50 AG50 AJ50 AM50 AP50 AS50 AA52 AD52 AG52 AJ52 AM52 AP52 AS52 AA54 AD54 AG54 AJ54 AM54 AP54 AS54 AA56 AD56 AG56 AJ56 AM56 AP56 AS56">
    <cfRule type="expression" dxfId="140" priority="15">
      <formula>AND(ISNUMBER(Z45),DATE(Planungsjahr,2,Z45)=TODAY())</formula>
    </cfRule>
  </conditionalFormatting>
  <conditionalFormatting sqref="AB46 AE46 AH46 AK46 AN46 AQ46 AT46 AB48 AE48 AH48 AK48 AN48 AQ48 AT48 AB50 AE50 AH50 AK50 AN50 AQ50 AT50 AB52 AE52 AH52 AK52 AN52 AQ52 AT52 AB54 AE54 AH54 AK54 AN54 AQ54 AT54 AB56 AE56 AH56 AK56 AN56 AQ56 AT56">
    <cfRule type="expression" dxfId="141" priority="16">
      <formula>AND(ISNUMBER(Z45),DATE(Planungsjahr,2,Z45)=TODAY())</formula>
    </cfRule>
  </conditionalFormatting>
  <conditionalFormatting sqref="AW45 AZ45 BC45 BF45 BI45 BL45 BO45 AW47 AZ47 BC47 BF47 BI47 BL47 BO47 AW49 AZ49 BC49 BF49 BI49 BL49 BO49 AW51 AZ51 BC51 BF51 BI51 BL51 BO51 AW53 AZ53 BC53 BF53 BI53 BL53 BO53 AW55 AZ55 BC55 BF55 BI55 BL55 BO55">
    <cfRule type="expression" dxfId="136" priority="17">
      <formula>AND(ISNUMBER(AW45),DATE(Planungsjahr,3,AW45)=TODAY())</formula>
    </cfRule>
  </conditionalFormatting>
  <conditionalFormatting sqref="AW44 AZ44 BC44 BF44 BI44 BL44 BO44 AW46 AZ46 BC46 BF46 BI46 BL46 BO46 AW48 AZ48 BC48 BF48 BI48 BL48 BO48 AW50 AZ50 BC50 BF50 BI50 BL50 BO50 AW52 AZ52 BC52 BF52 BI52 BL52 BO52 AW54 AZ54 BC54 BF54 BI54 BL54 BO54">
    <cfRule type="expression" dxfId="137" priority="18">
      <formula>AND(ISNUMBER(AW45),DATE(Planungsjahr,3,AW45)=TODAY())</formula>
    </cfRule>
  </conditionalFormatting>
  <conditionalFormatting sqref="AX44 BA44 BD44 BG44 BJ44 BM44 BP44 AX46 BA46 BD46 BG46 BJ46 BM46 BP46 AX48 BA48 BD48 BG48 BJ48 BM48 BP48 AX50 BA50 BD50 BG50 BJ50 BM50 BP50 AX52 BA52 BD52 BG52 BJ52 BM52 BP52 AX54 BA54 BD54 BG54 BJ54 BM54 BP54">
    <cfRule type="expression" dxfId="137" priority="19">
      <formula>AND(ISNUMBER(AW45),DATE(Planungsjahr,3,AW45)=TODAY())</formula>
    </cfRule>
  </conditionalFormatting>
  <conditionalFormatting sqref="AY44 BB44 BE44 BH44 BK44 BN44 BQ44 AY46 BB46 BE46 BH46 BK46 BN46 BQ46 AY48 BB48 BE48 BH48 BK48 BN48 BQ48 AY50 BB50 BE50 BH50 BK50 BN50 BQ50 AY52 BB52 BE52 BH52 BK52 BN52 BQ52 AY54 BB54 BE54 BH54 BK54 BN54 BQ54">
    <cfRule type="expression" dxfId="137" priority="20">
      <formula>AND(ISNUMBER(AW45),DATE(Planungsjahr,3,AW45)=TODAY())</formula>
    </cfRule>
  </conditionalFormatting>
  <conditionalFormatting sqref="AZ45 BC45 BF45 BI45 BL45 BO45 BR45 AZ47 BC47 BF47 BI47 BL47 BO47 BR47 AZ49 BC49 BF49 BI49 BL49 BO49 BR49 AZ51 BC51 BF51 BI51 BL51 BO51 BR51 AZ53 BC53 BF53 BI53 BL53 BO53 BR53 AZ55 BC55 BF55 BI55 BL55 BO55 BR55">
    <cfRule type="expression" dxfId="138" priority="21">
      <formula>AND(ISNUMBER(AW45),DATE(Planungsjahr,3,AW45)=TODAY())</formula>
    </cfRule>
  </conditionalFormatting>
  <conditionalFormatting sqref="AW46 AZ46 BC46 BF46 BI46 BL46 BO46 AW48 AZ48 BC48 BF48 BI48 BL48 BO48 AW50 AZ50 BC50 BF50 BI50 BL50 BO50 AW52 AZ52 BC52 BF52 BI52 BL52 BO52 AW54 AZ54 BC54 BF54 BI54 BL54 BO54 AW56 AZ56 BC56 BF56 BI56 BL56 BO56">
    <cfRule type="expression" dxfId="139" priority="22">
      <formula>AND(ISNUMBER(AW45),DATE(Planungsjahr,3,AW45)=TODAY())</formula>
    </cfRule>
  </conditionalFormatting>
  <conditionalFormatting sqref="AX46 BA46 BD46 BG46 BJ46 BM46 BP46 AX48 BA48 BD48 BG48 BJ48 BM48 BP48 AX50 BA50 BD50 BG50 BJ50 BM50 BP50 AX52 BA52 BD52 BG52 BJ52 BM52 BP52 AX54 BA54 BD54 BG54 BJ54 BM54 BP54 AX56 BA56 BD56 BG56 BJ56 BM56 BP56">
    <cfRule type="expression" dxfId="140" priority="23">
      <formula>AND(ISNUMBER(AW45),DATE(Planungsjahr,3,AW45)=TODAY())</formula>
    </cfRule>
  </conditionalFormatting>
  <conditionalFormatting sqref="AY46 BB46 BE46 BH46 BK46 BN46 BQ46 AY48 BB48 BE48 BH48 BK48 BN48 BQ48 AY50 BB50 BE50 BH50 BK50 BN50 BQ50 AY52 BB52 BE52 BH52 BK52 BN52 BQ52 AY54 BB54 BE54 BH54 BK54 BN54 BQ54 AY56 BB56 BE56 BH56 BK56 BN56 BQ56">
    <cfRule type="expression" dxfId="141" priority="24">
      <formula>AND(ISNUMBER(AW45),DATE(Planungsjahr,3,AW45)=TODAY())</formula>
    </cfRule>
  </conditionalFormatting>
  <conditionalFormatting sqref="BT45 BW45 BZ45 CC45 CF45 CI45 CL45 BT47 BW47 BZ47 CC47 CF47 CI47 CL47 BT49 BW49 BZ49 CC49 CF49 CI49 CL49 BT51 BW51 BZ51 CC51 CF51 CI51 CL51 BT53 BW53 BZ53 CC53 CF53 CI53 CL53 BT55 BW55 BZ55 CC55 CF55 CI55 CL55">
    <cfRule type="expression" dxfId="136" priority="25">
      <formula>AND(ISNUMBER(BT45),DATE(Planungsjahr,4,BT45)=TODAY())</formula>
    </cfRule>
  </conditionalFormatting>
  <conditionalFormatting sqref="BT44 BW44 BZ44 CC44 CF44 CI44 CL44 BT46 BW46 BZ46 CC46 CF46 CI46 CL46 BT48 BW48 BZ48 CC48 CF48 CI48 CL48 BT50 BW50 BZ50 CC50 CF50 CI50 CL50 BT52 BW52 BZ52 CC52 CF52 CI52 CL52 BT54 BW54 BZ54 CC54 CF54 CI54 CL54">
    <cfRule type="expression" dxfId="137" priority="26">
      <formula>AND(ISNUMBER(BT45),DATE(Planungsjahr,4,BT45)=TODAY())</formula>
    </cfRule>
  </conditionalFormatting>
  <conditionalFormatting sqref="BU44 BX44 CA44 CD44 CG44 CJ44 CM44 BU46 BX46 CA46 CD46 CG46 CJ46 CM46 BU48 BX48 CA48 CD48 CG48 CJ48 CM48 BU50 BX50 CA50 CD50 CG50 CJ50 CM50 BU52 BX52 CA52 CD52 CG52 CJ52 CM52 BU54 BX54 CA54 CD54 CG54 CJ54 CM54">
    <cfRule type="expression" dxfId="137" priority="27">
      <formula>AND(ISNUMBER(BT45),DATE(Planungsjahr,4,BT45)=TODAY())</formula>
    </cfRule>
  </conditionalFormatting>
  <conditionalFormatting sqref="BV44 BY44 CB44 CE44 CH44 CK44 CN44 BV46 BY46 CB46 CE46 CH46 CK46 CN46 BV48 BY48 CB48 CE48 CH48 CK48 CN48 BV50 BY50 CB50 CE50 CH50 CK50 CN50 BV52 BY52 CB52 CE52 CH52 CK52 CN52 BV54 BY54 CB54 CE54 CH54 CK54 CN54">
    <cfRule type="expression" dxfId="137" priority="28">
      <formula>AND(ISNUMBER(BT45),DATE(Planungsjahr,4,BT45)=TODAY())</formula>
    </cfRule>
  </conditionalFormatting>
  <conditionalFormatting sqref="BW45 BZ45 CC45 CF45 CI45 CL45 CO45 BW47 BZ47 CC47 CF47 CI47 CL47 CO47 BW49 BZ49 CC49 CF49 CI49 CL49 CO49 BW51 BZ51 CC51 CF51 CI51 CL51 CO51 BW53 BZ53 CC53 CF53 CI53 CL53 CO53 BW55 BZ55 CC55 CF55 CI55 CL55 CO55">
    <cfRule type="expression" dxfId="138" priority="29">
      <formula>AND(ISNUMBER(BT45),DATE(Planungsjahr,4,BT45)=TODAY())</formula>
    </cfRule>
  </conditionalFormatting>
  <conditionalFormatting sqref="BT46 BW46 BZ46 CC46 CF46 CI46 CL46 BT48 BW48 BZ48 CC48 CF48 CI48 CL48 BT50 BW50 BZ50 CC50 CF50 CI50 CL50 BT52 BW52 BZ52 CC52 CF52 CI52 CL52 BT54 BW54 BZ54 CC54 CF54 CI54 CL54 BT56 BW56 BZ56 CC56 CF56 CI56 CL56">
    <cfRule type="expression" dxfId="139" priority="30">
      <formula>AND(ISNUMBER(BT45),DATE(Planungsjahr,4,BT45)=TODAY())</formula>
    </cfRule>
  </conditionalFormatting>
  <conditionalFormatting sqref="BU46 BX46 CA46 CD46 CG46 CJ46 CM46 BU48 BX48 CA48 CD48 CG48 CJ48 CM48 BU50 BX50 CA50 CD50 CG50 CJ50 CM50 BU52 BX52 CA52 CD52 CG52 CJ52 CM52 BU54 BX54 CA54 CD54 CG54 CJ54 CM54 BU56 BX56 CA56 CD56 CG56 CJ56 CM56">
    <cfRule type="expression" dxfId="140" priority="31">
      <formula>AND(ISNUMBER(BT45),DATE(Planungsjahr,4,BT45)=TODAY())</formula>
    </cfRule>
  </conditionalFormatting>
  <conditionalFormatting sqref="BV46 BY46 CB46 CE46 CH46 CK46 CN46 BV48 BY48 CB48 CE48 CH48 CK48 CN48 BV50 BY50 CB50 CE50 CH50 CK50 CN50 BV52 BY52 CB52 CE52 CH52 CK52 CN52 BV54 BY54 CB54 CE54 CH54 CK54 CN54 BV56 BY56 CB56 CE56 CH56 CK56 CN56">
    <cfRule type="expression" dxfId="141" priority="32">
      <formula>AND(ISNUMBER(BT45),DATE(Planungsjahr,4,BT45)=TODAY())</formula>
    </cfRule>
  </conditionalFormatting>
  <conditionalFormatting sqref="C63 F63 I63 L63 O63 R63 U63 C65 F65 I65 L65 O65 R65 U65 C67 F67 I67 L67 O67 R67 U67 C69 F69 I69 L69 O69 R69 U69 C71 F71 I71 L71 O71 R71 U71 C73 F73 I73 L73 O73 R73 U73">
    <cfRule type="expression" dxfId="136" priority="33">
      <formula>AND(ISNUMBER(C63),DATE(Planungsjahr,5,C63)=TODAY())</formula>
    </cfRule>
  </conditionalFormatting>
  <conditionalFormatting sqref="C62 F62 I62 L62 O62 R62 U62 C64 F64 I64 L64 O64 R64 U64 C66 F66 I66 L66 O66 R66 U66 C68 F68 I68 L68 O68 R68 U68 C70 F70 I70 L70 O70 R70 U70 C72 F72 I72 L72 O72 R72 U72">
    <cfRule type="expression" dxfId="137" priority="34">
      <formula>AND(ISNUMBER(C63),DATE(Planungsjahr,5,C63)=TODAY())</formula>
    </cfRule>
  </conditionalFormatting>
  <conditionalFormatting sqref="D62 G62 J62 M62 P62 S62 V62 D64 G64 J64 M64 P64 S64 V64 D66 G66 J66 M66 P66 S66 V66 D68 G68 J68 M68 P68 S68 V68 D70 G70 J70 M70 P70 S70 V70 D72 G72 J72 M72 P72 S72 V72">
    <cfRule type="expression" dxfId="137" priority="35">
      <formula>AND(ISNUMBER(C63),DATE(Planungsjahr,5,C63)=TODAY())</formula>
    </cfRule>
  </conditionalFormatting>
  <conditionalFormatting sqref="E62 H62 K62 N62 Q62 T62 W62 E64 H64 K64 N64 Q64 T64 W64 E66 H66 K66 N66 Q66 T66 W66 E68 H68 K68 N68 Q68 T68 W68 E70 H70 K70 N70 Q70 T70 W70 E72 H72 K72 N72 Q72 T72 W72">
    <cfRule type="expression" dxfId="137" priority="36">
      <formula>AND(ISNUMBER(C63),DATE(Planungsjahr,5,C63)=TODAY())</formula>
    </cfRule>
  </conditionalFormatting>
  <conditionalFormatting sqref="F63 I63 L63 O63 R63 U63 X63 F65 I65 L65 O65 R65 U65 X65 F67 I67 L67 O67 R67 U67 X67 F69 I69 L69 O69 R69 U69 X69 F71 I71 L71 O71 R71 U71 X71 F73 I73 L73 O73 R73 U73 X73">
    <cfRule type="expression" dxfId="138" priority="37">
      <formula>AND(ISNUMBER(C63),DATE(Planungsjahr,5,C63)=TODAY())</formula>
    </cfRule>
  </conditionalFormatting>
  <conditionalFormatting sqref="C64 F64 I64 L64 O64 R64 U64 C66 F66 I66 L66 O66 R66 U66 C68 F68 I68 L68 O68 R68 U68 C70 F70 I70 L70 O70 R70 U70 C72 F72 I72 L72 O72 R72 U72 C74 F74 I74 L74 O74 R74 U74">
    <cfRule type="expression" dxfId="139" priority="38">
      <formula>AND(ISNUMBER(C63),DATE(Planungsjahr,5,C63)=TODAY())</formula>
    </cfRule>
  </conditionalFormatting>
  <conditionalFormatting sqref="D64 G64 J64 M64 P64 S64 V64 D66 G66 J66 M66 P66 S66 V66 D68 G68 J68 M68 P68 S68 V68 D70 G70 J70 M70 P70 S70 V70 D72 G72 J72 M72 P72 S72 V72 D74 G74 J74 M74 P74 S74 V74">
    <cfRule type="expression" dxfId="140" priority="39">
      <formula>AND(ISNUMBER(C63),DATE(Planungsjahr,5,C63)=TODAY())</formula>
    </cfRule>
  </conditionalFormatting>
  <conditionalFormatting sqref="E64 H64 K64 N64 Q64 T64 W64 E66 H66 K66 N66 Q66 T66 W66 E68 H68 K68 N68 Q68 T68 W68 E70 H70 K70 N70 Q70 T70 W70 E72 H72 K72 N72 Q72 T72 W72 E74 H74 K74 N74 Q74 T74 W74">
    <cfRule type="expression" dxfId="141" priority="40">
      <formula>AND(ISNUMBER(C63),DATE(Planungsjahr,5,C63)=TODAY())</formula>
    </cfRule>
  </conditionalFormatting>
  <conditionalFormatting sqref="Z63 AC63 AF63 AI63 AL63 AO63 AR63 Z65 AC65 AF65 AI65 AL65 AO65 AR65 Z67 AC67 AF67 AI67 AL67 AO67 AR67 Z69 AC69 AF69 AI69 AL69 AO69 AR69 Z71 AC71 AF71 AI71 AL71 AO71 AR71 Z73 AC73 AF73 AI73 AL73 AO73 AR73">
    <cfRule type="expression" dxfId="136" priority="41">
      <formula>AND(ISNUMBER(Z63),DATE(Planungsjahr,6,Z63)=TODAY())</formula>
    </cfRule>
  </conditionalFormatting>
  <conditionalFormatting sqref="Z62 AC62 AF62 AI62 AL62 AO62 AR62 Z64 AC64 AF64 AI64 AL64 AO64 AR64 Z66 AC66 AF66 AI66 AL66 AO66 AR66 Z68 AC68 AF68 AI68 AL68 AO68 AR68 Z70 AC70 AF70 AI70 AL70 AO70 AR70 Z72 AC72 AF72 AI72 AL72 AO72 AR72">
    <cfRule type="expression" dxfId="137" priority="42">
      <formula>AND(ISNUMBER(Z63),DATE(Planungsjahr,6,Z63)=TODAY())</formula>
    </cfRule>
  </conditionalFormatting>
  <conditionalFormatting sqref="AA62 AD62 AG62 AJ62 AM62 AP62 AS62 AA64 AD64 AG64 AJ64 AM64 AP64 AS64 AA66 AD66 AG66 AJ66 AM66 AP66 AS66 AA68 AD68 AG68 AJ68 AM68 AP68 AS68 AA70 AD70 AG70 AJ70 AM70 AP70 AS70 AA72 AD72 AG72 AJ72 AM72 AP72 AS72">
    <cfRule type="expression" dxfId="137" priority="43">
      <formula>AND(ISNUMBER(Z63),DATE(Planungsjahr,6,Z63)=TODAY())</formula>
    </cfRule>
  </conditionalFormatting>
  <conditionalFormatting sqref="AB62 AE62 AH62 AK62 AN62 AQ62 AT62 AB64 AE64 AH64 AK64 AN64 AQ64 AT64 AB66 AE66 AH66 AK66 AN66 AQ66 AT66 AB68 AE68 AH68 AK68 AN68 AQ68 AT68 AB70 AE70 AH70 AK70 AN70 AQ70 AT70 AB72 AE72 AH72 AK72 AN72 AQ72 AT72">
    <cfRule type="expression" dxfId="137" priority="44">
      <formula>AND(ISNUMBER(Z63),DATE(Planungsjahr,6,Z63)=TODAY())</formula>
    </cfRule>
  </conditionalFormatting>
  <conditionalFormatting sqref="AC63 AF63 AI63 AL63 AO63 AR63 AU63 AC65 AF65 AI65 AL65 AO65 AR65 AU65 AC67 AF67 AI67 AL67 AO67 AR67 AU67 AC69 AF69 AI69 AL69 AO69 AR69 AU69 AC71 AF71 AI71 AL71 AO71 AR71 AU71 AC73 AF73 AI73 AL73 AO73 AR73 AU73">
    <cfRule type="expression" dxfId="138" priority="45">
      <formula>AND(ISNUMBER(Z63),DATE(Planungsjahr,6,Z63)=TODAY())</formula>
    </cfRule>
  </conditionalFormatting>
  <conditionalFormatting sqref="Z64 AC64 AF64 AI64 AL64 AO64 AR64 Z66 AC66 AF66 AI66 AL66 AO66 AR66 Z68 AC68 AF68 AI68 AL68 AO68 AR68 Z70 AC70 AF70 AI70 AL70 AO70 AR70 Z72 AC72 AF72 AI72 AL72 AO72 AR72 Z74 AC74 AF74 AI74 AL74 AO74 AR74">
    <cfRule type="expression" dxfId="139" priority="46">
      <formula>AND(ISNUMBER(Z63),DATE(Planungsjahr,6,Z63)=TODAY())</formula>
    </cfRule>
  </conditionalFormatting>
  <conditionalFormatting sqref="AA64 AD64 AG64 AJ64 AM64 AP64 AS64 AA66 AD66 AG66 AJ66 AM66 AP66 AS66 AA68 AD68 AG68 AJ68 AM68 AP68 AS68 AA70 AD70 AG70 AJ70 AM70 AP70 AS70 AA72 AD72 AG72 AJ72 AM72 AP72 AS72 AA74 AD74 AG74 AJ74 AM74 AP74 AS74">
    <cfRule type="expression" dxfId="140" priority="47">
      <formula>AND(ISNUMBER(Z63),DATE(Planungsjahr,6,Z63)=TODAY())</formula>
    </cfRule>
  </conditionalFormatting>
  <conditionalFormatting sqref="AB64 AE64 AH64 AK64 AN64 AQ64 AT64 AB66 AE66 AH66 AK66 AN66 AQ66 AT66 AB68 AE68 AH68 AK68 AN68 AQ68 AT68 AB70 AE70 AH70 AK70 AN70 AQ70 AT70 AB72 AE72 AH72 AK72 AN72 AQ72 AT72 AB74 AE74 AH74 AK74 AN74 AQ74 AT74">
    <cfRule type="expression" dxfId="141" priority="48">
      <formula>AND(ISNUMBER(Z63),DATE(Planungsjahr,6,Z63)=TODAY())</formula>
    </cfRule>
  </conditionalFormatting>
  <conditionalFormatting sqref="AW63 AZ63 BC63 BF63 BI63 BL63 BO63 AW65 AZ65 BC65 BF65 BI65 BL65 BO65 AW67 AZ67 BC67 BF67 BI67 BL67 BO67 AW69 AZ69 BC69 BF69 BI69 BL69 BO69 AW71 AZ71 BC71 BF71 BI71 BL71 BO71 AW73 AZ73 BC73 BF73 BI73 BL73 BO73">
    <cfRule type="expression" dxfId="136" priority="49">
      <formula>AND(ISNUMBER(AW63),DATE(Planungsjahr,7,AW63)=TODAY())</formula>
    </cfRule>
  </conditionalFormatting>
  <conditionalFormatting sqref="AW62 AZ62 BC62 BF62 BI62 BL62 BO62 AW64 AZ64 BC64 BF64 BI64 BL64 BO64 AW66 AZ66 BC66 BF66 BI66 BL66 BO66 AW68 AZ68 BC68 BF68 BI68 BL68 BO68 AW70 AZ70 BC70 BF70 BI70 BL70 BO70 AW72 AZ72 BC72 BF72 BI72 BL72 BO72">
    <cfRule type="expression" dxfId="137" priority="50">
      <formula>AND(ISNUMBER(AW63),DATE(Planungsjahr,7,AW63)=TODAY())</formula>
    </cfRule>
  </conditionalFormatting>
  <conditionalFormatting sqref="AX62 BA62 BD62 BG62 BJ62 BM62 BP62 AX64 BA64 BD64 BG64 BJ64 BM64 BP64 AX66 BA66 BD66 BG66 BJ66 BM66 BP66 AX68 BA68 BD68 BG68 BJ68 BM68 BP68 AX70 BA70 BD70 BG70 BJ70 BM70 BP70 AX72 BA72 BD72 BG72 BJ72 BM72 BP72">
    <cfRule type="expression" dxfId="137" priority="51">
      <formula>AND(ISNUMBER(AW63),DATE(Planungsjahr,7,AW63)=TODAY())</formula>
    </cfRule>
  </conditionalFormatting>
  <conditionalFormatting sqref="AY62 BB62 BE62 BH62 BK62 BN62 BQ62 AY64 BB64 BE64 BH64 BK64 BN64 BQ64 AY66 BB66 BE66 BH66 BK66 BN66 BQ66 AY68 BB68 BE68 BH68 BK68 BN68 BQ68 AY70 BB70 BE70 BH70 BK70 BN70 BQ70 AY72 BB72 BE72 BH72 BK72 BN72 BQ72">
    <cfRule type="expression" dxfId="137" priority="52">
      <formula>AND(ISNUMBER(AW63),DATE(Planungsjahr,7,AW63)=TODAY())</formula>
    </cfRule>
  </conditionalFormatting>
  <conditionalFormatting sqref="AZ63 BC63 BF63 BI63 BL63 BO63 BR63 AZ65 BC65 BF65 BI65 BL65 BO65 BR65 AZ67 BC67 BF67 BI67 BL67 BO67 BR67 AZ69 BC69 BF69 BI69 BL69 BO69 BR69 AZ71 BC71 BF71 BI71 BL71 BO71 BR71 AZ73 BC73 BF73 BI73 BL73 BO73 BR73">
    <cfRule type="expression" dxfId="138" priority="53">
      <formula>AND(ISNUMBER(AW63),DATE(Planungsjahr,7,AW63)=TODAY())</formula>
    </cfRule>
  </conditionalFormatting>
  <conditionalFormatting sqref="AW64 AZ64 BC64 BF64 BI64 BL64 BO64 AW66 AZ66 BC66 BF66 BI66 BL66 BO66 AW68 AZ68 BC68 BF68 BI68 BL68 BO68 AW70 AZ70 BC70 BF70 BI70 BL70 BO70 AW72 AZ72 BC72 BF72 BI72 BL72 BO72 AW74 AZ74 BC74 BF74 BI74 BL74 BO74">
    <cfRule type="expression" dxfId="139" priority="54">
      <formula>AND(ISNUMBER(AW63),DATE(Planungsjahr,7,AW63)=TODAY())</formula>
    </cfRule>
  </conditionalFormatting>
  <conditionalFormatting sqref="AX64 BA64 BD64 BG64 BJ64 BM64 BP64 AX66 BA66 BD66 BG66 BJ66 BM66 BP66 AX68 BA68 BD68 BG68 BJ68 BM68 BP68 AX70 BA70 BD70 BG70 BJ70 BM70 BP70 AX72 BA72 BD72 BG72 BJ72 BM72 BP72 AX74 BA74 BD74 BG74 BJ74 BM74 BP74">
    <cfRule type="expression" dxfId="140" priority="55">
      <formula>AND(ISNUMBER(AW63),DATE(Planungsjahr,7,AW63)=TODAY())</formula>
    </cfRule>
  </conditionalFormatting>
  <conditionalFormatting sqref="AY64 BB64 BE64 BH64 BK64 BN64 BQ64 AY66 BB66 BE66 BH66 BK66 BN66 BQ66 AY68 BB68 BE68 BH68 BK68 BN68 BQ68 AY70 BB70 BE70 BH70 BK70 BN70 BQ70 AY72 BB72 BE72 BH72 BK72 BN72 BQ72 AY74 BB74 BE74 BH74 BK74 BN74 BQ74">
    <cfRule type="expression" dxfId="141" priority="56">
      <formula>AND(ISNUMBER(AW63),DATE(Planungsjahr,7,AW63)=TODAY())</formula>
    </cfRule>
  </conditionalFormatting>
  <conditionalFormatting sqref="BT63 BW63 BZ63 CC63 CF63 CI63 CL63 BT65 BW65 BZ65 CC65 CF65 CI65 CL65 BT67 BW67 BZ67 CC67 CF67 CI67 CL67 BT69 BW69 BZ69 CC69 CF69 CI69 CL69 BT71 BW71 BZ71 CC71 CF71 CI71 CL71 BT73 BW73 BZ73 CC73 CF73 CI73 CL73">
    <cfRule type="expression" dxfId="136" priority="57">
      <formula>AND(ISNUMBER(BT63),DATE(Planungsjahr,8,BT63)=TODAY())</formula>
    </cfRule>
  </conditionalFormatting>
  <conditionalFormatting sqref="BT62 BW62 BZ62 CC62 CF62 CI62 CL62 BT64 BW64 BZ64 CC64 CF64 CI64 CL64 BT66 BW66 BZ66 CC66 CF66 CI66 CL66 BT68 BW68 BZ68 CC68 CF68 CI68 CL68 BT70 BW70 BZ70 CC70 CF70 CI70 CL70 BT72 BW72 BZ72 CC72 CF72 CI72 CL72">
    <cfRule type="expression" dxfId="137" priority="58">
      <formula>AND(ISNUMBER(BT63),DATE(Planungsjahr,8,BT63)=TODAY())</formula>
    </cfRule>
  </conditionalFormatting>
  <conditionalFormatting sqref="BU62 BX62 CA62 CD62 CG62 CJ62 CM62 BU64 BX64 CA64 CD64 CG64 CJ64 CM64 BU66 BX66 CA66 CD66 CG66 CJ66 CM66 BU68 BX68 CA68 CD68 CG68 CJ68 CM68 BU70 BX70 CA70 CD70 CG70 CJ70 CM70 BU72 BX72 CA72 CD72 CG72 CJ72 CM72">
    <cfRule type="expression" dxfId="137" priority="59">
      <formula>AND(ISNUMBER(BT63),DATE(Planungsjahr,8,BT63)=TODAY())</formula>
    </cfRule>
  </conditionalFormatting>
  <conditionalFormatting sqref="BV62 BY62 CB62 CE62 CH62 CK62 CN62 BV64 BY64 CB64 CE64 CH64 CK64 CN64 BV66 BY66 CB66 CE66 CH66 CK66 CN66 BV68 BY68 CB68 CE68 CH68 CK68 CN68 BV70 BY70 CB70 CE70 CH70 CK70 CN70 BV72 BY72 CB72 CE72 CH72 CK72 CN72">
    <cfRule type="expression" dxfId="137" priority="60">
      <formula>AND(ISNUMBER(BT63),DATE(Planungsjahr,8,BT63)=TODAY())</formula>
    </cfRule>
  </conditionalFormatting>
  <conditionalFormatting sqref="BW63 BZ63 CC63 CF63 CI63 CL63 CO63 BW65 BZ65 CC65 CF65 CI65 CL65 CO65 BW67 BZ67 CC67 CF67 CI67 CL67 CO67 BW69 BZ69 CC69 CF69 CI69 CL69 CO69 BW71 BZ71 CC71 CF71 CI71 CL71 CO71 BW73 BZ73 CC73 CF73 CI73 CL73 CO73">
    <cfRule type="expression" dxfId="138" priority="61">
      <formula>AND(ISNUMBER(BT63),DATE(Planungsjahr,8,BT63)=TODAY())</formula>
    </cfRule>
  </conditionalFormatting>
  <conditionalFormatting sqref="BT64 BW64 BZ64 CC64 CF64 CI64 CL64 BT66 BW66 BZ66 CC66 CF66 CI66 CL66 BT68 BW68 BZ68 CC68 CF68 CI68 CL68 BT70 BW70 BZ70 CC70 CF70 CI70 CL70 BT72 BW72 BZ72 CC72 CF72 CI72 CL72 BT74 BW74 BZ74 CC74 CF74 CI74 CL74">
    <cfRule type="expression" dxfId="139" priority="62">
      <formula>AND(ISNUMBER(BT63),DATE(Planungsjahr,8,BT63)=TODAY())</formula>
    </cfRule>
  </conditionalFormatting>
  <conditionalFormatting sqref="BU64 BX64 CA64 CD64 CG64 CJ64 CM64 BU66 BX66 CA66 CD66 CG66 CJ66 CM66 BU68 BX68 CA68 CD68 CG68 CJ68 CM68 BU70 BX70 CA70 CD70 CG70 CJ70 CM70 BU72 BX72 CA72 CD72 CG72 CJ72 CM72 BU74 BX74 CA74 CD74 CG74 CJ74 CM74">
    <cfRule type="expression" dxfId="140" priority="63">
      <formula>AND(ISNUMBER(BT63),DATE(Planungsjahr,8,BT63)=TODAY())</formula>
    </cfRule>
  </conditionalFormatting>
  <conditionalFormatting sqref="BV64 BY64 CB64 CE64 CH64 CK64 CN64 BV66 BY66 CB66 CE66 CH66 CK66 CN66 BV68 BY68 CB68 CE68 CH68 CK68 CN68 BV70 BY70 CB70 CE70 CH70 CK70 CN70 BV72 BY72 CB72 CE72 CH72 CK72 CN72 BV74 BY74 CB74 CE74 CH74 CK74 CN74">
    <cfRule type="expression" dxfId="141" priority="64">
      <formula>AND(ISNUMBER(BT63),DATE(Planungsjahr,8,BT63)=TODAY())</formula>
    </cfRule>
  </conditionalFormatting>
  <conditionalFormatting sqref="C81 F81 I81 L81 O81 R81 U81 C83 F83 I83 L83 O83 R83 U83 C85 F85 I85 L85 O85 R85 U85 C87 F87 I87 L87 O87 R87 U87 C89 F89 I89 L89 O89 R89 U89 C91 F91 I91 L91 O91 R91 U91">
    <cfRule type="expression" dxfId="136" priority="65">
      <formula>AND(ISNUMBER(C81),DATE(Planungsjahr,9,C81)=TODAY())</formula>
    </cfRule>
  </conditionalFormatting>
  <conditionalFormatting sqref="C80 F80 I80 L80 O80 R80 U80 C82 F82 I82 L82 O82 R82 U82 C84 F84 I84 L84 O84 R84 U84 C86 F86 I86 L86 O86 R86 U86 C88 F88 I88 L88 O88 R88 U88 C90 F90 I90 L90 O90 R90 U90">
    <cfRule type="expression" dxfId="137" priority="66">
      <formula>AND(ISNUMBER(C81),DATE(Planungsjahr,9,C81)=TODAY())</formula>
    </cfRule>
  </conditionalFormatting>
  <conditionalFormatting sqref="D80 G80 J80 M80 P80 S80 V80 D82 G82 J82 M82 P82 S82 V82 D84 G84 J84 M84 P84 S84 V84 D86 G86 J86 M86 P86 S86 V86 D88 G88 J88 M88 P88 S88 V88 D90 G90 J90 M90 P90 S90 V90">
    <cfRule type="expression" dxfId="137" priority="67">
      <formula>AND(ISNUMBER(C81),DATE(Planungsjahr,9,C81)=TODAY())</formula>
    </cfRule>
  </conditionalFormatting>
  <conditionalFormatting sqref="E80 H80 K80 N80 Q80 T80 W80 E82 H82 K82 N82 Q82 T82 W82 E84 H84 K84 N84 Q84 T84 W84 E86 H86 K86 N86 Q86 T86 W86 E88 H88 K88 N88 Q88 T88 W88 E90 H90 K90 N90 Q90 T90 W90">
    <cfRule type="expression" dxfId="137" priority="68">
      <formula>AND(ISNUMBER(C81),DATE(Planungsjahr,9,C81)=TODAY())</formula>
    </cfRule>
  </conditionalFormatting>
  <conditionalFormatting sqref="F81 I81 L81 O81 R81 U81 X81 F83 I83 L83 O83 R83 U83 X83 F85 I85 L85 O85 R85 U85 X85 F87 I87 L87 O87 R87 U87 X87 F89 I89 L89 O89 R89 U89 X89 F91 I91 L91 O91 R91 U91 X91">
    <cfRule type="expression" dxfId="138" priority="69">
      <formula>AND(ISNUMBER(C81),DATE(Planungsjahr,9,C81)=TODAY())</formula>
    </cfRule>
  </conditionalFormatting>
  <conditionalFormatting sqref="C82 F82 I82 L82 O82 R82 U82 C84 F84 I84 L84 O84 R84 U84 C86 F86 I86 L86 O86 R86 U86 C88 F88 I88 L88 O88 R88 U88 C90 F90 I90 L90 O90 R90 U90 C92 F92 I92 L92 O92 R92 U92">
    <cfRule type="expression" dxfId="139" priority="70">
      <formula>AND(ISNUMBER(C81),DATE(Planungsjahr,9,C81)=TODAY())</formula>
    </cfRule>
  </conditionalFormatting>
  <conditionalFormatting sqref="D82 G82 J82 M82 P82 S82 V82 D84 G84 J84 M84 P84 S84 V84 D86 G86 J86 M86 P86 S86 V86 D88 G88 J88 M88 P88 S88 V88 D90 G90 J90 M90 P90 S90 V90 D92 G92 J92 M92 P92 S92 V92">
    <cfRule type="expression" dxfId="140" priority="71">
      <formula>AND(ISNUMBER(C81),DATE(Planungsjahr,9,C81)=TODAY())</formula>
    </cfRule>
  </conditionalFormatting>
  <conditionalFormatting sqref="E82 H82 K82 N82 Q82 T82 W82 E84 H84 K84 N84 Q84 T84 W84 E86 H86 K86 N86 Q86 T86 W86 E88 H88 K88 N88 Q88 T88 W88 E90 H90 K90 N90 Q90 T90 W90 E92 H92 K92 N92 Q92 T92 W92">
    <cfRule type="expression" dxfId="141" priority="72">
      <formula>AND(ISNUMBER(C81),DATE(Planungsjahr,9,C81)=TODAY())</formula>
    </cfRule>
  </conditionalFormatting>
  <conditionalFormatting sqref="Z81 AC81 AF81 AI81 AL81 AO81 AR81 Z83 AC83 AF83 AI83 AL83 AO83 AR83 Z85 AC85 AF85 AI85 AL85 AO85 AR85 Z87 AC87 AF87 AI87 AL87 AO87 AR87 Z89 AC89 AF89 AI89 AL89 AO89 AR89 Z91 AC91 AF91 AI91 AL91 AO91 AR91">
    <cfRule type="expression" dxfId="136" priority="73">
      <formula>AND(ISNUMBER(Z81),DATE(Planungsjahr,10,Z81)=TODAY())</formula>
    </cfRule>
  </conditionalFormatting>
  <conditionalFormatting sqref="Z80 AC80 AF80 AI80 AL80 AO80 AR80 Z82 AC82 AF82 AI82 AL82 AO82 AR82 Z84 AC84 AF84 AI84 AL84 AO84 AR84 Z86 AC86 AF86 AI86 AL86 AO86 AR86 Z88 AC88 AF88 AI88 AL88 AO88 AR88 Z90 AC90 AF90 AI90 AL90 AO90 AR90">
    <cfRule type="expression" dxfId="137" priority="74">
      <formula>AND(ISNUMBER(Z81),DATE(Planungsjahr,10,Z81)=TODAY())</formula>
    </cfRule>
  </conditionalFormatting>
  <conditionalFormatting sqref="AA80 AD80 AG80 AJ80 AM80 AP80 AS80 AA82 AD82 AG82 AJ82 AM82 AP82 AS82 AA84 AD84 AG84 AJ84 AM84 AP84 AS84 AA86 AD86 AG86 AJ86 AM86 AP86 AS86 AA88 AD88 AG88 AJ88 AM88 AP88 AS88 AA90 AD90 AG90 AJ90 AM90 AP90 AS90">
    <cfRule type="expression" dxfId="137" priority="75">
      <formula>AND(ISNUMBER(Z81),DATE(Planungsjahr,10,Z81)=TODAY())</formula>
    </cfRule>
  </conditionalFormatting>
  <conditionalFormatting sqref="AB80 AE80 AH80 AK80 AN80 AQ80 AT80 AB82 AE82 AH82 AK82 AN82 AQ82 AT82 AB84 AE84 AH84 AK84 AN84 AQ84 AT84 AB86 AE86 AH86 AK86 AN86 AQ86 AT86 AB88 AE88 AH88 AK88 AN88 AQ88 AT88 AB90 AE90 AH90 AK90 AN90 AQ90 AT90">
    <cfRule type="expression" dxfId="137" priority="76">
      <formula>AND(ISNUMBER(Z81),DATE(Planungsjahr,10,Z81)=TODAY())</formula>
    </cfRule>
  </conditionalFormatting>
  <conditionalFormatting sqref="AC81 AF81 AI81 AL81 AO81 AR81 AU81 AC83 AF83 AI83 AL83 AO83 AR83 AU83 AC85 AF85 AI85 AL85 AO85 AR85 AU85 AC87 AF87 AI87 AL87 AO87 AR87 AU87 AC89 AF89 AI89 AL89 AO89 AR89 AU89 AC91 AF91 AI91 AL91 AO91 AR91 AU91">
    <cfRule type="expression" dxfId="138" priority="77">
      <formula>AND(ISNUMBER(Z81),DATE(Planungsjahr,10,Z81)=TODAY())</formula>
    </cfRule>
  </conditionalFormatting>
  <conditionalFormatting sqref="Z82 AC82 AF82 AI82 AL82 AO82 AR82 Z84 AC84 AF84 AI84 AL84 AO84 AR84 Z86 AC86 AF86 AI86 AL86 AO86 AR86 Z88 AC88 AF88 AI88 AL88 AO88 AR88 Z90 AC90 AF90 AI90 AL90 AO90 AR90 Z92 AC92 AF92 AI92 AL92 AO92 AR92">
    <cfRule type="expression" dxfId="139" priority="78">
      <formula>AND(ISNUMBER(Z81),DATE(Planungsjahr,10,Z81)=TODAY())</formula>
    </cfRule>
  </conditionalFormatting>
  <conditionalFormatting sqref="AA82 AD82 AG82 AJ82 AM82 AP82 AS82 AA84 AD84 AG84 AJ84 AM84 AP84 AS84 AA86 AD86 AG86 AJ86 AM86 AP86 AS86 AA88 AD88 AG88 AJ88 AM88 AP88 AS88 AA90 AD90 AG90 AJ90 AM90 AP90 AS90 AA92 AD92 AG92 AJ92 AM92 AP92 AS92">
    <cfRule type="expression" dxfId="140" priority="79">
      <formula>AND(ISNUMBER(Z81),DATE(Planungsjahr,10,Z81)=TODAY())</formula>
    </cfRule>
  </conditionalFormatting>
  <conditionalFormatting sqref="AB82 AE82 AH82 AK82 AN82 AQ82 AT82 AB84 AE84 AH84 AK84 AN84 AQ84 AT84 AB86 AE86 AH86 AK86 AN86 AQ86 AT86 AB88 AE88 AH88 AK88 AN88 AQ88 AT88 AB90 AE90 AH90 AK90 AN90 AQ90 AT90 AB92 AE92 AH92 AK92 AN92 AQ92 AT92">
    <cfRule type="expression" dxfId="141" priority="80">
      <formula>AND(ISNUMBER(Z81),DATE(Planungsjahr,10,Z81)=TODAY())</formula>
    </cfRule>
  </conditionalFormatting>
  <conditionalFormatting sqref="AW81 AZ81 BC81 BF81 BI81 BL81 BO81 AW83 AZ83 BC83 BF83 BI83 BL83 BO83 AW85 AZ85 BC85 BF85 BI85 BL85 BO85 AW87 AZ87 BC87 BF87 BI87 BL87 BO87 AW89 AZ89 BC89 BF89 BI89 BL89 BO89 AW91 AZ91 BC91 BF91 BI91 BL91 BO91">
    <cfRule type="expression" dxfId="136" priority="81">
      <formula>AND(ISNUMBER(AW81),DATE(Planungsjahr,11,AW81)=TODAY())</formula>
    </cfRule>
  </conditionalFormatting>
  <conditionalFormatting sqref="AW80 AZ80 BC80 BF80 BI80 BL80 BO80 AW82 AZ82 BC82 BF82 BI82 BL82 BO82 AW84 AZ84 BC84 BF84 BI84 BL84 BO84 AW86 AZ86 BC86 BF86 BI86 BL86 BO86 AW88 AZ88 BC88 BF88 BI88 BL88 BO88 AW90 AZ90 BC90 BF90 BI90 BL90 BO90">
    <cfRule type="expression" dxfId="137" priority="82">
      <formula>AND(ISNUMBER(AW81),DATE(Planungsjahr,11,AW81)=TODAY())</formula>
    </cfRule>
  </conditionalFormatting>
  <conditionalFormatting sqref="AX80 BA80 BD80 BG80 BJ80 BM80 BP80 AX82 BA82 BD82 BG82 BJ82 BM82 BP82 AX84 BA84 BD84 BG84 BJ84 BM84 BP84 AX86 BA86 BD86 BG86 BJ86 BM86 BP86 AX88 BA88 BD88 BG88 BJ88 BM88 BP88 AX90 BA90 BD90 BG90 BJ90 BM90 BP90">
    <cfRule type="expression" dxfId="137" priority="83">
      <formula>AND(ISNUMBER(AW81),DATE(Planungsjahr,11,AW81)=TODAY())</formula>
    </cfRule>
  </conditionalFormatting>
  <conditionalFormatting sqref="AY80 BB80 BE80 BH80 BK80 BN80 BQ80 AY82 BB82 BE82 BH82 BK82 BN82 BQ82 AY84 BB84 BE84 BH84 BK84 BN84 BQ84 AY86 BB86 BE86 BH86 BK86 BN86 BQ86 AY88 BB88 BE88 BH88 BK88 BN88 BQ88 AY90 BB90 BE90 BH90 BK90 BN90 BQ90">
    <cfRule type="expression" dxfId="137" priority="84">
      <formula>AND(ISNUMBER(AW81),DATE(Planungsjahr,11,AW81)=TODAY())</formula>
    </cfRule>
  </conditionalFormatting>
  <conditionalFormatting sqref="AZ81 BC81 BF81 BI81 BL81 BO81 BR81 AZ83 BC83 BF83 BI83 BL83 BO83 BR83 AZ85 BC85 BF85 BI85 BL85 BO85 BR85 AZ87 BC87 BF87 BI87 BL87 BO87 BR87 AZ89 BC89 BF89 BI89 BL89 BO89 BR89 AZ91 BC91 BF91 BI91 BL91 BO91 BR91">
    <cfRule type="expression" dxfId="138" priority="85">
      <formula>AND(ISNUMBER(AW81),DATE(Planungsjahr,11,AW81)=TODAY())</formula>
    </cfRule>
  </conditionalFormatting>
  <conditionalFormatting sqref="AW82 AZ82 BC82 BF82 BI82 BL82 BO82 AW84 AZ84 BC84 BF84 BI84 BL84 BO84 AW86 AZ86 BC86 BF86 BI86 BL86 BO86 AW88 AZ88 BC88 BF88 BI88 BL88 BO88 AW90 AZ90 BC90 BF90 BI90 BL90 BO90 AW92 AZ92 BC92 BF92 BI92 BL92 BO92">
    <cfRule type="expression" dxfId="139" priority="86">
      <formula>AND(ISNUMBER(AW81),DATE(Planungsjahr,11,AW81)=TODAY())</formula>
    </cfRule>
  </conditionalFormatting>
  <conditionalFormatting sqref="AX82 BA82 BD82 BG82 BJ82 BM82 BP82 AX84 BA84 BD84 BG84 BJ84 BM84 BP84 AX86 BA86 BD86 BG86 BJ86 BM86 BP86 AX88 BA88 BD88 BG88 BJ88 BM88 BP88 AX90 BA90 BD90 BG90 BJ90 BM90 BP90 AX92 BA92 BD92 BG92 BJ92 BM92 BP92">
    <cfRule type="expression" dxfId="140" priority="87">
      <formula>AND(ISNUMBER(AW81),DATE(Planungsjahr,11,AW81)=TODAY())</formula>
    </cfRule>
  </conditionalFormatting>
  <conditionalFormatting sqref="AY82 BB82 BE82 BH82 BK82 BN82 BQ82 AY84 BB84 BE84 BH84 BK84 BN84 BQ84 AY86 BB86 BE86 BH86 BK86 BN86 BQ86 AY88 BB88 BE88 BH88 BK88 BN88 BQ88 AY90 BB90 BE90 BH90 BK90 BN90 BQ90 AY92 BB92 BE92 BH92 BK92 BN92 BQ92">
    <cfRule type="expression" dxfId="141" priority="88">
      <formula>AND(ISNUMBER(AW81),DATE(Planungsjahr,11,AW81)=TODAY())</formula>
    </cfRule>
  </conditionalFormatting>
  <conditionalFormatting sqref="BT81 BW81 BZ81 CC81 CF81 CI81 CL81 BT83 BW83 BZ83 CC83 CF83 CI83 CL83 BT85 BW85 BZ85 CC85 CF85 CI85 CL85 BT87 BW87 BZ87 CC87 CF87 CI87 CL87 BT89 BW89 BZ89 CC89 CF89 CI89 CL89 BT91 BW91 BZ91 CC91 CF91 CI91 CL91">
    <cfRule type="expression" dxfId="136" priority="89">
      <formula>AND(ISNUMBER(BT81),DATE(Planungsjahr,12,BT81)=TODAY())</formula>
    </cfRule>
  </conditionalFormatting>
  <conditionalFormatting sqref="BT80 BW80 BZ80 CC80 CF80 CI80 CL80 BT82 BW82 BZ82 CC82 CF82 CI82 CL82 BT84 BW84 BZ84 CC84 CF84 CI84 CL84 BT86 BW86 BZ86 CC86 CF86 CI86 CL86 BT88 BW88 BZ88 CC88 CF88 CI88 CL88 BT90 BW90 BZ90 CC90 CF90 CI90 CL90">
    <cfRule type="expression" dxfId="137" priority="90">
      <formula>AND(ISNUMBER(BT81),DATE(Planungsjahr,12,BT81)=TODAY())</formula>
    </cfRule>
  </conditionalFormatting>
  <conditionalFormatting sqref="BU80 BX80 CA80 CD80 CG80 CJ80 CM80 BU82 BX82 CA82 CD82 CG82 CJ82 CM82 BU84 BX84 CA84 CD84 CG84 CJ84 CM84 BU86 BX86 CA86 CD86 CG86 CJ86 CM86 BU88 BX88 CA88 CD88 CG88 CJ88 CM88 BU90 BX90 CA90 CD90 CG90 CJ90 CM90">
    <cfRule type="expression" dxfId="137" priority="91">
      <formula>AND(ISNUMBER(BT81),DATE(Planungsjahr,12,BT81)=TODAY())</formula>
    </cfRule>
  </conditionalFormatting>
  <conditionalFormatting sqref="BV80 BY80 CB80 CE80 CH80 CK80 CN80 BV82 BY82 CB82 CE82 CH82 CK82 CN82 BV84 BY84 CB84 CE84 CH84 CK84 CN84 BV86 BY86 CB86 CE86 CH86 CK86 CN86 BV88 BY88 CB88 CE88 CH88 CK88 CN88 BV90 BY90 CB90 CE90 CH90 CK90 CN90">
    <cfRule type="expression" dxfId="137" priority="92">
      <formula>AND(ISNUMBER(BT81),DATE(Planungsjahr,12,BT81)=TODAY())</formula>
    </cfRule>
  </conditionalFormatting>
  <conditionalFormatting sqref="BW81 BZ81 CC81 CF81 CI81 CL81 CO81 BW83 BZ83 CC83 CF83 CI83 CL83 CO83 BW85 BZ85 CC85 CF85 CI85 CL85 CO85 BW87 BZ87 CC87 CF87 CI87 CL87 CO87 BW89 BZ89 CC89 CF89 CI89 CL89 CO89 BW91 BZ91 CC91 CF91 CI91 CL91 CO91">
    <cfRule type="expression" dxfId="138" priority="93">
      <formula>AND(ISNUMBER(BT81),DATE(Planungsjahr,12,BT81)=TODAY())</formula>
    </cfRule>
  </conditionalFormatting>
  <conditionalFormatting sqref="BT82 BW82 BZ82 CC82 CF82 CI82 CL82 BT84 BW84 BZ84 CC84 CF84 CI84 CL84 BT86 BW86 BZ86 CC86 CF86 CI86 CL86 BT88 BW88 BZ88 CC88 CF88 CI88 CL88 BT90 BW90 BZ90 CC90 CF90 CI90 CL90 BT92 BW92 BZ92 CC92 CF92 CI92 CL92">
    <cfRule type="expression" dxfId="139" priority="94">
      <formula>AND(ISNUMBER(BT81),DATE(Planungsjahr,12,BT81)=TODAY())</formula>
    </cfRule>
  </conditionalFormatting>
  <conditionalFormatting sqref="BU82 BX82 CA82 CD82 CG82 CJ82 CM82 BU84 BX84 CA84 CD84 CG84 CJ84 CM84 BU86 BX86 CA86 CD86 CG86 CJ86 CM86 BU88 BX88 CA88 CD88 CG88 CJ88 CM88 BU90 BX90 CA90 CD90 CG90 CJ90 CM90 BU92 BX92 CA92 CD92 CG92 CJ92 CM92">
    <cfRule type="expression" dxfId="140" priority="95">
      <formula>AND(ISNUMBER(BT81),DATE(Planungsjahr,12,BT81)=TODAY())</formula>
    </cfRule>
  </conditionalFormatting>
  <conditionalFormatting sqref="BV82 BY82 CB82 CE82 CH82 CK82 CN82 BV84 BY84 CB84 CE84 CH84 CK84 CN84 BV86 BY86 CB86 CE86 CH86 CK86 CN86 BV88 BY88 CB88 CE88 CH88 CK88 CN88 BV90 BY90 CB90 CE90 CH90 CK90 CN90 BV92 BY92 CB92 CE92 CH92 CK92 CN92">
    <cfRule type="expression" dxfId="141" priority="96">
      <formula>AND(ISNUMBER(BT81),DATE(Planungsjahr,12,BT81)=TODAY())</formula>
    </cfRule>
  </conditionalFormatting>
  <conditionalFormatting sqref="C45:W45 C47:W47 C49:W49 C51:W51 C53:W53 C55:W55">
    <cfRule type="expression" dxfId="142" priority="702" stopIfTrue="1">
      <formula>AND(ISNUMBER(C45),COUNTIF(Feiertage,DATE(Planungsjahr,1,C45))&gt;0)</formula>
    </cfRule>
    <cfRule type="expression" dxfId="101" priority="703" stopIfTrue="1">
      <formula>AND(ISNUMBER(C45),WEEKDAY(DATE(Planungsjahr,1,C45),2)&gt;5)</formula>
    </cfRule>
    <cfRule type="expression" dxfId="146" priority="901">
      <formula>AND(ISNUMBER(C45),COUNTIFS(U_Von,"&lt;="&amp;DATE(Planungsjahr,1,C45),U_Bis,"&gt;="&amp;DATE(Planungsjahr,1,C45))&gt;0)</formula>
    </cfRule>
  </conditionalFormatting>
  <conditionalFormatting sqref="C46:W46 Z46:AT46 AW46:BQ46 BT46:CN46 C48:W48 Z48:AT48 AW48:BQ48 BT48:CN48 C50:W50 Z50:AT50 AW50:BQ50 BT50:CN50 C52:W52 Z52:AT52 AW52:BQ52 BT52:CN52 C54:W54 Z54:AT54 AW54:BQ54 BT54:CN54 C56:W56 Z56:AT56 AW56:BQ56 BT56:CN56 C64:W64 Z64:AT64 AW64:BQ64 BT64:CN64 C66:W66 Z66:AT66 AW66:BQ66 BT66:CN66 C68:W68 Z68:AT68 AW68:BQ68 BT68:CN68 C70:W70 Z70:AT70 AW70:BQ70 BT70:CN70 C72:W72 Z72:AT72 AW72:BQ72 BT72:CN72 C74:W74 Z74:AT74 AW74:BQ74 BT74:CN74 C82:W82 Z82:AT82 AW82:BQ82 BT82:CN82 C84:W84 Z84:AT84 AW84:BQ84 BT84:CN84 C86:W86 Z86:AT86 AW86:BQ86 BT86:CN86 C88:W88 Z88:AT88 AW88:BQ88 BT88:CN88 C90:W90 Z90:AT90 AW90:BQ90 BT90:CN90 C92:W92 Z92:AT92 AW92:BQ92 BT92:CN92">
    <cfRule type="cellIs" dxfId="100" priority="730" stopIfTrue="1" operator="equal">
      <formula>"w"</formula>
    </cfRule>
    <cfRule type="cellIs" dxfId="143" priority="729" stopIfTrue="1" operator="equal">
      <formula>"h"</formula>
    </cfRule>
    <cfRule type="cellIs" dxfId="147" priority="950" stopIfTrue="1" operator="equal">
      <formula>"u"</formula>
    </cfRule>
    <cfRule type="cellIs" dxfId="150" priority="1201" stopIfTrue="1" operator="equal">
      <formula>1</formula>
    </cfRule>
    <cfRule type="cellIs" dxfId="151" priority="1202" stopIfTrue="1" operator="equal">
      <formula>2</formula>
    </cfRule>
    <cfRule type="cellIs" dxfId="152" priority="1203" stopIfTrue="1" operator="equal">
      <formula>3</formula>
    </cfRule>
    <cfRule type="cellIs" dxfId="153" priority="1204" stopIfTrue="1" operator="equal">
      <formula>4</formula>
    </cfRule>
    <cfRule type="cellIs" dxfId="154" priority="1205" stopIfTrue="1" operator="equal">
      <formula>5</formula>
    </cfRule>
    <cfRule type="cellIs" dxfId="155" priority="1206" stopIfTrue="1" operator="equal">
      <formula>6</formula>
    </cfRule>
    <cfRule type="cellIs" dxfId="156" priority="1207" stopIfTrue="1" operator="equal">
      <formula>7</formula>
    </cfRule>
    <cfRule type="cellIs" dxfId="157" priority="1208" stopIfTrue="1" operator="equal">
      <formula>8</formula>
    </cfRule>
    <cfRule type="cellIs" dxfId="158" priority="1209" stopIfTrue="1" operator="equal">
      <formula>9</formula>
    </cfRule>
    <cfRule type="cellIs" dxfId="159" priority="1210" stopIfTrue="1" operator="equal">
      <formula>10</formula>
    </cfRule>
    <cfRule type="cellIs" dxfId="160" priority="1211" stopIfTrue="1" operator="equal">
      <formula>11</formula>
    </cfRule>
    <cfRule type="cellIs" dxfId="161" priority="1212" stopIfTrue="1" operator="equal">
      <formula>12</formula>
    </cfRule>
    <cfRule type="cellIs" dxfId="162" priority="1213" stopIfTrue="1" operator="equal">
      <formula>13</formula>
    </cfRule>
    <cfRule type="cellIs" dxfId="163" priority="1214" stopIfTrue="1" operator="equal">
      <formula>14</formula>
    </cfRule>
    <cfRule type="cellIs" dxfId="164" priority="1215" stopIfTrue="1" operator="equal">
      <formula>15</formula>
    </cfRule>
    <cfRule type="cellIs" dxfId="165" priority="1216" stopIfTrue="1" operator="equal">
      <formula>16</formula>
    </cfRule>
    <cfRule type="cellIs" dxfId="166" priority="1217" stopIfTrue="1" operator="equal">
      <formula>17</formula>
    </cfRule>
    <cfRule type="cellIs" dxfId="167" priority="1218" stopIfTrue="1" operator="equal">
      <formula>18</formula>
    </cfRule>
    <cfRule type="cellIs" dxfId="168" priority="1219" stopIfTrue="1" operator="equal">
      <formula>19</formula>
    </cfRule>
    <cfRule type="cellIs" dxfId="169" priority="1220" stopIfTrue="1" operator="equal">
      <formula>20</formula>
    </cfRule>
    <cfRule type="cellIs" dxfId="170" priority="1221" stopIfTrue="1" operator="equal">
      <formula>21</formula>
    </cfRule>
    <cfRule type="cellIs" dxfId="171" priority="1222" stopIfTrue="1" operator="equal">
      <formula>22</formula>
    </cfRule>
    <cfRule type="cellIs" dxfId="172" priority="1223" stopIfTrue="1" operator="equal">
      <formula>23</formula>
    </cfRule>
    <cfRule type="cellIs" dxfId="173" priority="1224" stopIfTrue="1" operator="equal">
      <formula>24</formula>
    </cfRule>
    <cfRule type="cellIs" dxfId="174" priority="1225" stopIfTrue="1" operator="equal">
      <formula>25</formula>
    </cfRule>
    <cfRule type="cellIs" dxfId="175" priority="1226" stopIfTrue="1" operator="equal">
      <formula>26</formula>
    </cfRule>
    <cfRule type="cellIs" dxfId="176" priority="1227" stopIfTrue="1" operator="equal">
      <formula>27</formula>
    </cfRule>
    <cfRule type="cellIs" dxfId="177" priority="1228" stopIfTrue="1" operator="equal">
      <formula>28</formula>
    </cfRule>
    <cfRule type="cellIs" dxfId="178" priority="1229" stopIfTrue="1" operator="equal">
      <formula>29</formula>
    </cfRule>
    <cfRule type="cellIs" dxfId="179" priority="1230" stopIfTrue="1" operator="equal">
      <formula>30</formula>
    </cfRule>
  </conditionalFormatting>
  <conditionalFormatting sqref="C63:W63 C65:W65 C67:W67 C69:W69 C71:W71 C73:W73">
    <cfRule type="expression" dxfId="142" priority="710" stopIfTrue="1">
      <formula>AND(ISNUMBER(C63),COUNTIF(Feiertage,DATE(Planungsjahr,5,C63))&gt;0)</formula>
    </cfRule>
    <cfRule type="expression" dxfId="94" priority="711" stopIfTrue="1">
      <formula>AND(ISNUMBER(C63),WEEKDAY(DATE(Planungsjahr,5,C63),2)&gt;5)</formula>
    </cfRule>
    <cfRule type="expression" dxfId="146" priority="902">
      <formula>AND(ISNUMBER(C63),COUNTIFS(U_Von,"&lt;="&amp;DATE(Planungsjahr,5,C63),U_Bis,"&gt;="&amp;DATE(Planungsjahr,5,C63))&gt;0)</formula>
    </cfRule>
  </conditionalFormatting>
  <conditionalFormatting sqref="C81:W81 C83:W83 C85:W85 C87:W87 C89:W89 C91:W91">
    <cfRule type="expression" dxfId="142" priority="718" stopIfTrue="1">
      <formula>AND(ISNUMBER(C81),COUNTIF(Feiertage,DATE(Planungsjahr,9,C81))&gt;0)</formula>
    </cfRule>
    <cfRule type="expression" dxfId="92" priority="719" stopIfTrue="1">
      <formula>AND(ISNUMBER(C81),WEEKDAY(DATE(Planungsjahr,9,C81),2)&gt;5)</formula>
    </cfRule>
    <cfRule type="expression" dxfId="146" priority="903">
      <formula>AND(ISNUMBER(C81),COUNTIFS(U_Von,"&lt;="&amp;DATE(Planungsjahr,9,C81),U_Bis,"&gt;="&amp;DATE(Planungsjahr,9,C81))&gt;0)</formula>
    </cfRule>
  </conditionalFormatting>
  <conditionalFormatting sqref="Z13:Z32">
    <cfRule type="expression" dxfId="0" priority="731">
      <formula>AND(ISNUMBER(Z13),YEAR(Z13)&lt;&gt;Planungsjahr)</formula>
    </cfRule>
  </conditionalFormatting>
  <conditionalFormatting sqref="Z45:AT45 Z47:AT47 Z49:AT49 Z51:AT51 Z53:AT53 Z55:AT55">
    <cfRule type="expression" dxfId="142" priority="704" stopIfTrue="1">
      <formula>AND(ISNUMBER(Z45),COUNTIF(Feiertage,DATE(Planungsjahr,2,Z45))&gt;0)</formula>
    </cfRule>
    <cfRule type="expression" dxfId="90" priority="705" stopIfTrue="1">
      <formula>AND(ISNUMBER(Z45),WEEKDAY(DATE(Planungsjahr,2,Z45),2)&gt;5)</formula>
    </cfRule>
    <cfRule type="expression" dxfId="146" priority="904">
      <formula>AND(ISNUMBER(Z45),COUNTIFS(U_Von,"&lt;="&amp;DATE(Planungsjahr,2,Z45),U_Bis,"&gt;="&amp;DATE(Planungsjahr,2,Z45))&gt;0)</formula>
    </cfRule>
  </conditionalFormatting>
  <conditionalFormatting sqref="Z63:AT63 Z65:AT65 Z67:AT67 Z69:AT69 Z71:AT71 Z73:AT73">
    <cfRule type="expression" dxfId="142" priority="712" stopIfTrue="1">
      <formula>AND(ISNUMBER(Z63),COUNTIF(Feiertage,DATE(Planungsjahr,6,Z63))&gt;0)</formula>
    </cfRule>
    <cfRule type="expression" dxfId="88" priority="713" stopIfTrue="1">
      <formula>AND(ISNUMBER(Z63),WEEKDAY(DATE(Planungsjahr,6,Z63),2)&gt;5)</formula>
    </cfRule>
    <cfRule type="expression" dxfId="146" priority="905">
      <formula>AND(ISNUMBER(Z63),COUNTIFS(U_Von,"&lt;="&amp;DATE(Planungsjahr,6,Z63),U_Bis,"&gt;="&amp;DATE(Planungsjahr,6,Z63))&gt;0)</formula>
    </cfRule>
  </conditionalFormatting>
  <conditionalFormatting sqref="Z81:AT81 Z83:AT83 Z85:AT85 Z87:AT87 Z89:AT89 Z91:AT91">
    <cfRule type="expression" dxfId="142" priority="720" stopIfTrue="1">
      <formula>AND(ISNUMBER(Z81),COUNTIF(Feiertage,DATE(Planungsjahr,10,Z81))&gt;0)</formula>
    </cfRule>
    <cfRule type="expression" dxfId="87" priority="721" stopIfTrue="1">
      <formula>AND(ISNUMBER(Z81),WEEKDAY(DATE(Planungsjahr,10,Z81),2)&gt;5)</formula>
    </cfRule>
    <cfRule type="expression" dxfId="146" priority="906">
      <formula>AND(ISNUMBER(Z81),COUNTIFS(U_Von,"&lt;="&amp;DATE(Planungsjahr,10,Z81),U_Bis,"&gt;="&amp;DATE(Planungsjahr,10,Z81))&gt;0)</formula>
    </cfRule>
  </conditionalFormatting>
  <conditionalFormatting sqref="AP13:AP32">
    <cfRule type="expression" dxfId="84" priority="732">
      <formula>AND(ISNUMBER(AP13),YEAR(AP13)&lt;&gt;Planungsjahr)</formula>
    </cfRule>
  </conditionalFormatting>
  <conditionalFormatting sqref="AW45:BQ45 AW47:BQ47 AW49:BQ49 AW51:BQ51 AW53:BQ53 AW55:BQ55">
    <cfRule type="expression" dxfId="142" priority="706" stopIfTrue="1">
      <formula>AND(ISNUMBER(AW45),COUNTIF(Feiertage,DATE(Planungsjahr,3,AW45))&gt;0)</formula>
    </cfRule>
    <cfRule type="expression" dxfId="83" priority="707" stopIfTrue="1">
      <formula>AND(ISNUMBER(AW45),WEEKDAY(DATE(Planungsjahr,3,AW45),2)&gt;5)</formula>
    </cfRule>
    <cfRule type="expression" dxfId="146" priority="907">
      <formula>AND(ISNUMBER(AW45),COUNTIFS(U_Von,"&lt;="&amp;DATE(Planungsjahr,3,AW45),U_Bis,"&gt;="&amp;DATE(Planungsjahr,3,AW45))&gt;0)</formula>
    </cfRule>
  </conditionalFormatting>
  <conditionalFormatting sqref="AW63:BQ63 AW65:BQ65 AW67:BQ67 AW69:BQ69 AW71:BQ71 AW73:BQ73">
    <cfRule type="expression" dxfId="142" priority="714" stopIfTrue="1">
      <formula>AND(ISNUMBER(AW63),COUNTIF(Feiertage,DATE(Planungsjahr,7,AW63))&gt;0)</formula>
    </cfRule>
    <cfRule type="expression" dxfId="81" priority="715" stopIfTrue="1">
      <formula>AND(ISNUMBER(AW63),WEEKDAY(DATE(Planungsjahr,7,AW63),2)&gt;5)</formula>
    </cfRule>
    <cfRule type="expression" dxfId="146" priority="908">
      <formula>AND(ISNUMBER(AW63),COUNTIFS(U_Von,"&lt;="&amp;DATE(Planungsjahr,7,AW63),U_Bis,"&gt;="&amp;DATE(Planungsjahr,7,AW63))&gt;0)</formula>
    </cfRule>
  </conditionalFormatting>
  <conditionalFormatting sqref="AW81:BQ81 AW83:BQ83 AW85:BQ85 AW87:BQ87 AW89:BQ89 AW91:BQ91">
    <cfRule type="expression" dxfId="142" priority="722" stopIfTrue="1">
      <formula>AND(ISNUMBER(AW81),COUNTIF(Feiertage,DATE(Planungsjahr,11,AW81))&gt;0)</formula>
    </cfRule>
    <cfRule type="expression" dxfId="78" priority="723" stopIfTrue="1">
      <formula>AND(ISNUMBER(AW81),WEEKDAY(DATE(Planungsjahr,11,AW81),2)&gt;5)</formula>
    </cfRule>
    <cfRule type="expression" dxfId="146" priority="909">
      <formula>AND(ISNUMBER(AW81),COUNTIFS(U_Von,"&lt;="&amp;DATE(Planungsjahr,11,AW81),U_Bis,"&gt;="&amp;DATE(Planungsjahr,11,AW81))&gt;0)</formula>
    </cfRule>
  </conditionalFormatting>
  <conditionalFormatting sqref="BD13:BD32">
    <cfRule type="expression" dxfId="77" priority="733">
      <formula>AND(ISNUMBER(BD13),YEAR(BD13)&lt;&gt;Planungsjahr)</formula>
    </cfRule>
    <cfRule type="expression" dxfId="76" priority="734">
      <formula>AND(ISNUMBER(BD13),ISNUMBER(SEARCH("prüfen",$BU13)))</formula>
    </cfRule>
  </conditionalFormatting>
  <conditionalFormatting sqref="BD14:BD32">
    <cfRule type="expression" dxfId="75" priority="735">
      <formula>AND(ISNUMBER(BD14),ISNUMBER(BD13),BD14&lt;BD13)</formula>
    </cfRule>
  </conditionalFormatting>
  <conditionalFormatting sqref="BT45:CN45 BT47:CN47 BT49:CN49 BT51:CN51 BT53:CN53 BT55:CN55">
    <cfRule type="expression" dxfId="142" priority="708" stopIfTrue="1">
      <formula>AND(ISNUMBER(BT45),COUNTIF(Feiertage,DATE(Planungsjahr,4,BT45))&gt;0)</formula>
    </cfRule>
    <cfRule type="expression" dxfId="74" priority="709" stopIfTrue="1">
      <formula>AND(ISNUMBER(BT45),WEEKDAY(DATE(Planungsjahr,4,BT45),2)&gt;5)</formula>
    </cfRule>
    <cfRule type="expression" dxfId="146" priority="910">
      <formula>AND(ISNUMBER(BT45),COUNTIFS(U_Von,"&lt;="&amp;DATE(Planungsjahr,4,BT45),U_Bis,"&gt;="&amp;DATE(Planungsjahr,4,BT45))&gt;0)</formula>
    </cfRule>
  </conditionalFormatting>
  <conditionalFormatting sqref="BT63:CN63 BT65:CN65 BT67:CN67 BT69:CN69 BT71:CN71 BT73:CN73">
    <cfRule type="expression" dxfId="142" priority="716" stopIfTrue="1">
      <formula>AND(ISNUMBER(BT63),COUNTIF(Feiertage,DATE(Planungsjahr,8,BT63))&gt;0)</formula>
    </cfRule>
    <cfRule type="expression" dxfId="71" priority="717" stopIfTrue="1">
      <formula>AND(ISNUMBER(BT63),WEEKDAY(DATE(Planungsjahr,8,BT63),2)&gt;5)</formula>
    </cfRule>
    <cfRule type="expression" dxfId="146" priority="911">
      <formula>AND(ISNUMBER(BT63),COUNTIFS(U_Von,"&lt;="&amp;DATE(Planungsjahr,8,BT63),U_Bis,"&gt;="&amp;DATE(Planungsjahr,8,BT63))&gt;0)</formula>
    </cfRule>
  </conditionalFormatting>
  <conditionalFormatting sqref="BT81:CN81 BT83:CN83 BT85:CN85 BT87:CN87 BT89:CN89 BT91:CN91">
    <cfRule type="expression" dxfId="142" priority="724" stopIfTrue="1">
      <formula>AND(ISNUMBER(BT81),COUNTIF(Feiertage,DATE(Planungsjahr,12,BT81))&gt;0)</formula>
    </cfRule>
    <cfRule type="expression" dxfId="69" priority="725" stopIfTrue="1">
      <formula>AND(ISNUMBER(BT81),WEEKDAY(DATE(Planungsjahr,12,BT81),2)&gt;5)</formula>
    </cfRule>
    <cfRule type="expression" dxfId="146" priority="912">
      <formula>AND(ISNUMBER(BT81),COUNTIFS(U_Von,"&lt;="&amp;DATE(Planungsjahr,12,BT81),U_Bis,"&gt;="&amp;DATE(Planungsjahr,12,BT81))&gt;0)</formula>
    </cfRule>
  </conditionalFormatting>
  <conditionalFormatting sqref="A13:A32">
    <cfRule type="expression" dxfId="144" priority="3001">
      <formula>NOT(Filter_Aktiv)</formula>
    </cfRule>
  </conditionalFormatting>
  <conditionalFormatting sqref="B9">
    <cfRule type="expression" dxfId="145" priority="3002">
      <formula>Filter_Aktiv</formula>
    </cfRule>
  </conditionalFormatting>
  <conditionalFormatting sqref="Z13:Z32">
    <cfRule type="expression" dxfId="148" priority="97">
      <formula>AND(ISNUMBER(Z13),COUNTIFS(U_Von,"&lt;="&amp;Z13,U_Bis,"&gt;="&amp;Z13)&gt;0)</formula>
    </cfRule>
  </conditionalFormatting>
  <conditionalFormatting sqref="AP13:AP32">
    <cfRule type="expression" dxfId="148" priority="98">
      <formula>AND(ISNUMBER(AP13),COUNTIFS(U_Von,"&lt;="&amp;AP13,U_Bis,"&gt;="&amp;AP13)&gt;0)</formula>
    </cfRule>
  </conditionalFormatting>
  <conditionalFormatting sqref="BD13:BD32">
    <cfRule type="expression" dxfId="148" priority="99">
      <formula>AND(ISNUMBER(BD13),COUNTIFS(U_Von,"&lt;="&amp;BD13,U_Bis,"&gt;="&amp;BD13)&gt;0)</formula>
    </cfRule>
  </conditionalFormatting>
  <conditionalFormatting sqref="B58 B59 B60 Y58 Y59 Y60 AV58 AV59 AV60 BS58 BS59 BS60 B76 B77 B78 Y76 Y77 Y78 AV76 AV77 AV78 BS76 BS77 BS78 B94 B95 B96 Y94 Y95 Y96 AV94 AV95 AV96 BS94 BS95 BS96">
    <cfRule type="cellIs" dxfId="180" priority="1301" operator="equal">
      <formula>1</formula>
    </cfRule>
    <cfRule type="cellIs" dxfId="181" priority="1302" operator="equal">
      <formula>2</formula>
    </cfRule>
    <cfRule type="cellIs" dxfId="182" priority="1303" operator="equal">
      <formula>3</formula>
    </cfRule>
    <cfRule type="cellIs" dxfId="183" priority="1304" operator="equal">
      <formula>4</formula>
    </cfRule>
    <cfRule type="cellIs" dxfId="184" priority="1305" operator="equal">
      <formula>5</formula>
    </cfRule>
    <cfRule type="cellIs" dxfId="185" priority="1306" operator="equal">
      <formula>6</formula>
    </cfRule>
    <cfRule type="cellIs" dxfId="186" priority="1307" operator="equal">
      <formula>7</formula>
    </cfRule>
    <cfRule type="cellIs" dxfId="187" priority="1308" operator="equal">
      <formula>8</formula>
    </cfRule>
    <cfRule type="cellIs" dxfId="188" priority="1309" operator="equal">
      <formula>9</formula>
    </cfRule>
    <cfRule type="cellIs" dxfId="189" priority="1310" operator="equal">
      <formula>10</formula>
    </cfRule>
  </conditionalFormatting>
  <conditionalFormatting sqref="C58 C59 C60 Z58 Z59 Z60 AW58 AW59 AW60 BT58 BT59 BT60 C76 C77 C78 Z76 Z77 Z78 AW76 AW77 AW78 BT76 BT77 BT78 C94 C95 C96 Z94 Z95 Z96 AW94 AW95 AW96 BT94 BT95 BT96">
    <cfRule type="expression" dxfId="190" priority="1321">
      <formula>B58=1</formula>
    </cfRule>
    <cfRule type="expression" dxfId="191" priority="1322">
      <formula>B58=2</formula>
    </cfRule>
    <cfRule type="expression" dxfId="192" priority="1323">
      <formula>B58=3</formula>
    </cfRule>
    <cfRule type="expression" dxfId="193" priority="1324">
      <formula>B58=4</formula>
    </cfRule>
    <cfRule type="expression" dxfId="194" priority="1325">
      <formula>B58=5</formula>
    </cfRule>
    <cfRule type="expression" dxfId="195" priority="1326">
      <formula>B58=6</formula>
    </cfRule>
    <cfRule type="expression" dxfId="196" priority="1327">
      <formula>B58=7</formula>
    </cfRule>
    <cfRule type="expression" dxfId="197" priority="1328">
      <formula>B58=8</formula>
    </cfRule>
    <cfRule type="expression" dxfId="198" priority="1329">
      <formula>B58=9</formula>
    </cfRule>
    <cfRule type="expression" dxfId="199" priority="1330">
      <formula>B58=10</formula>
    </cfRule>
  </conditionalFormatting>
  <conditionalFormatting sqref="B13:B32">
    <cfRule type="expression" dxfId="200" priority="1341">
      <formula>INDEX(JP_Farbe,ROW(B13)-ROW(INDEX(JP_Massnahme,1))+1)=1</formula>
    </cfRule>
    <cfRule type="expression" dxfId="201" priority="1342">
      <formula>INDEX(JP_Farbe,ROW(B13)-ROW(INDEX(JP_Massnahme,1))+1)=2</formula>
    </cfRule>
    <cfRule type="expression" dxfId="202" priority="1343">
      <formula>INDEX(JP_Farbe,ROW(B13)-ROW(INDEX(JP_Massnahme,1))+1)=3</formula>
    </cfRule>
    <cfRule type="expression" dxfId="203" priority="1344">
      <formula>INDEX(JP_Farbe,ROW(B13)-ROW(INDEX(JP_Massnahme,1))+1)=4</formula>
    </cfRule>
    <cfRule type="expression" dxfId="204" priority="1345">
      <formula>INDEX(JP_Farbe,ROW(B13)-ROW(INDEX(JP_Massnahme,1))+1)=5</formula>
    </cfRule>
    <cfRule type="expression" dxfId="205" priority="1346">
      <formula>INDEX(JP_Farbe,ROW(B13)-ROW(INDEX(JP_Massnahme,1))+1)=6</formula>
    </cfRule>
    <cfRule type="expression" dxfId="206" priority="1347">
      <formula>INDEX(JP_Farbe,ROW(B13)-ROW(INDEX(JP_Massnahme,1))+1)=7</formula>
    </cfRule>
    <cfRule type="expression" dxfId="207" priority="1348">
      <formula>INDEX(JP_Farbe,ROW(B13)-ROW(INDEX(JP_Massnahme,1))+1)=8</formula>
    </cfRule>
    <cfRule type="expression" dxfId="208" priority="1349">
      <formula>INDEX(JP_Farbe,ROW(B13)-ROW(INDEX(JP_Massnahme,1))+1)=9</formula>
    </cfRule>
    <cfRule type="expression" dxfId="209" priority="1350">
      <formula>INDEX(JP_Farbe,ROW(B13)-ROW(INDEX(JP_Massnahme,1))+1)=10</formula>
    </cfRule>
  </conditionalFormatting>
  <dataValidations count="11">
    <dataValidation type="list" allowBlank="1" showInputMessage="1" showErrorMessage="1" promptTitle="Art der Bitte" prompt="Bitte auswählen: aktiv, passiv oder nein" sqref="BM13:BM32"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13:BD32"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Sommer- und Weihnachtsmailing: automatisch aus dem Gantt (Blatt 2/3), bitte nicht überschreiben. Alle anderen Maßnahmen: hier eintragen." sqref="AI13:AI32"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Sommer- und Weihnachtsmailing: automatisch aus dem Gantt (Blatt 2/3), bitte nicht überschreiben. Alle anderen Maßnahmen: hier eintragen." sqref="AW13:AW32"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13:V32"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 allowBlank="1" showInputMessage="1" promptTitle="Alle Start Selektion (S)" prompt="Häkchen = Start Selektion aller Maßnahmen im Kalender anzeigen (sofern die Maßnahme unten angehakt ist). Häkchen entfernen = alle S-Marker ausgeblendet." sqref="BS4"/>
    <dataValidation allowBlank="1" showInputMessage="1" promptTitle="Alle Starts Inhalt (I)" prompt="Häkchen = Start inhaltliche Arbeit aller Maßnahmen im Kalender anzeigen (sofern die Maßnahme unten angehakt ist). Häkchen entfernen = alle I-Marker ausgeblendet." sqref="BS5"/>
    <dataValidation allowBlank="1" showInputMessage="1" promptTitle="Alle PAL (P)" prompt="Häkchen = PAL aller Maßnahmen im Kalender anzeigen (sofern die Maßnahme unten angehakt ist). Häkchen entfernen = alle P-Marker ausgeblendet." sqref="BS6"/>
    <dataValidation allowBlank="1" showInputMessage="1" promptTitle="Nur ausgewählte anzeigen" prompt="Häkchen = Kalender und Terminliste zeigen nur die unten angehakten Maßnahmen. Kein Häkchen = alle Maßnahmen (die Häkchen unten bleiben gespeichert)." sqref="A12"/>
    <dataValidation allowBlank="1" showInputMessage="1" promptTitle="Maßnahme auswählen" prompt="Wirkt nur, wenn das Kästchen links neben „Maßnahme“ angehakt ist. Dann erscheinen nur die angehakten Maßnahmen im Kalender." sqref="A13:A32"/>
  </dataValidations>
  <printOptions horizontalCentered="1"/>
  <pageMargins left="0.3" right="0.3" top="0.4" bottom="0.4" header="0.2" footer="0.2"/>
  <pageSetup paperSize="9" scale="56" orientation="landscape"/>
  <headerFooter>
    <oddFooter>&amp;L&amp;8Jahresplanung Außenkommunikation&amp;R&amp;8Seite &amp;P von &amp;N</oddFooter>
  </headerFooter>
  <rowBreaks count="1" manualBreakCount="1">
    <brk id="41" max="16383" man="1"/>
  </rowBreaks>
  <ignoredErrors>
    <ignoredError sqref="B43:CO94"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codeName="Tabelle2">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Plan_Sommer[[#This Row],[Ende]]-Plan_Sommer[[#This Row],[Dauer
in Tage]]</f>
        <v>46481</v>
      </c>
      <c r="G11" s="71">
        <v>2</v>
      </c>
      <c r="H11" s="72">
        <f>F13</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Plan_Sommer[[#This Row],[Ende]]-Plan_Sommer[[#This Row],[Dauer
in Tage]]</f>
        <v>46483</v>
      </c>
      <c r="G13" s="71">
        <v>5</v>
      </c>
      <c r="H13" s="72">
        <f>F14</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Plan_Sommer[[#This Row],[Ende]]-Plan_Sommer[[#This Row],[Dauer
in Tage]]</f>
        <v>46488</v>
      </c>
      <c r="G14" s="71">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Plan_Sommer[[#This Row],[Ende]]-Plan_Sommer[[#This Row],[Dauer
in Tage]]</f>
        <v>46499</v>
      </c>
      <c r="G17" s="71">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conditionalFormatting sqref="I9:BL9 I11:BL45">
    <cfRule type="expression" dxfId="149" priority="1601">
      <formula>COUNTIFS(U_Von,"&lt;="&amp;I$7,U_Bis,"&gt;="&amp;I$7)&gt;0</formula>
    </cfRule>
  </conditionalFormatting>
  <dataValidations count="10">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codeName="Tabelle3">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Plan_Weihnachten[[#This Row],[Ende]]-Plan_Weihnachten[[#This Row],[Dauer
in Tage]]</f>
        <v>46641</v>
      </c>
      <c r="G11" s="71">
        <v>2</v>
      </c>
      <c r="H11" s="72">
        <f>F13</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Plan_Weihnachten[[#This Row],[Ende]]-Plan_Weihnachten[[#This Row],[Dauer
in Tage]]</f>
        <v>46643</v>
      </c>
      <c r="G13" s="71">
        <v>5</v>
      </c>
      <c r="H13" s="72">
        <f>F14</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Plan_Weihnachten[[#This Row],[Ende]]-Plan_Weihnachten[[#This Row],[Dauer
in Tage]]</f>
        <v>46648</v>
      </c>
      <c r="G14" s="71">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Plan_Weihnachten[[#This Row],[Ende]]-Plan_Weihnachten[[#This Row],[Dauer
in Tage]]</f>
        <v>46659</v>
      </c>
      <c r="G17" s="71">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conditionalFormatting sqref="I9:BL9 I11:BL45">
    <cfRule type="expression" dxfId="149" priority="1601">
      <formula>COUNTIFS(U_Von,"&lt;="&amp;I$7,U_Bis,"&gt;="&amp;I$7)&gt;0</formula>
    </cfRule>
  </conditionalFormatting>
  <dataValidations count="10">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4">
    <tabColor rgb="FFF8CBAD"/>
    <pageSetUpPr fitToPage="1"/>
  </sheetPr>
  <dimension ref="B1:H46"/>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row r="23" ht="20" customHeight="1">
      <c r="B23" s="96" t="s">
        <v>168</v>
      </c>
    </row>
    <row r="24" ht="20" customHeight="1">
      <c r="B24" s="98" t="s">
        <v>169</v>
      </c>
      <c r="C24" s="98" t="s">
        <v>170</v>
      </c>
      <c r="D24" s="98" t="s">
        <v>171</v>
      </c>
      <c r="E24" s="98" t="s">
        <v>172</v>
      </c>
    </row>
    <row r="25" ht="18" customHeight="1">
      <c r="B25" s="221"/>
      <c r="C25" s="221"/>
      <c r="D25" s="104"/>
      <c r="E25" s="222">
        <f>IF(AND(ISNUMBER(B25),ISNUMBER(C25)),NETWORKDAYS(B25,C25,Feiertage),"")</f>
      </c>
    </row>
    <row r="26" ht="18" customHeight="1">
      <c r="B26" s="221"/>
      <c r="C26" s="221"/>
      <c r="D26" s="104"/>
      <c r="E26" s="222">
        <f>IF(AND(ISNUMBER(B26),ISNUMBER(C26)),NETWORKDAYS(B26,C26,Feiertage),"")</f>
      </c>
    </row>
    <row r="27" ht="18" customHeight="1">
      <c r="B27" s="221"/>
      <c r="C27" s="221"/>
      <c r="D27" s="104"/>
      <c r="E27" s="222">
        <f>IF(AND(ISNUMBER(B27),ISNUMBER(C27)),NETWORKDAYS(B27,C27,Feiertage),"")</f>
      </c>
    </row>
    <row r="28" ht="18" customHeight="1">
      <c r="B28" s="221"/>
      <c r="C28" s="221"/>
      <c r="D28" s="104"/>
      <c r="E28" s="222">
        <f>IF(AND(ISNUMBER(B28),ISNUMBER(C28)),NETWORKDAYS(B28,C28,Feiertage),"")</f>
      </c>
    </row>
    <row r="29" ht="18" customHeight="1">
      <c r="B29" s="221"/>
      <c r="C29" s="221"/>
      <c r="D29" s="104"/>
      <c r="E29" s="222">
        <f>IF(AND(ISNUMBER(B29),ISNUMBER(C29)),NETWORKDAYS(B29,C29,Feiertage),"")</f>
      </c>
    </row>
    <row r="30" ht="18" customHeight="1">
      <c r="B30" s="221"/>
      <c r="C30" s="221"/>
      <c r="D30" s="104"/>
      <c r="E30" s="222">
        <f>IF(AND(ISNUMBER(B30),ISNUMBER(C30)),NETWORKDAYS(B30,C30,Feiertage),"")</f>
      </c>
    </row>
    <row r="31" ht="18" customHeight="1">
      <c r="B31" s="221"/>
      <c r="C31" s="221"/>
      <c r="D31" s="104"/>
      <c r="E31" s="222">
        <f>IF(AND(ISNUMBER(B31),ISNUMBER(C31)),NETWORKDAYS(B31,C31,Feiertage),"")</f>
      </c>
    </row>
    <row r="32" ht="18" customHeight="1">
      <c r="B32" s="221"/>
      <c r="C32" s="221"/>
      <c r="D32" s="104"/>
      <c r="E32" s="222">
        <f>IF(AND(ISNUMBER(B32),ISNUMBER(C32)),NETWORKDAYS(B32,C32,Feiertage),"")</f>
      </c>
    </row>
    <row r="33" ht="18" customHeight="1">
      <c r="B33" s="221"/>
      <c r="C33" s="221"/>
      <c r="D33" s="104"/>
      <c r="E33" s="222">
        <f>IF(AND(ISNUMBER(B33),ISNUMBER(C33)),NETWORKDAYS(B33,C33,Feiertage),"")</f>
      </c>
    </row>
    <row r="34" ht="18" customHeight="1">
      <c r="B34" s="221"/>
      <c r="C34" s="221"/>
      <c r="D34" s="104"/>
      <c r="E34" s="222">
        <f>IF(AND(ISNUMBER(B34),ISNUMBER(C34)),NETWORKDAYS(B34,C34,Feiertage),"")</f>
      </c>
    </row>
    <row r="35" ht="18" customHeight="1">
      <c r="B35" s="221"/>
      <c r="C35" s="221"/>
      <c r="D35" s="104"/>
      <c r="E35" s="222">
        <f>IF(AND(ISNUMBER(B35),ISNUMBER(C35)),NETWORKDAYS(B35,C35,Feiertage),"")</f>
      </c>
    </row>
    <row r="36" ht="18" customHeight="1">
      <c r="B36" s="221"/>
      <c r="C36" s="221"/>
      <c r="D36" s="104"/>
      <c r="E36" s="222">
        <f>IF(AND(ISNUMBER(B36),ISNUMBER(C36)),NETWORKDAYS(B36,C36,Feiertage),"")</f>
      </c>
    </row>
    <row r="37" ht="18" customHeight="1">
      <c r="B37" s="221"/>
      <c r="C37" s="221"/>
      <c r="D37" s="104"/>
      <c r="E37" s="222">
        <f>IF(AND(ISNUMBER(B37),ISNUMBER(C37)),NETWORKDAYS(B37,C37,Feiertage),"")</f>
      </c>
    </row>
    <row r="38" ht="18" customHeight="1">
      <c r="B38" s="221"/>
      <c r="C38" s="221"/>
      <c r="D38" s="104"/>
      <c r="E38" s="222">
        <f>IF(AND(ISNUMBER(B38),ISNUMBER(C38)),NETWORKDAYS(B38,C38,Feiertage),"")</f>
      </c>
    </row>
    <row r="39" ht="18" customHeight="1">
      <c r="B39" s="221"/>
      <c r="C39" s="221"/>
      <c r="D39" s="104"/>
      <c r="E39" s="222">
        <f>IF(AND(ISNUMBER(B39),ISNUMBER(C39)),NETWORKDAYS(B39,C39,Feiertage),"")</f>
      </c>
    </row>
    <row r="40" ht="18" customHeight="1">
      <c r="B40" s="221"/>
      <c r="C40" s="221"/>
      <c r="D40" s="104"/>
      <c r="E40" s="222">
        <f>IF(AND(ISNUMBER(B40),ISNUMBER(C40)),NETWORKDAYS(B40,C40,Feiertage),"")</f>
      </c>
    </row>
    <row r="41" ht="18" customHeight="1">
      <c r="B41" s="221"/>
      <c r="C41" s="221"/>
      <c r="D41" s="104"/>
      <c r="E41" s="222">
        <f>IF(AND(ISNUMBER(B41),ISNUMBER(C41)),NETWORKDAYS(B41,C41,Feiertage),"")</f>
      </c>
    </row>
    <row r="42" ht="18" customHeight="1">
      <c r="B42" s="221"/>
      <c r="C42" s="221"/>
      <c r="D42" s="104"/>
      <c r="E42" s="222">
        <f>IF(AND(ISNUMBER(B42),ISNUMBER(C42)),NETWORKDAYS(B42,C42,Feiertage),"")</f>
      </c>
    </row>
    <row r="43" ht="18" customHeight="1">
      <c r="B43" s="221"/>
      <c r="C43" s="221"/>
      <c r="D43" s="104"/>
      <c r="E43" s="222">
        <f>IF(AND(ISNUMBER(B43),ISNUMBER(C43)),NETWORKDAYS(B43,C43,Feiertage),"")</f>
      </c>
    </row>
    <row r="44" ht="18" customHeight="1">
      <c r="B44" s="221"/>
      <c r="C44" s="221"/>
      <c r="D44" s="104"/>
      <c r="E44" s="222">
        <f>IF(AND(ISNUMBER(B44),ISNUMBER(C44)),NETWORKDAYS(B44,C44,Feiertage),"")</f>
      </c>
    </row>
    <row r="46">
      <c r="B46" s="119" t="s">
        <v>173</v>
      </c>
    </row>
  </sheetData>
  <mergeCells count="4">
    <mergeCell ref="B2:H2"/>
    <mergeCell ref="B21:E21"/>
    <mergeCell ref="B23:E23"/>
    <mergeCell ref="B46:E46"/>
  </mergeCells>
  <dataValidations count="2">
    <dataValidation type="date" operator="greaterThan" allowBlank="1" showInputMessage="1" showErrorMessage="1" promptTitle="Urlaub von" prompt="Erster Urlaubstag, z. B. 12.07.2027" errorTitle="Datum" error="Bitte ein Datum eingeben." sqref="B25:B44">
      <formula1>36526</formula1>
    </dataValidation>
    <dataValidation type="date" operator="greaterThanOrEqual" allowBlank="1" showInputMessage="1" showErrorMessage="1" promptTitle="Urlaub bis" prompt="Letzter Urlaubstag (gleich oder nach „Von“)" errorTitle="Datum" error="„Bis“ muss gleich oder nach „Von“ liegen." sqref="C25:C44">
      <formula1>B25</formula1>
    </dataValidation>
  </dataValidations>
  <printOptions horizontalCentered="1"/>
  <pageMargins left="0.3" right="0.3" top="0.4" bottom="0.4" header="0.2" footer="0.2"/>
  <pageSetup paperSize="9" fitToHeight="0" orientation="portrait"/>
</worksheet>
</file>

<file path=xl/worksheets/sheet5.xml><?xml version="1.0" encoding="utf-8"?>
<worksheet xmlns="http://schemas.openxmlformats.org/spreadsheetml/2006/main" xmlns:r="http://schemas.openxmlformats.org/officeDocument/2006/relationships">
  <sheetPr codeName="Tabelle5"/>
  <dimension ref="A1:BH59"/>
  <sheetViews>
    <sheetView workbookViewId="0"/>
  </sheetViews>
  <sheetFormatPr defaultRowHeight="15"/>
  <cols>
    <col min="2" max="2" width="30" customWidth="1"/>
    <col min="3" max="3" width="40" customWidth="1"/>
  </cols>
  <sheetData>
    <row r="1">
      <c r="A1" t="inlineStr">
        <is>
          <t>Nr</t>
        </is>
      </c>
      <c r="B1" t="inlineStr">
        <is>
          <t>Maßnahme</t>
        </is>
      </c>
      <c r="C1" t="inlineStr">
        <is>
          <t>PAL</t>
        </is>
      </c>
      <c r="D1" t="inlineStr">
        <is>
          <t>Rang</t>
        </is>
      </c>
      <c r="E1" t="inlineStr">
        <is>
          <t>Farbe</t>
        </is>
      </c>
      <c r="F1" t="inlineStr">
        <is>
          <t>sichtbar</t>
        </is>
      </c>
      <c r="G1" t="inlineStr">
        <is>
          <t>Start Sel.</t>
        </is>
      </c>
      <c r="H1" t="inlineStr">
        <is>
          <t>Start Inhalt</t>
        </is>
      </c>
      <c r="I1" t="inlineStr">
        <is>
          <t>S zeigen</t>
        </is>
      </c>
      <c r="J1" t="inlineStr">
        <is>
          <t>I zeigen</t>
        </is>
      </c>
      <c r="K1" t="inlineStr">
        <is>
          <t>P zeigen</t>
        </is>
      </c>
      <c r="M1" t="inlineStr">
        <is>
          <t>Termine M1</t>
        </is>
      </c>
      <c r="N1" t="inlineStr">
        <is>
          <t>Text M1</t>
        </is>
      </c>
      <c r="O1" t="inlineStr">
        <is>
          <t>Zähler M1</t>
        </is>
      </c>
      <c r="P1" t="inlineStr">
        <is>
          <t>ab 3. M1</t>
        </is>
      </c>
      <c r="Q1" t="inlineStr">
        <is>
          <t>Termine M2</t>
        </is>
      </c>
      <c r="R1" t="inlineStr">
        <is>
          <t>Text M2</t>
        </is>
      </c>
      <c r="S1" t="inlineStr">
        <is>
          <t>Zähler M2</t>
        </is>
      </c>
      <c r="T1" t="inlineStr">
        <is>
          <t>ab 3. M2</t>
        </is>
      </c>
      <c r="U1" t="inlineStr">
        <is>
          <t>Termine M3</t>
        </is>
      </c>
      <c r="V1" t="inlineStr">
        <is>
          <t>Text M3</t>
        </is>
      </c>
      <c r="W1" t="inlineStr">
        <is>
          <t>Zähler M3</t>
        </is>
      </c>
      <c r="X1" t="inlineStr">
        <is>
          <t>ab 3. M3</t>
        </is>
      </c>
      <c r="Y1" t="inlineStr">
        <is>
          <t>Termine M4</t>
        </is>
      </c>
      <c r="Z1" t="inlineStr">
        <is>
          <t>Text M4</t>
        </is>
      </c>
      <c r="AA1" t="inlineStr">
        <is>
          <t>Zähler M4</t>
        </is>
      </c>
      <c r="AB1" t="inlineStr">
        <is>
          <t>ab 3. M4</t>
        </is>
      </c>
      <c r="AC1" t="inlineStr">
        <is>
          <t>Termine M5</t>
        </is>
      </c>
      <c r="AD1" t="inlineStr">
        <is>
          <t>Text M5</t>
        </is>
      </c>
      <c r="AE1" t="inlineStr">
        <is>
          <t>Zähler M5</t>
        </is>
      </c>
      <c r="AF1" t="inlineStr">
        <is>
          <t>ab 3. M5</t>
        </is>
      </c>
      <c r="AG1" t="inlineStr">
        <is>
          <t>Termine M6</t>
        </is>
      </c>
      <c r="AH1" t="inlineStr">
        <is>
          <t>Text M6</t>
        </is>
      </c>
      <c r="AI1" t="inlineStr">
        <is>
          <t>Zähler M6</t>
        </is>
      </c>
      <c r="AJ1" t="inlineStr">
        <is>
          <t>ab 3. M6</t>
        </is>
      </c>
      <c r="AK1" t="inlineStr">
        <is>
          <t>Termine M7</t>
        </is>
      </c>
      <c r="AL1" t="inlineStr">
        <is>
          <t>Text M7</t>
        </is>
      </c>
      <c r="AM1" t="inlineStr">
        <is>
          <t>Zähler M7</t>
        </is>
      </c>
      <c r="AN1" t="inlineStr">
        <is>
          <t>ab 3. M7</t>
        </is>
      </c>
      <c r="AO1" t="inlineStr">
        <is>
          <t>Termine M8</t>
        </is>
      </c>
      <c r="AP1" t="inlineStr">
        <is>
          <t>Text M8</t>
        </is>
      </c>
      <c r="AQ1" t="inlineStr">
        <is>
          <t>Zähler M8</t>
        </is>
      </c>
      <c r="AR1" t="inlineStr">
        <is>
          <t>ab 3. M8</t>
        </is>
      </c>
      <c r="AS1" t="inlineStr">
        <is>
          <t>Termine M9</t>
        </is>
      </c>
      <c r="AT1" t="inlineStr">
        <is>
          <t>Text M9</t>
        </is>
      </c>
      <c r="AU1" t="inlineStr">
        <is>
          <t>Zähler M9</t>
        </is>
      </c>
      <c r="AV1" t="inlineStr">
        <is>
          <t>ab 3. M9</t>
        </is>
      </c>
      <c r="AW1" t="inlineStr">
        <is>
          <t>Termine M10</t>
        </is>
      </c>
      <c r="AX1" t="inlineStr">
        <is>
          <t>Text M10</t>
        </is>
      </c>
      <c r="AY1" t="inlineStr">
        <is>
          <t>Zähler M10</t>
        </is>
      </c>
      <c r="AZ1" t="inlineStr">
        <is>
          <t>ab 3. M10</t>
        </is>
      </c>
      <c r="BA1" t="inlineStr">
        <is>
          <t>Termine M11</t>
        </is>
      </c>
      <c r="BB1" t="inlineStr">
        <is>
          <t>Text M11</t>
        </is>
      </c>
      <c r="BC1" t="inlineStr">
        <is>
          <t>Zähler M11</t>
        </is>
      </c>
      <c r="BD1" t="inlineStr">
        <is>
          <t>ab 3. M11</t>
        </is>
      </c>
      <c r="BE1" t="inlineStr">
        <is>
          <t>Termine M12</t>
        </is>
      </c>
      <c r="BF1" t="inlineStr">
        <is>
          <t>Text M12</t>
        </is>
      </c>
      <c r="BG1" t="inlineStr">
        <is>
          <t>Zähler M12</t>
        </is>
      </c>
      <c r="BH1" t="inlineStr">
        <is>
          <t>ab 3. M12</t>
        </is>
      </c>
    </row>
    <row r="2">
      <c r="A2">
        <v>1</v>
      </c>
      <c r="B2" t="str">
        <f>INDEX(JP_Massnahme,A2)&amp;""</f>
      </c>
      <c r="C2">
        <f>INDEX(JP_PAL,A2)</f>
      </c>
      <c r="D2">
        <f>IF(AND(ISNUMBER(C2),C2&gt;0),COUNTIF(JP_PAL,"&lt;"&amp;C2)+COUNTIF(INDEX(JP_PAL,1):INDEX(JP_PAL,A2),C2),"")</f>
      </c>
      <c r="E2">
        <f>IF(D2="",0,MOD(D2-1,10)+1)</f>
      </c>
      <c r="F2" t="b">
        <f>OR(NOT(Filter_Aktiv),INDEX(JP_Anzeige,A2)=TRUE)</f>
      </c>
      <c r="G2">
        <f>INDEX(JP_StartSel,A2)</f>
      </c>
      <c r="H2">
        <f>INDEX(JP_StartInhalt,A2)</f>
      </c>
      <c r="I2" t="b">
        <f>AND(F2,Anzeige_S,ISNUMBER(G2))</f>
      </c>
      <c r="J2" t="b">
        <f>AND(F2,Anzeige_I,ISNUMBER(H2))</f>
      </c>
      <c r="K2" t="b">
        <f>AND(F2,Anzeige_P,ISNUMBER(C2),C2&gt;0)</f>
      </c>
      <c r="M2" t="str">
        <f>_xlfn.TEXTJOIN(" · ",TRUE,IF(I2,IF(AND(YEAR(G2)=Planungsjahr,MONTH(G2)=1),"S "&amp;TEXT(DAY(G2),"00")&amp;"."&amp;TEXT(MONTH(G2),"00")&amp;".",""),""),IF(J2,IF(AND(YEAR(H2)=Planungsjahr,MONTH(H2)=1),"I "&amp;TEXT(DAY(H2),"00")&amp;"."&amp;TEXT(MONTH(H2),"00")&amp;".",""),""),IF(K2,IF(AND(YEAR(C2)=Planungsjahr,MONTH(C2)=1),"P "&amp;TEXT(DAY(C2),"00")&amp;"."&amp;TEXT(MONTH(C2),"00")&amp;".",""),""))</f>
      </c>
      <c r="N2" t="str">
        <f>IF(M2="","",B2&amp;":  "&amp;M2)</f>
      </c>
      <c r="O2">
        <f>(N2&lt;&gt;"")*1</f>
      </c>
      <c r="P2" t="str">
        <f>IF(AND(N2&lt;&gt;"",O2&gt;=3),N2,"")</f>
      </c>
      <c r="Q2" t="str">
        <f>_xlfn.TEXTJOIN(" · ",TRUE,IF(I2,IF(AND(YEAR(G2)=Planungsjahr,MONTH(G2)=2),"S "&amp;TEXT(DAY(G2),"00")&amp;"."&amp;TEXT(MONTH(G2),"00")&amp;".",""),""),IF(J2,IF(AND(YEAR(H2)=Planungsjahr,MONTH(H2)=2),"I "&amp;TEXT(DAY(H2),"00")&amp;"."&amp;TEXT(MONTH(H2),"00")&amp;".",""),""),IF(K2,IF(AND(YEAR(C2)=Planungsjahr,MONTH(C2)=2),"P "&amp;TEXT(DAY(C2),"00")&amp;"."&amp;TEXT(MONTH(C2),"00")&amp;".",""),""))</f>
      </c>
      <c r="R2" t="str">
        <f>IF(Q2="","",B2&amp;":  "&amp;Q2)</f>
      </c>
      <c r="S2">
        <f>(R2&lt;&gt;"")*1</f>
      </c>
      <c r="T2" t="str">
        <f>IF(AND(R2&lt;&gt;"",S2&gt;=3),R2,"")</f>
      </c>
      <c r="U2" t="str">
        <f>_xlfn.TEXTJOIN(" · ",TRUE,IF(I2,IF(AND(YEAR(G2)=Planungsjahr,MONTH(G2)=3),"S "&amp;TEXT(DAY(G2),"00")&amp;"."&amp;TEXT(MONTH(G2),"00")&amp;".",""),""),IF(J2,IF(AND(YEAR(H2)=Planungsjahr,MONTH(H2)=3),"I "&amp;TEXT(DAY(H2),"00")&amp;"."&amp;TEXT(MONTH(H2),"00")&amp;".",""),""),IF(K2,IF(AND(YEAR(C2)=Planungsjahr,MONTH(C2)=3),"P "&amp;TEXT(DAY(C2),"00")&amp;"."&amp;TEXT(MONTH(C2),"00")&amp;".",""),""))</f>
      </c>
      <c r="V2" t="str">
        <f>IF(U2="","",B2&amp;":  "&amp;U2)</f>
      </c>
      <c r="W2">
        <f>(V2&lt;&gt;"")*1</f>
      </c>
      <c r="X2" t="str">
        <f>IF(AND(V2&lt;&gt;"",W2&gt;=3),V2,"")</f>
      </c>
      <c r="Y2" t="str">
        <f>_xlfn.TEXTJOIN(" · ",TRUE,IF(I2,IF(AND(YEAR(G2)=Planungsjahr,MONTH(G2)=4),"S "&amp;TEXT(DAY(G2),"00")&amp;"."&amp;TEXT(MONTH(G2),"00")&amp;".",""),""),IF(J2,IF(AND(YEAR(H2)=Planungsjahr,MONTH(H2)=4),"I "&amp;TEXT(DAY(H2),"00")&amp;"."&amp;TEXT(MONTH(H2),"00")&amp;".",""),""),IF(K2,IF(AND(YEAR(C2)=Planungsjahr,MONTH(C2)=4),"P "&amp;TEXT(DAY(C2),"00")&amp;"."&amp;TEXT(MONTH(C2),"00")&amp;".",""),""))</f>
      </c>
      <c r="Z2" t="str">
        <f>IF(Y2="","",B2&amp;":  "&amp;Y2)</f>
      </c>
      <c r="AA2">
        <f>(Z2&lt;&gt;"")*1</f>
      </c>
      <c r="AB2" t="str">
        <f>IF(AND(Z2&lt;&gt;"",AA2&gt;=3),Z2,"")</f>
      </c>
      <c r="AC2" t="str">
        <f>_xlfn.TEXTJOIN(" · ",TRUE,IF(I2,IF(AND(YEAR(G2)=Planungsjahr,MONTH(G2)=5),"S "&amp;TEXT(DAY(G2),"00")&amp;"."&amp;TEXT(MONTH(G2),"00")&amp;".",""),""),IF(J2,IF(AND(YEAR(H2)=Planungsjahr,MONTH(H2)=5),"I "&amp;TEXT(DAY(H2),"00")&amp;"."&amp;TEXT(MONTH(H2),"00")&amp;".",""),""),IF(K2,IF(AND(YEAR(C2)=Planungsjahr,MONTH(C2)=5),"P "&amp;TEXT(DAY(C2),"00")&amp;"."&amp;TEXT(MONTH(C2),"00")&amp;".",""),""))</f>
      </c>
      <c r="AD2" t="str">
        <f>IF(AC2="","",B2&amp;":  "&amp;AC2)</f>
      </c>
      <c r="AE2">
        <f>(AD2&lt;&gt;"")*1</f>
      </c>
      <c r="AF2" t="str">
        <f>IF(AND(AD2&lt;&gt;"",AE2&gt;=3),AD2,"")</f>
      </c>
      <c r="AG2" t="str">
        <f>_xlfn.TEXTJOIN(" · ",TRUE,IF(I2,IF(AND(YEAR(G2)=Planungsjahr,MONTH(G2)=6),"S "&amp;TEXT(DAY(G2),"00")&amp;"."&amp;TEXT(MONTH(G2),"00")&amp;".",""),""),IF(J2,IF(AND(YEAR(H2)=Planungsjahr,MONTH(H2)=6),"I "&amp;TEXT(DAY(H2),"00")&amp;"."&amp;TEXT(MONTH(H2),"00")&amp;".",""),""),IF(K2,IF(AND(YEAR(C2)=Planungsjahr,MONTH(C2)=6),"P "&amp;TEXT(DAY(C2),"00")&amp;"."&amp;TEXT(MONTH(C2),"00")&amp;".",""),""))</f>
      </c>
      <c r="AH2" t="str">
        <f>IF(AG2="","",B2&amp;":  "&amp;AG2)</f>
      </c>
      <c r="AI2">
        <f>(AH2&lt;&gt;"")*1</f>
      </c>
      <c r="AJ2" t="str">
        <f>IF(AND(AH2&lt;&gt;"",AI2&gt;=3),AH2,"")</f>
      </c>
      <c r="AK2" t="str">
        <f>_xlfn.TEXTJOIN(" · ",TRUE,IF(I2,IF(AND(YEAR(G2)=Planungsjahr,MONTH(G2)=7),"S "&amp;TEXT(DAY(G2),"00")&amp;"."&amp;TEXT(MONTH(G2),"00")&amp;".",""),""),IF(J2,IF(AND(YEAR(H2)=Planungsjahr,MONTH(H2)=7),"I "&amp;TEXT(DAY(H2),"00")&amp;"."&amp;TEXT(MONTH(H2),"00")&amp;".",""),""),IF(K2,IF(AND(YEAR(C2)=Planungsjahr,MONTH(C2)=7),"P "&amp;TEXT(DAY(C2),"00")&amp;"."&amp;TEXT(MONTH(C2),"00")&amp;".",""),""))</f>
      </c>
      <c r="AL2" t="str">
        <f>IF(AK2="","",B2&amp;":  "&amp;AK2)</f>
      </c>
      <c r="AM2">
        <f>(AL2&lt;&gt;"")*1</f>
      </c>
      <c r="AN2" t="str">
        <f>IF(AND(AL2&lt;&gt;"",AM2&gt;=3),AL2,"")</f>
      </c>
      <c r="AO2" t="str">
        <f>_xlfn.TEXTJOIN(" · ",TRUE,IF(I2,IF(AND(YEAR(G2)=Planungsjahr,MONTH(G2)=8),"S "&amp;TEXT(DAY(G2),"00")&amp;"."&amp;TEXT(MONTH(G2),"00")&amp;".",""),""),IF(J2,IF(AND(YEAR(H2)=Planungsjahr,MONTH(H2)=8),"I "&amp;TEXT(DAY(H2),"00")&amp;"."&amp;TEXT(MONTH(H2),"00")&amp;".",""),""),IF(K2,IF(AND(YEAR(C2)=Planungsjahr,MONTH(C2)=8),"P "&amp;TEXT(DAY(C2),"00")&amp;"."&amp;TEXT(MONTH(C2),"00")&amp;".",""),""))</f>
      </c>
      <c r="AP2" t="str">
        <f>IF(AO2="","",B2&amp;":  "&amp;AO2)</f>
      </c>
      <c r="AQ2">
        <f>(AP2&lt;&gt;"")*1</f>
      </c>
      <c r="AR2" t="str">
        <f>IF(AND(AP2&lt;&gt;"",AQ2&gt;=3),AP2,"")</f>
      </c>
      <c r="AS2" t="str">
        <f>_xlfn.TEXTJOIN(" · ",TRUE,IF(I2,IF(AND(YEAR(G2)=Planungsjahr,MONTH(G2)=9),"S "&amp;TEXT(DAY(G2),"00")&amp;"."&amp;TEXT(MONTH(G2),"00")&amp;".",""),""),IF(J2,IF(AND(YEAR(H2)=Planungsjahr,MONTH(H2)=9),"I "&amp;TEXT(DAY(H2),"00")&amp;"."&amp;TEXT(MONTH(H2),"00")&amp;".",""),""),IF(K2,IF(AND(YEAR(C2)=Planungsjahr,MONTH(C2)=9),"P "&amp;TEXT(DAY(C2),"00")&amp;"."&amp;TEXT(MONTH(C2),"00")&amp;".",""),""))</f>
      </c>
      <c r="AT2" t="str">
        <f>IF(AS2="","",B2&amp;":  "&amp;AS2)</f>
      </c>
      <c r="AU2">
        <f>(AT2&lt;&gt;"")*1</f>
      </c>
      <c r="AV2" t="str">
        <f>IF(AND(AT2&lt;&gt;"",AU2&gt;=3),AT2,"")</f>
      </c>
      <c r="AW2" t="str">
        <f>_xlfn.TEXTJOIN(" · ",TRUE,IF(I2,IF(AND(YEAR(G2)=Planungsjahr,MONTH(G2)=10),"S "&amp;TEXT(DAY(G2),"00")&amp;"."&amp;TEXT(MONTH(G2),"00")&amp;".",""),""),IF(J2,IF(AND(YEAR(H2)=Planungsjahr,MONTH(H2)=10),"I "&amp;TEXT(DAY(H2),"00")&amp;"."&amp;TEXT(MONTH(H2),"00")&amp;".",""),""),IF(K2,IF(AND(YEAR(C2)=Planungsjahr,MONTH(C2)=10),"P "&amp;TEXT(DAY(C2),"00")&amp;"."&amp;TEXT(MONTH(C2),"00")&amp;".",""),""))</f>
      </c>
      <c r="AX2" t="str">
        <f>IF(AW2="","",B2&amp;":  "&amp;AW2)</f>
      </c>
      <c r="AY2">
        <f>(AX2&lt;&gt;"")*1</f>
      </c>
      <c r="AZ2" t="str">
        <f>IF(AND(AX2&lt;&gt;"",AY2&gt;=3),AX2,"")</f>
      </c>
      <c r="BA2" t="str">
        <f>_xlfn.TEXTJOIN(" · ",TRUE,IF(I2,IF(AND(YEAR(G2)=Planungsjahr,MONTH(G2)=11),"S "&amp;TEXT(DAY(G2),"00")&amp;"."&amp;TEXT(MONTH(G2),"00")&amp;".",""),""),IF(J2,IF(AND(YEAR(H2)=Planungsjahr,MONTH(H2)=11),"I "&amp;TEXT(DAY(H2),"00")&amp;"."&amp;TEXT(MONTH(H2),"00")&amp;".",""),""),IF(K2,IF(AND(YEAR(C2)=Planungsjahr,MONTH(C2)=11),"P "&amp;TEXT(DAY(C2),"00")&amp;"."&amp;TEXT(MONTH(C2),"00")&amp;".",""),""))</f>
      </c>
      <c r="BB2" t="str">
        <f>IF(BA2="","",B2&amp;":  "&amp;BA2)</f>
      </c>
      <c r="BC2">
        <f>(BB2&lt;&gt;"")*1</f>
      </c>
      <c r="BD2" t="str">
        <f>IF(AND(BB2&lt;&gt;"",BC2&gt;=3),BB2,"")</f>
      </c>
      <c r="BE2" t="str">
        <f>_xlfn.TEXTJOIN(" · ",TRUE,IF(I2,IF(AND(YEAR(G2)=Planungsjahr,MONTH(G2)=12),"S "&amp;TEXT(DAY(G2),"00")&amp;"."&amp;TEXT(MONTH(G2),"00")&amp;".",""),""),IF(J2,IF(AND(YEAR(H2)=Planungsjahr,MONTH(H2)=12),"I "&amp;TEXT(DAY(H2),"00")&amp;"."&amp;TEXT(MONTH(H2),"00")&amp;".",""),""),IF(K2,IF(AND(YEAR(C2)=Planungsjahr,MONTH(C2)=12),"P "&amp;TEXT(DAY(C2),"00")&amp;"."&amp;TEXT(MONTH(C2),"00")&amp;".",""),""))</f>
      </c>
      <c r="BF2" t="str">
        <f>IF(BE2="","",B2&amp;":  "&amp;BE2)</f>
      </c>
      <c r="BG2">
        <f>(BF2&lt;&gt;"")*1</f>
      </c>
      <c r="BH2" t="str">
        <f>IF(AND(BF2&lt;&gt;"",BG2&gt;=3),BF2,"")</f>
      </c>
    </row>
    <row r="3">
      <c r="A3">
        <v>2</v>
      </c>
      <c r="B3" t="str">
        <f>INDEX(JP_Massnahme,A3)&amp;""</f>
      </c>
      <c r="C3">
        <f>INDEX(JP_PAL,A3)</f>
      </c>
      <c r="D3">
        <f>IF(AND(ISNUMBER(C3),C3&gt;0),COUNTIF(JP_PAL,"&lt;"&amp;C3)+COUNTIF(INDEX(JP_PAL,1):INDEX(JP_PAL,A3),C3),"")</f>
      </c>
      <c r="E3">
        <f>IF(D3="",0,MOD(D3-1,10)+1)</f>
      </c>
      <c r="F3" t="b">
        <f>OR(NOT(Filter_Aktiv),INDEX(JP_Anzeige,A3)=TRUE)</f>
      </c>
      <c r="G3">
        <f>INDEX(JP_StartSel,A3)</f>
      </c>
      <c r="H3">
        <f>INDEX(JP_StartInhalt,A3)</f>
      </c>
      <c r="I3" t="b">
        <f>AND(F3,Anzeige_S,ISNUMBER(G3))</f>
      </c>
      <c r="J3" t="b">
        <f>AND(F3,Anzeige_I,ISNUMBER(H3))</f>
      </c>
      <c r="K3" t="b">
        <f>AND(F3,Anzeige_P,ISNUMBER(C3),C3&gt;0)</f>
      </c>
      <c r="M3" t="str">
        <f>_xlfn.TEXTJOIN(" · ",TRUE,IF(I3,IF(AND(YEAR(G3)=Planungsjahr,MONTH(G3)=1),"S "&amp;TEXT(DAY(G3),"00")&amp;"."&amp;TEXT(MONTH(G3),"00")&amp;".",""),""),IF(J3,IF(AND(YEAR(H3)=Planungsjahr,MONTH(H3)=1),"I "&amp;TEXT(DAY(H3),"00")&amp;"."&amp;TEXT(MONTH(H3),"00")&amp;".",""),""),IF(K3,IF(AND(YEAR(C3)=Planungsjahr,MONTH(C3)=1),"P "&amp;TEXT(DAY(C3),"00")&amp;"."&amp;TEXT(MONTH(C3),"00")&amp;".",""),""))</f>
      </c>
      <c r="N3" t="str">
        <f>IF(M3="","",B3&amp;":  "&amp;M3)</f>
      </c>
      <c r="O3">
        <f>(N3&lt;&gt;"")+O2</f>
      </c>
      <c r="P3" t="str">
        <f>IF(AND(N3&lt;&gt;"",O3&gt;=3),IF(P2="",N3,P2&amp;"     ·     "&amp;N3),P2)</f>
      </c>
      <c r="Q3" t="str">
        <f>_xlfn.TEXTJOIN(" · ",TRUE,IF(I3,IF(AND(YEAR(G3)=Planungsjahr,MONTH(G3)=2),"S "&amp;TEXT(DAY(G3),"00")&amp;"."&amp;TEXT(MONTH(G3),"00")&amp;".",""),""),IF(J3,IF(AND(YEAR(H3)=Planungsjahr,MONTH(H3)=2),"I "&amp;TEXT(DAY(H3),"00")&amp;"."&amp;TEXT(MONTH(H3),"00")&amp;".",""),""),IF(K3,IF(AND(YEAR(C3)=Planungsjahr,MONTH(C3)=2),"P "&amp;TEXT(DAY(C3),"00")&amp;"."&amp;TEXT(MONTH(C3),"00")&amp;".",""),""))</f>
      </c>
      <c r="R3" t="str">
        <f>IF(Q3="","",B3&amp;":  "&amp;Q3)</f>
      </c>
      <c r="S3">
        <f>(R3&lt;&gt;"")+S2</f>
      </c>
      <c r="T3" t="str">
        <f>IF(AND(R3&lt;&gt;"",S3&gt;=3),IF(T2="",R3,T2&amp;"     ·     "&amp;R3),T2)</f>
      </c>
      <c r="U3" t="str">
        <f>_xlfn.TEXTJOIN(" · ",TRUE,IF(I3,IF(AND(YEAR(G3)=Planungsjahr,MONTH(G3)=3),"S "&amp;TEXT(DAY(G3),"00")&amp;"."&amp;TEXT(MONTH(G3),"00")&amp;".",""),""),IF(J3,IF(AND(YEAR(H3)=Planungsjahr,MONTH(H3)=3),"I "&amp;TEXT(DAY(H3),"00")&amp;"."&amp;TEXT(MONTH(H3),"00")&amp;".",""),""),IF(K3,IF(AND(YEAR(C3)=Planungsjahr,MONTH(C3)=3),"P "&amp;TEXT(DAY(C3),"00")&amp;"."&amp;TEXT(MONTH(C3),"00")&amp;".",""),""))</f>
      </c>
      <c r="V3" t="str">
        <f>IF(U3="","",B3&amp;":  "&amp;U3)</f>
      </c>
      <c r="W3">
        <f>(V3&lt;&gt;"")+W2</f>
      </c>
      <c r="X3" t="str">
        <f>IF(AND(V3&lt;&gt;"",W3&gt;=3),IF(X2="",V3,X2&amp;"     ·     "&amp;V3),X2)</f>
      </c>
      <c r="Y3" t="str">
        <f>_xlfn.TEXTJOIN(" · ",TRUE,IF(I3,IF(AND(YEAR(G3)=Planungsjahr,MONTH(G3)=4),"S "&amp;TEXT(DAY(G3),"00")&amp;"."&amp;TEXT(MONTH(G3),"00")&amp;".",""),""),IF(J3,IF(AND(YEAR(H3)=Planungsjahr,MONTH(H3)=4),"I "&amp;TEXT(DAY(H3),"00")&amp;"."&amp;TEXT(MONTH(H3),"00")&amp;".",""),""),IF(K3,IF(AND(YEAR(C3)=Planungsjahr,MONTH(C3)=4),"P "&amp;TEXT(DAY(C3),"00")&amp;"."&amp;TEXT(MONTH(C3),"00")&amp;".",""),""))</f>
      </c>
      <c r="Z3" t="str">
        <f>IF(Y3="","",B3&amp;":  "&amp;Y3)</f>
      </c>
      <c r="AA3">
        <f>(Z3&lt;&gt;"")+AA2</f>
      </c>
      <c r="AB3" t="str">
        <f>IF(AND(Z3&lt;&gt;"",AA3&gt;=3),IF(AB2="",Z3,AB2&amp;"     ·     "&amp;Z3),AB2)</f>
      </c>
      <c r="AC3" t="str">
        <f>_xlfn.TEXTJOIN(" · ",TRUE,IF(I3,IF(AND(YEAR(G3)=Planungsjahr,MONTH(G3)=5),"S "&amp;TEXT(DAY(G3),"00")&amp;"."&amp;TEXT(MONTH(G3),"00")&amp;".",""),""),IF(J3,IF(AND(YEAR(H3)=Planungsjahr,MONTH(H3)=5),"I "&amp;TEXT(DAY(H3),"00")&amp;"."&amp;TEXT(MONTH(H3),"00")&amp;".",""),""),IF(K3,IF(AND(YEAR(C3)=Planungsjahr,MONTH(C3)=5),"P "&amp;TEXT(DAY(C3),"00")&amp;"."&amp;TEXT(MONTH(C3),"00")&amp;".",""),""))</f>
      </c>
      <c r="AD3" t="str">
        <f>IF(AC3="","",B3&amp;":  "&amp;AC3)</f>
      </c>
      <c r="AE3">
        <f>(AD3&lt;&gt;"")+AE2</f>
      </c>
      <c r="AF3" t="str">
        <f>IF(AND(AD3&lt;&gt;"",AE3&gt;=3),IF(AF2="",AD3,AF2&amp;"     ·     "&amp;AD3),AF2)</f>
      </c>
      <c r="AG3" t="str">
        <f>_xlfn.TEXTJOIN(" · ",TRUE,IF(I3,IF(AND(YEAR(G3)=Planungsjahr,MONTH(G3)=6),"S "&amp;TEXT(DAY(G3),"00")&amp;"."&amp;TEXT(MONTH(G3),"00")&amp;".",""),""),IF(J3,IF(AND(YEAR(H3)=Planungsjahr,MONTH(H3)=6),"I "&amp;TEXT(DAY(H3),"00")&amp;"."&amp;TEXT(MONTH(H3),"00")&amp;".",""),""),IF(K3,IF(AND(YEAR(C3)=Planungsjahr,MONTH(C3)=6),"P "&amp;TEXT(DAY(C3),"00")&amp;"."&amp;TEXT(MONTH(C3),"00")&amp;".",""),""))</f>
      </c>
      <c r="AH3" t="str">
        <f>IF(AG3="","",B3&amp;":  "&amp;AG3)</f>
      </c>
      <c r="AI3">
        <f>(AH3&lt;&gt;"")+AI2</f>
      </c>
      <c r="AJ3" t="str">
        <f>IF(AND(AH3&lt;&gt;"",AI3&gt;=3),IF(AJ2="",AH3,AJ2&amp;"     ·     "&amp;AH3),AJ2)</f>
      </c>
      <c r="AK3" t="str">
        <f>_xlfn.TEXTJOIN(" · ",TRUE,IF(I3,IF(AND(YEAR(G3)=Planungsjahr,MONTH(G3)=7),"S "&amp;TEXT(DAY(G3),"00")&amp;"."&amp;TEXT(MONTH(G3),"00")&amp;".",""),""),IF(J3,IF(AND(YEAR(H3)=Planungsjahr,MONTH(H3)=7),"I "&amp;TEXT(DAY(H3),"00")&amp;"."&amp;TEXT(MONTH(H3),"00")&amp;".",""),""),IF(K3,IF(AND(YEAR(C3)=Planungsjahr,MONTH(C3)=7),"P "&amp;TEXT(DAY(C3),"00")&amp;"."&amp;TEXT(MONTH(C3),"00")&amp;".",""),""))</f>
      </c>
      <c r="AL3" t="str">
        <f>IF(AK3="","",B3&amp;":  "&amp;AK3)</f>
      </c>
      <c r="AM3">
        <f>(AL3&lt;&gt;"")+AM2</f>
      </c>
      <c r="AN3" t="str">
        <f>IF(AND(AL3&lt;&gt;"",AM3&gt;=3),IF(AN2="",AL3,AN2&amp;"     ·     "&amp;AL3),AN2)</f>
      </c>
      <c r="AO3" t="str">
        <f>_xlfn.TEXTJOIN(" · ",TRUE,IF(I3,IF(AND(YEAR(G3)=Planungsjahr,MONTH(G3)=8),"S "&amp;TEXT(DAY(G3),"00")&amp;"."&amp;TEXT(MONTH(G3),"00")&amp;".",""),""),IF(J3,IF(AND(YEAR(H3)=Planungsjahr,MONTH(H3)=8),"I "&amp;TEXT(DAY(H3),"00")&amp;"."&amp;TEXT(MONTH(H3),"00")&amp;".",""),""),IF(K3,IF(AND(YEAR(C3)=Planungsjahr,MONTH(C3)=8),"P "&amp;TEXT(DAY(C3),"00")&amp;"."&amp;TEXT(MONTH(C3),"00")&amp;".",""),""))</f>
      </c>
      <c r="AP3" t="str">
        <f>IF(AO3="","",B3&amp;":  "&amp;AO3)</f>
      </c>
      <c r="AQ3">
        <f>(AP3&lt;&gt;"")+AQ2</f>
      </c>
      <c r="AR3" t="str">
        <f>IF(AND(AP3&lt;&gt;"",AQ3&gt;=3),IF(AR2="",AP3,AR2&amp;"     ·     "&amp;AP3),AR2)</f>
      </c>
      <c r="AS3" t="str">
        <f>_xlfn.TEXTJOIN(" · ",TRUE,IF(I3,IF(AND(YEAR(G3)=Planungsjahr,MONTH(G3)=9),"S "&amp;TEXT(DAY(G3),"00")&amp;"."&amp;TEXT(MONTH(G3),"00")&amp;".",""),""),IF(J3,IF(AND(YEAR(H3)=Planungsjahr,MONTH(H3)=9),"I "&amp;TEXT(DAY(H3),"00")&amp;"."&amp;TEXT(MONTH(H3),"00")&amp;".",""),""),IF(K3,IF(AND(YEAR(C3)=Planungsjahr,MONTH(C3)=9),"P "&amp;TEXT(DAY(C3),"00")&amp;"."&amp;TEXT(MONTH(C3),"00")&amp;".",""),""))</f>
      </c>
      <c r="AT3" t="str">
        <f>IF(AS3="","",B3&amp;":  "&amp;AS3)</f>
      </c>
      <c r="AU3">
        <f>(AT3&lt;&gt;"")+AU2</f>
      </c>
      <c r="AV3" t="str">
        <f>IF(AND(AT3&lt;&gt;"",AU3&gt;=3),IF(AV2="",AT3,AV2&amp;"     ·     "&amp;AT3),AV2)</f>
      </c>
      <c r="AW3" t="str">
        <f>_xlfn.TEXTJOIN(" · ",TRUE,IF(I3,IF(AND(YEAR(G3)=Planungsjahr,MONTH(G3)=10),"S "&amp;TEXT(DAY(G3),"00")&amp;"."&amp;TEXT(MONTH(G3),"00")&amp;".",""),""),IF(J3,IF(AND(YEAR(H3)=Planungsjahr,MONTH(H3)=10),"I "&amp;TEXT(DAY(H3),"00")&amp;"."&amp;TEXT(MONTH(H3),"00")&amp;".",""),""),IF(K3,IF(AND(YEAR(C3)=Planungsjahr,MONTH(C3)=10),"P "&amp;TEXT(DAY(C3),"00")&amp;"."&amp;TEXT(MONTH(C3),"00")&amp;".",""),""))</f>
      </c>
      <c r="AX3" t="str">
        <f>IF(AW3="","",B3&amp;":  "&amp;AW3)</f>
      </c>
      <c r="AY3">
        <f>(AX3&lt;&gt;"")+AY2</f>
      </c>
      <c r="AZ3" t="str">
        <f>IF(AND(AX3&lt;&gt;"",AY3&gt;=3),IF(AZ2="",AX3,AZ2&amp;"     ·     "&amp;AX3),AZ2)</f>
      </c>
      <c r="BA3" t="str">
        <f>_xlfn.TEXTJOIN(" · ",TRUE,IF(I3,IF(AND(YEAR(G3)=Planungsjahr,MONTH(G3)=11),"S "&amp;TEXT(DAY(G3),"00")&amp;"."&amp;TEXT(MONTH(G3),"00")&amp;".",""),""),IF(J3,IF(AND(YEAR(H3)=Planungsjahr,MONTH(H3)=11),"I "&amp;TEXT(DAY(H3),"00")&amp;"."&amp;TEXT(MONTH(H3),"00")&amp;".",""),""),IF(K3,IF(AND(YEAR(C3)=Planungsjahr,MONTH(C3)=11),"P "&amp;TEXT(DAY(C3),"00")&amp;"."&amp;TEXT(MONTH(C3),"00")&amp;".",""),""))</f>
      </c>
      <c r="BB3" t="str">
        <f>IF(BA3="","",B3&amp;":  "&amp;BA3)</f>
      </c>
      <c r="BC3">
        <f>(BB3&lt;&gt;"")+BC2</f>
      </c>
      <c r="BD3" t="str">
        <f>IF(AND(BB3&lt;&gt;"",BC3&gt;=3),IF(BD2="",BB3,BD2&amp;"     ·     "&amp;BB3),BD2)</f>
      </c>
      <c r="BE3" t="str">
        <f>_xlfn.TEXTJOIN(" · ",TRUE,IF(I3,IF(AND(YEAR(G3)=Planungsjahr,MONTH(G3)=12),"S "&amp;TEXT(DAY(G3),"00")&amp;"."&amp;TEXT(MONTH(G3),"00")&amp;".",""),""),IF(J3,IF(AND(YEAR(H3)=Planungsjahr,MONTH(H3)=12),"I "&amp;TEXT(DAY(H3),"00")&amp;"."&amp;TEXT(MONTH(H3),"00")&amp;".",""),""),IF(K3,IF(AND(YEAR(C3)=Planungsjahr,MONTH(C3)=12),"P "&amp;TEXT(DAY(C3),"00")&amp;"."&amp;TEXT(MONTH(C3),"00")&amp;".",""),""))</f>
      </c>
      <c r="BF3" t="str">
        <f>IF(BE3="","",B3&amp;":  "&amp;BE3)</f>
      </c>
      <c r="BG3">
        <f>(BF3&lt;&gt;"")+BG2</f>
      </c>
      <c r="BH3" t="str">
        <f>IF(AND(BF3&lt;&gt;"",BG3&gt;=3),IF(BH2="",BF3,BH2&amp;"     ·     "&amp;BF3),BH2)</f>
      </c>
    </row>
    <row r="4">
      <c r="A4">
        <v>3</v>
      </c>
      <c r="B4" t="str">
        <f>INDEX(JP_Massnahme,A4)&amp;""</f>
      </c>
      <c r="C4">
        <f>INDEX(JP_PAL,A4)</f>
      </c>
      <c r="D4">
        <f>IF(AND(ISNUMBER(C4),C4&gt;0),COUNTIF(JP_PAL,"&lt;"&amp;C4)+COUNTIF(INDEX(JP_PAL,1):INDEX(JP_PAL,A4),C4),"")</f>
      </c>
      <c r="E4">
        <f>IF(D4="",0,MOD(D4-1,10)+1)</f>
      </c>
      <c r="F4" t="b">
        <f>OR(NOT(Filter_Aktiv),INDEX(JP_Anzeige,A4)=TRUE)</f>
      </c>
      <c r="G4">
        <f>INDEX(JP_StartSel,A4)</f>
      </c>
      <c r="H4">
        <f>INDEX(JP_StartInhalt,A4)</f>
      </c>
      <c r="I4" t="b">
        <f>AND(F4,Anzeige_S,ISNUMBER(G4))</f>
      </c>
      <c r="J4" t="b">
        <f>AND(F4,Anzeige_I,ISNUMBER(H4))</f>
      </c>
      <c r="K4" t="b">
        <f>AND(F4,Anzeige_P,ISNUMBER(C4),C4&gt;0)</f>
      </c>
      <c r="M4" t="str">
        <f>_xlfn.TEXTJOIN(" · ",TRUE,IF(I4,IF(AND(YEAR(G4)=Planungsjahr,MONTH(G4)=1),"S "&amp;TEXT(DAY(G4),"00")&amp;"."&amp;TEXT(MONTH(G4),"00")&amp;".",""),""),IF(J4,IF(AND(YEAR(H4)=Planungsjahr,MONTH(H4)=1),"I "&amp;TEXT(DAY(H4),"00")&amp;"."&amp;TEXT(MONTH(H4),"00")&amp;".",""),""),IF(K4,IF(AND(YEAR(C4)=Planungsjahr,MONTH(C4)=1),"P "&amp;TEXT(DAY(C4),"00")&amp;"."&amp;TEXT(MONTH(C4),"00")&amp;".",""),""))</f>
      </c>
      <c r="N4" t="str">
        <f>IF(M4="","",B4&amp;":  "&amp;M4)</f>
      </c>
      <c r="O4">
        <f>(N4&lt;&gt;"")+O3</f>
      </c>
      <c r="P4" t="str">
        <f>IF(AND(N4&lt;&gt;"",O4&gt;=3),IF(P3="",N4,P3&amp;"     ·     "&amp;N4),P3)</f>
      </c>
      <c r="Q4" t="str">
        <f>_xlfn.TEXTJOIN(" · ",TRUE,IF(I4,IF(AND(YEAR(G4)=Planungsjahr,MONTH(G4)=2),"S "&amp;TEXT(DAY(G4),"00")&amp;"."&amp;TEXT(MONTH(G4),"00")&amp;".",""),""),IF(J4,IF(AND(YEAR(H4)=Planungsjahr,MONTH(H4)=2),"I "&amp;TEXT(DAY(H4),"00")&amp;"."&amp;TEXT(MONTH(H4),"00")&amp;".",""),""),IF(K4,IF(AND(YEAR(C4)=Planungsjahr,MONTH(C4)=2),"P "&amp;TEXT(DAY(C4),"00")&amp;"."&amp;TEXT(MONTH(C4),"00")&amp;".",""),""))</f>
      </c>
      <c r="R4" t="str">
        <f>IF(Q4="","",B4&amp;":  "&amp;Q4)</f>
      </c>
      <c r="S4">
        <f>(R4&lt;&gt;"")+S3</f>
      </c>
      <c r="T4" t="str">
        <f>IF(AND(R4&lt;&gt;"",S4&gt;=3),IF(T3="",R4,T3&amp;"     ·     "&amp;R4),T3)</f>
      </c>
      <c r="U4" t="str">
        <f>_xlfn.TEXTJOIN(" · ",TRUE,IF(I4,IF(AND(YEAR(G4)=Planungsjahr,MONTH(G4)=3),"S "&amp;TEXT(DAY(G4),"00")&amp;"."&amp;TEXT(MONTH(G4),"00")&amp;".",""),""),IF(J4,IF(AND(YEAR(H4)=Planungsjahr,MONTH(H4)=3),"I "&amp;TEXT(DAY(H4),"00")&amp;"."&amp;TEXT(MONTH(H4),"00")&amp;".",""),""),IF(K4,IF(AND(YEAR(C4)=Planungsjahr,MONTH(C4)=3),"P "&amp;TEXT(DAY(C4),"00")&amp;"."&amp;TEXT(MONTH(C4),"00")&amp;".",""),""))</f>
      </c>
      <c r="V4" t="str">
        <f>IF(U4="","",B4&amp;":  "&amp;U4)</f>
      </c>
      <c r="W4">
        <f>(V4&lt;&gt;"")+W3</f>
      </c>
      <c r="X4" t="str">
        <f>IF(AND(V4&lt;&gt;"",W4&gt;=3),IF(X3="",V4,X3&amp;"     ·     "&amp;V4),X3)</f>
      </c>
      <c r="Y4" t="str">
        <f>_xlfn.TEXTJOIN(" · ",TRUE,IF(I4,IF(AND(YEAR(G4)=Planungsjahr,MONTH(G4)=4),"S "&amp;TEXT(DAY(G4),"00")&amp;"."&amp;TEXT(MONTH(G4),"00")&amp;".",""),""),IF(J4,IF(AND(YEAR(H4)=Planungsjahr,MONTH(H4)=4),"I "&amp;TEXT(DAY(H4),"00")&amp;"."&amp;TEXT(MONTH(H4),"00")&amp;".",""),""),IF(K4,IF(AND(YEAR(C4)=Planungsjahr,MONTH(C4)=4),"P "&amp;TEXT(DAY(C4),"00")&amp;"."&amp;TEXT(MONTH(C4),"00")&amp;".",""),""))</f>
      </c>
      <c r="Z4" t="str">
        <f>IF(Y4="","",B4&amp;":  "&amp;Y4)</f>
      </c>
      <c r="AA4">
        <f>(Z4&lt;&gt;"")+AA3</f>
      </c>
      <c r="AB4" t="str">
        <f>IF(AND(Z4&lt;&gt;"",AA4&gt;=3),IF(AB3="",Z4,AB3&amp;"     ·     "&amp;Z4),AB3)</f>
      </c>
      <c r="AC4" t="str">
        <f>_xlfn.TEXTJOIN(" · ",TRUE,IF(I4,IF(AND(YEAR(G4)=Planungsjahr,MONTH(G4)=5),"S "&amp;TEXT(DAY(G4),"00")&amp;"."&amp;TEXT(MONTH(G4),"00")&amp;".",""),""),IF(J4,IF(AND(YEAR(H4)=Planungsjahr,MONTH(H4)=5),"I "&amp;TEXT(DAY(H4),"00")&amp;"."&amp;TEXT(MONTH(H4),"00")&amp;".",""),""),IF(K4,IF(AND(YEAR(C4)=Planungsjahr,MONTH(C4)=5),"P "&amp;TEXT(DAY(C4),"00")&amp;"."&amp;TEXT(MONTH(C4),"00")&amp;".",""),""))</f>
      </c>
      <c r="AD4" t="str">
        <f>IF(AC4="","",B4&amp;":  "&amp;AC4)</f>
      </c>
      <c r="AE4">
        <f>(AD4&lt;&gt;"")+AE3</f>
      </c>
      <c r="AF4" t="str">
        <f>IF(AND(AD4&lt;&gt;"",AE4&gt;=3),IF(AF3="",AD4,AF3&amp;"     ·     "&amp;AD4),AF3)</f>
      </c>
      <c r="AG4" t="str">
        <f>_xlfn.TEXTJOIN(" · ",TRUE,IF(I4,IF(AND(YEAR(G4)=Planungsjahr,MONTH(G4)=6),"S "&amp;TEXT(DAY(G4),"00")&amp;"."&amp;TEXT(MONTH(G4),"00")&amp;".",""),""),IF(J4,IF(AND(YEAR(H4)=Planungsjahr,MONTH(H4)=6),"I "&amp;TEXT(DAY(H4),"00")&amp;"."&amp;TEXT(MONTH(H4),"00")&amp;".",""),""),IF(K4,IF(AND(YEAR(C4)=Planungsjahr,MONTH(C4)=6),"P "&amp;TEXT(DAY(C4),"00")&amp;"."&amp;TEXT(MONTH(C4),"00")&amp;".",""),""))</f>
      </c>
      <c r="AH4" t="str">
        <f>IF(AG4="","",B4&amp;":  "&amp;AG4)</f>
      </c>
      <c r="AI4">
        <f>(AH4&lt;&gt;"")+AI3</f>
      </c>
      <c r="AJ4" t="str">
        <f>IF(AND(AH4&lt;&gt;"",AI4&gt;=3),IF(AJ3="",AH4,AJ3&amp;"     ·     "&amp;AH4),AJ3)</f>
      </c>
      <c r="AK4" t="str">
        <f>_xlfn.TEXTJOIN(" · ",TRUE,IF(I4,IF(AND(YEAR(G4)=Planungsjahr,MONTH(G4)=7),"S "&amp;TEXT(DAY(G4),"00")&amp;"."&amp;TEXT(MONTH(G4),"00")&amp;".",""),""),IF(J4,IF(AND(YEAR(H4)=Planungsjahr,MONTH(H4)=7),"I "&amp;TEXT(DAY(H4),"00")&amp;"."&amp;TEXT(MONTH(H4),"00")&amp;".",""),""),IF(K4,IF(AND(YEAR(C4)=Planungsjahr,MONTH(C4)=7),"P "&amp;TEXT(DAY(C4),"00")&amp;"."&amp;TEXT(MONTH(C4),"00")&amp;".",""),""))</f>
      </c>
      <c r="AL4" t="str">
        <f>IF(AK4="","",B4&amp;":  "&amp;AK4)</f>
      </c>
      <c r="AM4">
        <f>(AL4&lt;&gt;"")+AM3</f>
      </c>
      <c r="AN4" t="str">
        <f>IF(AND(AL4&lt;&gt;"",AM4&gt;=3),IF(AN3="",AL4,AN3&amp;"     ·     "&amp;AL4),AN3)</f>
      </c>
      <c r="AO4" t="str">
        <f>_xlfn.TEXTJOIN(" · ",TRUE,IF(I4,IF(AND(YEAR(G4)=Planungsjahr,MONTH(G4)=8),"S "&amp;TEXT(DAY(G4),"00")&amp;"."&amp;TEXT(MONTH(G4),"00")&amp;".",""),""),IF(J4,IF(AND(YEAR(H4)=Planungsjahr,MONTH(H4)=8),"I "&amp;TEXT(DAY(H4),"00")&amp;"."&amp;TEXT(MONTH(H4),"00")&amp;".",""),""),IF(K4,IF(AND(YEAR(C4)=Planungsjahr,MONTH(C4)=8),"P "&amp;TEXT(DAY(C4),"00")&amp;"."&amp;TEXT(MONTH(C4),"00")&amp;".",""),""))</f>
      </c>
      <c r="AP4" t="str">
        <f>IF(AO4="","",B4&amp;":  "&amp;AO4)</f>
      </c>
      <c r="AQ4">
        <f>(AP4&lt;&gt;"")+AQ3</f>
      </c>
      <c r="AR4" t="str">
        <f>IF(AND(AP4&lt;&gt;"",AQ4&gt;=3),IF(AR3="",AP4,AR3&amp;"     ·     "&amp;AP4),AR3)</f>
      </c>
      <c r="AS4" t="str">
        <f>_xlfn.TEXTJOIN(" · ",TRUE,IF(I4,IF(AND(YEAR(G4)=Planungsjahr,MONTH(G4)=9),"S "&amp;TEXT(DAY(G4),"00")&amp;"."&amp;TEXT(MONTH(G4),"00")&amp;".",""),""),IF(J4,IF(AND(YEAR(H4)=Planungsjahr,MONTH(H4)=9),"I "&amp;TEXT(DAY(H4),"00")&amp;"."&amp;TEXT(MONTH(H4),"00")&amp;".",""),""),IF(K4,IF(AND(YEAR(C4)=Planungsjahr,MONTH(C4)=9),"P "&amp;TEXT(DAY(C4),"00")&amp;"."&amp;TEXT(MONTH(C4),"00")&amp;".",""),""))</f>
      </c>
      <c r="AT4" t="str">
        <f>IF(AS4="","",B4&amp;":  "&amp;AS4)</f>
      </c>
      <c r="AU4">
        <f>(AT4&lt;&gt;"")+AU3</f>
      </c>
      <c r="AV4" t="str">
        <f>IF(AND(AT4&lt;&gt;"",AU4&gt;=3),IF(AV3="",AT4,AV3&amp;"     ·     "&amp;AT4),AV3)</f>
      </c>
      <c r="AW4" t="str">
        <f>_xlfn.TEXTJOIN(" · ",TRUE,IF(I4,IF(AND(YEAR(G4)=Planungsjahr,MONTH(G4)=10),"S "&amp;TEXT(DAY(G4),"00")&amp;"."&amp;TEXT(MONTH(G4),"00")&amp;".",""),""),IF(J4,IF(AND(YEAR(H4)=Planungsjahr,MONTH(H4)=10),"I "&amp;TEXT(DAY(H4),"00")&amp;"."&amp;TEXT(MONTH(H4),"00")&amp;".",""),""),IF(K4,IF(AND(YEAR(C4)=Planungsjahr,MONTH(C4)=10),"P "&amp;TEXT(DAY(C4),"00")&amp;"."&amp;TEXT(MONTH(C4),"00")&amp;".",""),""))</f>
      </c>
      <c r="AX4" t="str">
        <f>IF(AW4="","",B4&amp;":  "&amp;AW4)</f>
      </c>
      <c r="AY4">
        <f>(AX4&lt;&gt;"")+AY3</f>
      </c>
      <c r="AZ4" t="str">
        <f>IF(AND(AX4&lt;&gt;"",AY4&gt;=3),IF(AZ3="",AX4,AZ3&amp;"     ·     "&amp;AX4),AZ3)</f>
      </c>
      <c r="BA4" t="str">
        <f>_xlfn.TEXTJOIN(" · ",TRUE,IF(I4,IF(AND(YEAR(G4)=Planungsjahr,MONTH(G4)=11),"S "&amp;TEXT(DAY(G4),"00")&amp;"."&amp;TEXT(MONTH(G4),"00")&amp;".",""),""),IF(J4,IF(AND(YEAR(H4)=Planungsjahr,MONTH(H4)=11),"I "&amp;TEXT(DAY(H4),"00")&amp;"."&amp;TEXT(MONTH(H4),"00")&amp;".",""),""),IF(K4,IF(AND(YEAR(C4)=Planungsjahr,MONTH(C4)=11),"P "&amp;TEXT(DAY(C4),"00")&amp;"."&amp;TEXT(MONTH(C4),"00")&amp;".",""),""))</f>
      </c>
      <c r="BB4" t="str">
        <f>IF(BA4="","",B4&amp;":  "&amp;BA4)</f>
      </c>
      <c r="BC4">
        <f>(BB4&lt;&gt;"")+BC3</f>
      </c>
      <c r="BD4" t="str">
        <f>IF(AND(BB4&lt;&gt;"",BC4&gt;=3),IF(BD3="",BB4,BD3&amp;"     ·     "&amp;BB4),BD3)</f>
      </c>
      <c r="BE4" t="str">
        <f>_xlfn.TEXTJOIN(" · ",TRUE,IF(I4,IF(AND(YEAR(G4)=Planungsjahr,MONTH(G4)=12),"S "&amp;TEXT(DAY(G4),"00")&amp;"."&amp;TEXT(MONTH(G4),"00")&amp;".",""),""),IF(J4,IF(AND(YEAR(H4)=Planungsjahr,MONTH(H4)=12),"I "&amp;TEXT(DAY(H4),"00")&amp;"."&amp;TEXT(MONTH(H4),"00")&amp;".",""),""),IF(K4,IF(AND(YEAR(C4)=Planungsjahr,MONTH(C4)=12),"P "&amp;TEXT(DAY(C4),"00")&amp;"."&amp;TEXT(MONTH(C4),"00")&amp;".",""),""))</f>
      </c>
      <c r="BF4" t="str">
        <f>IF(BE4="","",B4&amp;":  "&amp;BE4)</f>
      </c>
      <c r="BG4">
        <f>(BF4&lt;&gt;"")+BG3</f>
      </c>
      <c r="BH4" t="str">
        <f>IF(AND(BF4&lt;&gt;"",BG4&gt;=3),IF(BH3="",BF4,BH3&amp;"     ·     "&amp;BF4),BH3)</f>
      </c>
    </row>
    <row r="5">
      <c r="A5">
        <v>4</v>
      </c>
      <c r="B5" t="str">
        <f>INDEX(JP_Massnahme,A5)&amp;""</f>
      </c>
      <c r="C5">
        <f>INDEX(JP_PAL,A5)</f>
      </c>
      <c r="D5">
        <f>IF(AND(ISNUMBER(C5),C5&gt;0),COUNTIF(JP_PAL,"&lt;"&amp;C5)+COUNTIF(INDEX(JP_PAL,1):INDEX(JP_PAL,A5),C5),"")</f>
      </c>
      <c r="E5">
        <f>IF(D5="",0,MOD(D5-1,10)+1)</f>
      </c>
      <c r="F5" t="b">
        <f>OR(NOT(Filter_Aktiv),INDEX(JP_Anzeige,A5)=TRUE)</f>
      </c>
      <c r="G5">
        <f>INDEX(JP_StartSel,A5)</f>
      </c>
      <c r="H5">
        <f>INDEX(JP_StartInhalt,A5)</f>
      </c>
      <c r="I5" t="b">
        <f>AND(F5,Anzeige_S,ISNUMBER(G5))</f>
      </c>
      <c r="J5" t="b">
        <f>AND(F5,Anzeige_I,ISNUMBER(H5))</f>
      </c>
      <c r="K5" t="b">
        <f>AND(F5,Anzeige_P,ISNUMBER(C5),C5&gt;0)</f>
      </c>
      <c r="M5" t="str">
        <f>_xlfn.TEXTJOIN(" · ",TRUE,IF(I5,IF(AND(YEAR(G5)=Planungsjahr,MONTH(G5)=1),"S "&amp;TEXT(DAY(G5),"00")&amp;"."&amp;TEXT(MONTH(G5),"00")&amp;".",""),""),IF(J5,IF(AND(YEAR(H5)=Planungsjahr,MONTH(H5)=1),"I "&amp;TEXT(DAY(H5),"00")&amp;"."&amp;TEXT(MONTH(H5),"00")&amp;".",""),""),IF(K5,IF(AND(YEAR(C5)=Planungsjahr,MONTH(C5)=1),"P "&amp;TEXT(DAY(C5),"00")&amp;"."&amp;TEXT(MONTH(C5),"00")&amp;".",""),""))</f>
      </c>
      <c r="N5" t="str">
        <f>IF(M5="","",B5&amp;":  "&amp;M5)</f>
      </c>
      <c r="O5">
        <f>(N5&lt;&gt;"")+O4</f>
      </c>
      <c r="P5" t="str">
        <f>IF(AND(N5&lt;&gt;"",O5&gt;=3),IF(P4="",N5,P4&amp;"     ·     "&amp;N5),P4)</f>
      </c>
      <c r="Q5" t="str">
        <f>_xlfn.TEXTJOIN(" · ",TRUE,IF(I5,IF(AND(YEAR(G5)=Planungsjahr,MONTH(G5)=2),"S "&amp;TEXT(DAY(G5),"00")&amp;"."&amp;TEXT(MONTH(G5),"00")&amp;".",""),""),IF(J5,IF(AND(YEAR(H5)=Planungsjahr,MONTH(H5)=2),"I "&amp;TEXT(DAY(H5),"00")&amp;"."&amp;TEXT(MONTH(H5),"00")&amp;".",""),""),IF(K5,IF(AND(YEAR(C5)=Planungsjahr,MONTH(C5)=2),"P "&amp;TEXT(DAY(C5),"00")&amp;"."&amp;TEXT(MONTH(C5),"00")&amp;".",""),""))</f>
      </c>
      <c r="R5" t="str">
        <f>IF(Q5="","",B5&amp;":  "&amp;Q5)</f>
      </c>
      <c r="S5">
        <f>(R5&lt;&gt;"")+S4</f>
      </c>
      <c r="T5" t="str">
        <f>IF(AND(R5&lt;&gt;"",S5&gt;=3),IF(T4="",R5,T4&amp;"     ·     "&amp;R5),T4)</f>
      </c>
      <c r="U5" t="str">
        <f>_xlfn.TEXTJOIN(" · ",TRUE,IF(I5,IF(AND(YEAR(G5)=Planungsjahr,MONTH(G5)=3),"S "&amp;TEXT(DAY(G5),"00")&amp;"."&amp;TEXT(MONTH(G5),"00")&amp;".",""),""),IF(J5,IF(AND(YEAR(H5)=Planungsjahr,MONTH(H5)=3),"I "&amp;TEXT(DAY(H5),"00")&amp;"."&amp;TEXT(MONTH(H5),"00")&amp;".",""),""),IF(K5,IF(AND(YEAR(C5)=Planungsjahr,MONTH(C5)=3),"P "&amp;TEXT(DAY(C5),"00")&amp;"."&amp;TEXT(MONTH(C5),"00")&amp;".",""),""))</f>
      </c>
      <c r="V5" t="str">
        <f>IF(U5="","",B5&amp;":  "&amp;U5)</f>
      </c>
      <c r="W5">
        <f>(V5&lt;&gt;"")+W4</f>
      </c>
      <c r="X5" t="str">
        <f>IF(AND(V5&lt;&gt;"",W5&gt;=3),IF(X4="",V5,X4&amp;"     ·     "&amp;V5),X4)</f>
      </c>
      <c r="Y5" t="str">
        <f>_xlfn.TEXTJOIN(" · ",TRUE,IF(I5,IF(AND(YEAR(G5)=Planungsjahr,MONTH(G5)=4),"S "&amp;TEXT(DAY(G5),"00")&amp;"."&amp;TEXT(MONTH(G5),"00")&amp;".",""),""),IF(J5,IF(AND(YEAR(H5)=Planungsjahr,MONTH(H5)=4),"I "&amp;TEXT(DAY(H5),"00")&amp;"."&amp;TEXT(MONTH(H5),"00")&amp;".",""),""),IF(K5,IF(AND(YEAR(C5)=Planungsjahr,MONTH(C5)=4),"P "&amp;TEXT(DAY(C5),"00")&amp;"."&amp;TEXT(MONTH(C5),"00")&amp;".",""),""))</f>
      </c>
      <c r="Z5" t="str">
        <f>IF(Y5="","",B5&amp;":  "&amp;Y5)</f>
      </c>
      <c r="AA5">
        <f>(Z5&lt;&gt;"")+AA4</f>
      </c>
      <c r="AB5" t="str">
        <f>IF(AND(Z5&lt;&gt;"",AA5&gt;=3),IF(AB4="",Z5,AB4&amp;"     ·     "&amp;Z5),AB4)</f>
      </c>
      <c r="AC5" t="str">
        <f>_xlfn.TEXTJOIN(" · ",TRUE,IF(I5,IF(AND(YEAR(G5)=Planungsjahr,MONTH(G5)=5),"S "&amp;TEXT(DAY(G5),"00")&amp;"."&amp;TEXT(MONTH(G5),"00")&amp;".",""),""),IF(J5,IF(AND(YEAR(H5)=Planungsjahr,MONTH(H5)=5),"I "&amp;TEXT(DAY(H5),"00")&amp;"."&amp;TEXT(MONTH(H5),"00")&amp;".",""),""),IF(K5,IF(AND(YEAR(C5)=Planungsjahr,MONTH(C5)=5),"P "&amp;TEXT(DAY(C5),"00")&amp;"."&amp;TEXT(MONTH(C5),"00")&amp;".",""),""))</f>
      </c>
      <c r="AD5" t="str">
        <f>IF(AC5="","",B5&amp;":  "&amp;AC5)</f>
      </c>
      <c r="AE5">
        <f>(AD5&lt;&gt;"")+AE4</f>
      </c>
      <c r="AF5" t="str">
        <f>IF(AND(AD5&lt;&gt;"",AE5&gt;=3),IF(AF4="",AD5,AF4&amp;"     ·     "&amp;AD5),AF4)</f>
      </c>
      <c r="AG5" t="str">
        <f>_xlfn.TEXTJOIN(" · ",TRUE,IF(I5,IF(AND(YEAR(G5)=Planungsjahr,MONTH(G5)=6),"S "&amp;TEXT(DAY(G5),"00")&amp;"."&amp;TEXT(MONTH(G5),"00")&amp;".",""),""),IF(J5,IF(AND(YEAR(H5)=Planungsjahr,MONTH(H5)=6),"I "&amp;TEXT(DAY(H5),"00")&amp;"."&amp;TEXT(MONTH(H5),"00")&amp;".",""),""),IF(K5,IF(AND(YEAR(C5)=Planungsjahr,MONTH(C5)=6),"P "&amp;TEXT(DAY(C5),"00")&amp;"."&amp;TEXT(MONTH(C5),"00")&amp;".",""),""))</f>
      </c>
      <c r="AH5" t="str">
        <f>IF(AG5="","",B5&amp;":  "&amp;AG5)</f>
      </c>
      <c r="AI5">
        <f>(AH5&lt;&gt;"")+AI4</f>
      </c>
      <c r="AJ5" t="str">
        <f>IF(AND(AH5&lt;&gt;"",AI5&gt;=3),IF(AJ4="",AH5,AJ4&amp;"     ·     "&amp;AH5),AJ4)</f>
      </c>
      <c r="AK5" t="str">
        <f>_xlfn.TEXTJOIN(" · ",TRUE,IF(I5,IF(AND(YEAR(G5)=Planungsjahr,MONTH(G5)=7),"S "&amp;TEXT(DAY(G5),"00")&amp;"."&amp;TEXT(MONTH(G5),"00")&amp;".",""),""),IF(J5,IF(AND(YEAR(H5)=Planungsjahr,MONTH(H5)=7),"I "&amp;TEXT(DAY(H5),"00")&amp;"."&amp;TEXT(MONTH(H5),"00")&amp;".",""),""),IF(K5,IF(AND(YEAR(C5)=Planungsjahr,MONTH(C5)=7),"P "&amp;TEXT(DAY(C5),"00")&amp;"."&amp;TEXT(MONTH(C5),"00")&amp;".",""),""))</f>
      </c>
      <c r="AL5" t="str">
        <f>IF(AK5="","",B5&amp;":  "&amp;AK5)</f>
      </c>
      <c r="AM5">
        <f>(AL5&lt;&gt;"")+AM4</f>
      </c>
      <c r="AN5" t="str">
        <f>IF(AND(AL5&lt;&gt;"",AM5&gt;=3),IF(AN4="",AL5,AN4&amp;"     ·     "&amp;AL5),AN4)</f>
      </c>
      <c r="AO5" t="str">
        <f>_xlfn.TEXTJOIN(" · ",TRUE,IF(I5,IF(AND(YEAR(G5)=Planungsjahr,MONTH(G5)=8),"S "&amp;TEXT(DAY(G5),"00")&amp;"."&amp;TEXT(MONTH(G5),"00")&amp;".",""),""),IF(J5,IF(AND(YEAR(H5)=Planungsjahr,MONTH(H5)=8),"I "&amp;TEXT(DAY(H5),"00")&amp;"."&amp;TEXT(MONTH(H5),"00")&amp;".",""),""),IF(K5,IF(AND(YEAR(C5)=Planungsjahr,MONTH(C5)=8),"P "&amp;TEXT(DAY(C5),"00")&amp;"."&amp;TEXT(MONTH(C5),"00")&amp;".",""),""))</f>
      </c>
      <c r="AP5" t="str">
        <f>IF(AO5="","",B5&amp;":  "&amp;AO5)</f>
      </c>
      <c r="AQ5">
        <f>(AP5&lt;&gt;"")+AQ4</f>
      </c>
      <c r="AR5" t="str">
        <f>IF(AND(AP5&lt;&gt;"",AQ5&gt;=3),IF(AR4="",AP5,AR4&amp;"     ·     "&amp;AP5),AR4)</f>
      </c>
      <c r="AS5" t="str">
        <f>_xlfn.TEXTJOIN(" · ",TRUE,IF(I5,IF(AND(YEAR(G5)=Planungsjahr,MONTH(G5)=9),"S "&amp;TEXT(DAY(G5),"00")&amp;"."&amp;TEXT(MONTH(G5),"00")&amp;".",""),""),IF(J5,IF(AND(YEAR(H5)=Planungsjahr,MONTH(H5)=9),"I "&amp;TEXT(DAY(H5),"00")&amp;"."&amp;TEXT(MONTH(H5),"00")&amp;".",""),""),IF(K5,IF(AND(YEAR(C5)=Planungsjahr,MONTH(C5)=9),"P "&amp;TEXT(DAY(C5),"00")&amp;"."&amp;TEXT(MONTH(C5),"00")&amp;".",""),""))</f>
      </c>
      <c r="AT5" t="str">
        <f>IF(AS5="","",B5&amp;":  "&amp;AS5)</f>
      </c>
      <c r="AU5">
        <f>(AT5&lt;&gt;"")+AU4</f>
      </c>
      <c r="AV5" t="str">
        <f>IF(AND(AT5&lt;&gt;"",AU5&gt;=3),IF(AV4="",AT5,AV4&amp;"     ·     "&amp;AT5),AV4)</f>
      </c>
      <c r="AW5" t="str">
        <f>_xlfn.TEXTJOIN(" · ",TRUE,IF(I5,IF(AND(YEAR(G5)=Planungsjahr,MONTH(G5)=10),"S "&amp;TEXT(DAY(G5),"00")&amp;"."&amp;TEXT(MONTH(G5),"00")&amp;".",""),""),IF(J5,IF(AND(YEAR(H5)=Planungsjahr,MONTH(H5)=10),"I "&amp;TEXT(DAY(H5),"00")&amp;"."&amp;TEXT(MONTH(H5),"00")&amp;".",""),""),IF(K5,IF(AND(YEAR(C5)=Planungsjahr,MONTH(C5)=10),"P "&amp;TEXT(DAY(C5),"00")&amp;"."&amp;TEXT(MONTH(C5),"00")&amp;".",""),""))</f>
      </c>
      <c r="AX5" t="str">
        <f>IF(AW5="","",B5&amp;":  "&amp;AW5)</f>
      </c>
      <c r="AY5">
        <f>(AX5&lt;&gt;"")+AY4</f>
      </c>
      <c r="AZ5" t="str">
        <f>IF(AND(AX5&lt;&gt;"",AY5&gt;=3),IF(AZ4="",AX5,AZ4&amp;"     ·     "&amp;AX5),AZ4)</f>
      </c>
      <c r="BA5" t="str">
        <f>_xlfn.TEXTJOIN(" · ",TRUE,IF(I5,IF(AND(YEAR(G5)=Planungsjahr,MONTH(G5)=11),"S "&amp;TEXT(DAY(G5),"00")&amp;"."&amp;TEXT(MONTH(G5),"00")&amp;".",""),""),IF(J5,IF(AND(YEAR(H5)=Planungsjahr,MONTH(H5)=11),"I "&amp;TEXT(DAY(H5),"00")&amp;"."&amp;TEXT(MONTH(H5),"00")&amp;".",""),""),IF(K5,IF(AND(YEAR(C5)=Planungsjahr,MONTH(C5)=11),"P "&amp;TEXT(DAY(C5),"00")&amp;"."&amp;TEXT(MONTH(C5),"00")&amp;".",""),""))</f>
      </c>
      <c r="BB5" t="str">
        <f>IF(BA5="","",B5&amp;":  "&amp;BA5)</f>
      </c>
      <c r="BC5">
        <f>(BB5&lt;&gt;"")+BC4</f>
      </c>
      <c r="BD5" t="str">
        <f>IF(AND(BB5&lt;&gt;"",BC5&gt;=3),IF(BD4="",BB5,BD4&amp;"     ·     "&amp;BB5),BD4)</f>
      </c>
      <c r="BE5" t="str">
        <f>_xlfn.TEXTJOIN(" · ",TRUE,IF(I5,IF(AND(YEAR(G5)=Planungsjahr,MONTH(G5)=12),"S "&amp;TEXT(DAY(G5),"00")&amp;"."&amp;TEXT(MONTH(G5),"00")&amp;".",""),""),IF(J5,IF(AND(YEAR(H5)=Planungsjahr,MONTH(H5)=12),"I "&amp;TEXT(DAY(H5),"00")&amp;"."&amp;TEXT(MONTH(H5),"00")&amp;".",""),""),IF(K5,IF(AND(YEAR(C5)=Planungsjahr,MONTH(C5)=12),"P "&amp;TEXT(DAY(C5),"00")&amp;"."&amp;TEXT(MONTH(C5),"00")&amp;".",""),""))</f>
      </c>
      <c r="BF5" t="str">
        <f>IF(BE5="","",B5&amp;":  "&amp;BE5)</f>
      </c>
      <c r="BG5">
        <f>(BF5&lt;&gt;"")+BG4</f>
      </c>
      <c r="BH5" t="str">
        <f>IF(AND(BF5&lt;&gt;"",BG5&gt;=3),IF(BH4="",BF5,BH4&amp;"     ·     "&amp;BF5),BH4)</f>
      </c>
    </row>
    <row r="6">
      <c r="A6">
        <v>5</v>
      </c>
      <c r="B6" t="str">
        <f>INDEX(JP_Massnahme,A6)&amp;""</f>
      </c>
      <c r="C6">
        <f>INDEX(JP_PAL,A6)</f>
      </c>
      <c r="D6">
        <f>IF(AND(ISNUMBER(C6),C6&gt;0),COUNTIF(JP_PAL,"&lt;"&amp;C6)+COUNTIF(INDEX(JP_PAL,1):INDEX(JP_PAL,A6),C6),"")</f>
      </c>
      <c r="E6">
        <f>IF(D6="",0,MOD(D6-1,10)+1)</f>
      </c>
      <c r="F6" t="b">
        <f>OR(NOT(Filter_Aktiv),INDEX(JP_Anzeige,A6)=TRUE)</f>
      </c>
      <c r="G6">
        <f>INDEX(JP_StartSel,A6)</f>
      </c>
      <c r="H6">
        <f>INDEX(JP_StartInhalt,A6)</f>
      </c>
      <c r="I6" t="b">
        <f>AND(F6,Anzeige_S,ISNUMBER(G6))</f>
      </c>
      <c r="J6" t="b">
        <f>AND(F6,Anzeige_I,ISNUMBER(H6))</f>
      </c>
      <c r="K6" t="b">
        <f>AND(F6,Anzeige_P,ISNUMBER(C6),C6&gt;0)</f>
      </c>
      <c r="M6" t="str">
        <f>_xlfn.TEXTJOIN(" · ",TRUE,IF(I6,IF(AND(YEAR(G6)=Planungsjahr,MONTH(G6)=1),"S "&amp;TEXT(DAY(G6),"00")&amp;"."&amp;TEXT(MONTH(G6),"00")&amp;".",""),""),IF(J6,IF(AND(YEAR(H6)=Planungsjahr,MONTH(H6)=1),"I "&amp;TEXT(DAY(H6),"00")&amp;"."&amp;TEXT(MONTH(H6),"00")&amp;".",""),""),IF(K6,IF(AND(YEAR(C6)=Planungsjahr,MONTH(C6)=1),"P "&amp;TEXT(DAY(C6),"00")&amp;"."&amp;TEXT(MONTH(C6),"00")&amp;".",""),""))</f>
      </c>
      <c r="N6" t="str">
        <f>IF(M6="","",B6&amp;":  "&amp;M6)</f>
      </c>
      <c r="O6">
        <f>(N6&lt;&gt;"")+O5</f>
      </c>
      <c r="P6" t="str">
        <f>IF(AND(N6&lt;&gt;"",O6&gt;=3),IF(P5="",N6,P5&amp;"     ·     "&amp;N6),P5)</f>
      </c>
      <c r="Q6" t="str">
        <f>_xlfn.TEXTJOIN(" · ",TRUE,IF(I6,IF(AND(YEAR(G6)=Planungsjahr,MONTH(G6)=2),"S "&amp;TEXT(DAY(G6),"00")&amp;"."&amp;TEXT(MONTH(G6),"00")&amp;".",""),""),IF(J6,IF(AND(YEAR(H6)=Planungsjahr,MONTH(H6)=2),"I "&amp;TEXT(DAY(H6),"00")&amp;"."&amp;TEXT(MONTH(H6),"00")&amp;".",""),""),IF(K6,IF(AND(YEAR(C6)=Planungsjahr,MONTH(C6)=2),"P "&amp;TEXT(DAY(C6),"00")&amp;"."&amp;TEXT(MONTH(C6),"00")&amp;".",""),""))</f>
      </c>
      <c r="R6" t="str">
        <f>IF(Q6="","",B6&amp;":  "&amp;Q6)</f>
      </c>
      <c r="S6">
        <f>(R6&lt;&gt;"")+S5</f>
      </c>
      <c r="T6" t="str">
        <f>IF(AND(R6&lt;&gt;"",S6&gt;=3),IF(T5="",R6,T5&amp;"     ·     "&amp;R6),T5)</f>
      </c>
      <c r="U6" t="str">
        <f>_xlfn.TEXTJOIN(" · ",TRUE,IF(I6,IF(AND(YEAR(G6)=Planungsjahr,MONTH(G6)=3),"S "&amp;TEXT(DAY(G6),"00")&amp;"."&amp;TEXT(MONTH(G6),"00")&amp;".",""),""),IF(J6,IF(AND(YEAR(H6)=Planungsjahr,MONTH(H6)=3),"I "&amp;TEXT(DAY(H6),"00")&amp;"."&amp;TEXT(MONTH(H6),"00")&amp;".",""),""),IF(K6,IF(AND(YEAR(C6)=Planungsjahr,MONTH(C6)=3),"P "&amp;TEXT(DAY(C6),"00")&amp;"."&amp;TEXT(MONTH(C6),"00")&amp;".",""),""))</f>
      </c>
      <c r="V6" t="str">
        <f>IF(U6="","",B6&amp;":  "&amp;U6)</f>
      </c>
      <c r="W6">
        <f>(V6&lt;&gt;"")+W5</f>
      </c>
      <c r="X6" t="str">
        <f>IF(AND(V6&lt;&gt;"",W6&gt;=3),IF(X5="",V6,X5&amp;"     ·     "&amp;V6),X5)</f>
      </c>
      <c r="Y6" t="str">
        <f>_xlfn.TEXTJOIN(" · ",TRUE,IF(I6,IF(AND(YEAR(G6)=Planungsjahr,MONTH(G6)=4),"S "&amp;TEXT(DAY(G6),"00")&amp;"."&amp;TEXT(MONTH(G6),"00")&amp;".",""),""),IF(J6,IF(AND(YEAR(H6)=Planungsjahr,MONTH(H6)=4),"I "&amp;TEXT(DAY(H6),"00")&amp;"."&amp;TEXT(MONTH(H6),"00")&amp;".",""),""),IF(K6,IF(AND(YEAR(C6)=Planungsjahr,MONTH(C6)=4),"P "&amp;TEXT(DAY(C6),"00")&amp;"."&amp;TEXT(MONTH(C6),"00")&amp;".",""),""))</f>
      </c>
      <c r="Z6" t="str">
        <f>IF(Y6="","",B6&amp;":  "&amp;Y6)</f>
      </c>
      <c r="AA6">
        <f>(Z6&lt;&gt;"")+AA5</f>
      </c>
      <c r="AB6" t="str">
        <f>IF(AND(Z6&lt;&gt;"",AA6&gt;=3),IF(AB5="",Z6,AB5&amp;"     ·     "&amp;Z6),AB5)</f>
      </c>
      <c r="AC6" t="str">
        <f>_xlfn.TEXTJOIN(" · ",TRUE,IF(I6,IF(AND(YEAR(G6)=Planungsjahr,MONTH(G6)=5),"S "&amp;TEXT(DAY(G6),"00")&amp;"."&amp;TEXT(MONTH(G6),"00")&amp;".",""),""),IF(J6,IF(AND(YEAR(H6)=Planungsjahr,MONTH(H6)=5),"I "&amp;TEXT(DAY(H6),"00")&amp;"."&amp;TEXT(MONTH(H6),"00")&amp;".",""),""),IF(K6,IF(AND(YEAR(C6)=Planungsjahr,MONTH(C6)=5),"P "&amp;TEXT(DAY(C6),"00")&amp;"."&amp;TEXT(MONTH(C6),"00")&amp;".",""),""))</f>
      </c>
      <c r="AD6" t="str">
        <f>IF(AC6="","",B6&amp;":  "&amp;AC6)</f>
      </c>
      <c r="AE6">
        <f>(AD6&lt;&gt;"")+AE5</f>
      </c>
      <c r="AF6" t="str">
        <f>IF(AND(AD6&lt;&gt;"",AE6&gt;=3),IF(AF5="",AD6,AF5&amp;"     ·     "&amp;AD6),AF5)</f>
      </c>
      <c r="AG6" t="str">
        <f>_xlfn.TEXTJOIN(" · ",TRUE,IF(I6,IF(AND(YEAR(G6)=Planungsjahr,MONTH(G6)=6),"S "&amp;TEXT(DAY(G6),"00")&amp;"."&amp;TEXT(MONTH(G6),"00")&amp;".",""),""),IF(J6,IF(AND(YEAR(H6)=Planungsjahr,MONTH(H6)=6),"I "&amp;TEXT(DAY(H6),"00")&amp;"."&amp;TEXT(MONTH(H6),"00")&amp;".",""),""),IF(K6,IF(AND(YEAR(C6)=Planungsjahr,MONTH(C6)=6),"P "&amp;TEXT(DAY(C6),"00")&amp;"."&amp;TEXT(MONTH(C6),"00")&amp;".",""),""))</f>
      </c>
      <c r="AH6" t="str">
        <f>IF(AG6="","",B6&amp;":  "&amp;AG6)</f>
      </c>
      <c r="AI6">
        <f>(AH6&lt;&gt;"")+AI5</f>
      </c>
      <c r="AJ6" t="str">
        <f>IF(AND(AH6&lt;&gt;"",AI6&gt;=3),IF(AJ5="",AH6,AJ5&amp;"     ·     "&amp;AH6),AJ5)</f>
      </c>
      <c r="AK6" t="str">
        <f>_xlfn.TEXTJOIN(" · ",TRUE,IF(I6,IF(AND(YEAR(G6)=Planungsjahr,MONTH(G6)=7),"S "&amp;TEXT(DAY(G6),"00")&amp;"."&amp;TEXT(MONTH(G6),"00")&amp;".",""),""),IF(J6,IF(AND(YEAR(H6)=Planungsjahr,MONTH(H6)=7),"I "&amp;TEXT(DAY(H6),"00")&amp;"."&amp;TEXT(MONTH(H6),"00")&amp;".",""),""),IF(K6,IF(AND(YEAR(C6)=Planungsjahr,MONTH(C6)=7),"P "&amp;TEXT(DAY(C6),"00")&amp;"."&amp;TEXT(MONTH(C6),"00")&amp;".",""),""))</f>
      </c>
      <c r="AL6" t="str">
        <f>IF(AK6="","",B6&amp;":  "&amp;AK6)</f>
      </c>
      <c r="AM6">
        <f>(AL6&lt;&gt;"")+AM5</f>
      </c>
      <c r="AN6" t="str">
        <f>IF(AND(AL6&lt;&gt;"",AM6&gt;=3),IF(AN5="",AL6,AN5&amp;"     ·     "&amp;AL6),AN5)</f>
      </c>
      <c r="AO6" t="str">
        <f>_xlfn.TEXTJOIN(" · ",TRUE,IF(I6,IF(AND(YEAR(G6)=Planungsjahr,MONTH(G6)=8),"S "&amp;TEXT(DAY(G6),"00")&amp;"."&amp;TEXT(MONTH(G6),"00")&amp;".",""),""),IF(J6,IF(AND(YEAR(H6)=Planungsjahr,MONTH(H6)=8),"I "&amp;TEXT(DAY(H6),"00")&amp;"."&amp;TEXT(MONTH(H6),"00")&amp;".",""),""),IF(K6,IF(AND(YEAR(C6)=Planungsjahr,MONTH(C6)=8),"P "&amp;TEXT(DAY(C6),"00")&amp;"."&amp;TEXT(MONTH(C6),"00")&amp;".",""),""))</f>
      </c>
      <c r="AP6" t="str">
        <f>IF(AO6="","",B6&amp;":  "&amp;AO6)</f>
      </c>
      <c r="AQ6">
        <f>(AP6&lt;&gt;"")+AQ5</f>
      </c>
      <c r="AR6" t="str">
        <f>IF(AND(AP6&lt;&gt;"",AQ6&gt;=3),IF(AR5="",AP6,AR5&amp;"     ·     "&amp;AP6),AR5)</f>
      </c>
      <c r="AS6" t="str">
        <f>_xlfn.TEXTJOIN(" · ",TRUE,IF(I6,IF(AND(YEAR(G6)=Planungsjahr,MONTH(G6)=9),"S "&amp;TEXT(DAY(G6),"00")&amp;"."&amp;TEXT(MONTH(G6),"00")&amp;".",""),""),IF(J6,IF(AND(YEAR(H6)=Planungsjahr,MONTH(H6)=9),"I "&amp;TEXT(DAY(H6),"00")&amp;"."&amp;TEXT(MONTH(H6),"00")&amp;".",""),""),IF(K6,IF(AND(YEAR(C6)=Planungsjahr,MONTH(C6)=9),"P "&amp;TEXT(DAY(C6),"00")&amp;"."&amp;TEXT(MONTH(C6),"00")&amp;".",""),""))</f>
      </c>
      <c r="AT6" t="str">
        <f>IF(AS6="","",B6&amp;":  "&amp;AS6)</f>
      </c>
      <c r="AU6">
        <f>(AT6&lt;&gt;"")+AU5</f>
      </c>
      <c r="AV6" t="str">
        <f>IF(AND(AT6&lt;&gt;"",AU6&gt;=3),IF(AV5="",AT6,AV5&amp;"     ·     "&amp;AT6),AV5)</f>
      </c>
      <c r="AW6" t="str">
        <f>_xlfn.TEXTJOIN(" · ",TRUE,IF(I6,IF(AND(YEAR(G6)=Planungsjahr,MONTH(G6)=10),"S "&amp;TEXT(DAY(G6),"00")&amp;"."&amp;TEXT(MONTH(G6),"00")&amp;".",""),""),IF(J6,IF(AND(YEAR(H6)=Planungsjahr,MONTH(H6)=10),"I "&amp;TEXT(DAY(H6),"00")&amp;"."&amp;TEXT(MONTH(H6),"00")&amp;".",""),""),IF(K6,IF(AND(YEAR(C6)=Planungsjahr,MONTH(C6)=10),"P "&amp;TEXT(DAY(C6),"00")&amp;"."&amp;TEXT(MONTH(C6),"00")&amp;".",""),""))</f>
      </c>
      <c r="AX6" t="str">
        <f>IF(AW6="","",B6&amp;":  "&amp;AW6)</f>
      </c>
      <c r="AY6">
        <f>(AX6&lt;&gt;"")+AY5</f>
      </c>
      <c r="AZ6" t="str">
        <f>IF(AND(AX6&lt;&gt;"",AY6&gt;=3),IF(AZ5="",AX6,AZ5&amp;"     ·     "&amp;AX6),AZ5)</f>
      </c>
      <c r="BA6" t="str">
        <f>_xlfn.TEXTJOIN(" · ",TRUE,IF(I6,IF(AND(YEAR(G6)=Planungsjahr,MONTH(G6)=11),"S "&amp;TEXT(DAY(G6),"00")&amp;"."&amp;TEXT(MONTH(G6),"00")&amp;".",""),""),IF(J6,IF(AND(YEAR(H6)=Planungsjahr,MONTH(H6)=11),"I "&amp;TEXT(DAY(H6),"00")&amp;"."&amp;TEXT(MONTH(H6),"00")&amp;".",""),""),IF(K6,IF(AND(YEAR(C6)=Planungsjahr,MONTH(C6)=11),"P "&amp;TEXT(DAY(C6),"00")&amp;"."&amp;TEXT(MONTH(C6),"00")&amp;".",""),""))</f>
      </c>
      <c r="BB6" t="str">
        <f>IF(BA6="","",B6&amp;":  "&amp;BA6)</f>
      </c>
      <c r="BC6">
        <f>(BB6&lt;&gt;"")+BC5</f>
      </c>
      <c r="BD6" t="str">
        <f>IF(AND(BB6&lt;&gt;"",BC6&gt;=3),IF(BD5="",BB6,BD5&amp;"     ·     "&amp;BB6),BD5)</f>
      </c>
      <c r="BE6" t="str">
        <f>_xlfn.TEXTJOIN(" · ",TRUE,IF(I6,IF(AND(YEAR(G6)=Planungsjahr,MONTH(G6)=12),"S "&amp;TEXT(DAY(G6),"00")&amp;"."&amp;TEXT(MONTH(G6),"00")&amp;".",""),""),IF(J6,IF(AND(YEAR(H6)=Planungsjahr,MONTH(H6)=12),"I "&amp;TEXT(DAY(H6),"00")&amp;"."&amp;TEXT(MONTH(H6),"00")&amp;".",""),""),IF(K6,IF(AND(YEAR(C6)=Planungsjahr,MONTH(C6)=12),"P "&amp;TEXT(DAY(C6),"00")&amp;"."&amp;TEXT(MONTH(C6),"00")&amp;".",""),""))</f>
      </c>
      <c r="BF6" t="str">
        <f>IF(BE6="","",B6&amp;":  "&amp;BE6)</f>
      </c>
      <c r="BG6">
        <f>(BF6&lt;&gt;"")+BG5</f>
      </c>
      <c r="BH6" t="str">
        <f>IF(AND(BF6&lt;&gt;"",BG6&gt;=3),IF(BH5="",BF6,BH5&amp;"     ·     "&amp;BF6),BH5)</f>
      </c>
    </row>
    <row r="7">
      <c r="A7">
        <v>6</v>
      </c>
      <c r="B7" t="str">
        <f>INDEX(JP_Massnahme,A7)&amp;""</f>
      </c>
      <c r="C7">
        <f>INDEX(JP_PAL,A7)</f>
      </c>
      <c r="D7">
        <f>IF(AND(ISNUMBER(C7),C7&gt;0),COUNTIF(JP_PAL,"&lt;"&amp;C7)+COUNTIF(INDEX(JP_PAL,1):INDEX(JP_PAL,A7),C7),"")</f>
      </c>
      <c r="E7">
        <f>IF(D7="",0,MOD(D7-1,10)+1)</f>
      </c>
      <c r="F7" t="b">
        <f>OR(NOT(Filter_Aktiv),INDEX(JP_Anzeige,A7)=TRUE)</f>
      </c>
      <c r="G7">
        <f>INDEX(JP_StartSel,A7)</f>
      </c>
      <c r="H7">
        <f>INDEX(JP_StartInhalt,A7)</f>
      </c>
      <c r="I7" t="b">
        <f>AND(F7,Anzeige_S,ISNUMBER(G7))</f>
      </c>
      <c r="J7" t="b">
        <f>AND(F7,Anzeige_I,ISNUMBER(H7))</f>
      </c>
      <c r="K7" t="b">
        <f>AND(F7,Anzeige_P,ISNUMBER(C7),C7&gt;0)</f>
      </c>
      <c r="M7" t="str">
        <f>_xlfn.TEXTJOIN(" · ",TRUE,IF(I7,IF(AND(YEAR(G7)=Planungsjahr,MONTH(G7)=1),"S "&amp;TEXT(DAY(G7),"00")&amp;"."&amp;TEXT(MONTH(G7),"00")&amp;".",""),""),IF(J7,IF(AND(YEAR(H7)=Planungsjahr,MONTH(H7)=1),"I "&amp;TEXT(DAY(H7),"00")&amp;"."&amp;TEXT(MONTH(H7),"00")&amp;".",""),""),IF(K7,IF(AND(YEAR(C7)=Planungsjahr,MONTH(C7)=1),"P "&amp;TEXT(DAY(C7),"00")&amp;"."&amp;TEXT(MONTH(C7),"00")&amp;".",""),""))</f>
      </c>
      <c r="N7" t="str">
        <f>IF(M7="","",B7&amp;":  "&amp;M7)</f>
      </c>
      <c r="O7">
        <f>(N7&lt;&gt;"")+O6</f>
      </c>
      <c r="P7" t="str">
        <f>IF(AND(N7&lt;&gt;"",O7&gt;=3),IF(P6="",N7,P6&amp;"     ·     "&amp;N7),P6)</f>
      </c>
      <c r="Q7" t="str">
        <f>_xlfn.TEXTJOIN(" · ",TRUE,IF(I7,IF(AND(YEAR(G7)=Planungsjahr,MONTH(G7)=2),"S "&amp;TEXT(DAY(G7),"00")&amp;"."&amp;TEXT(MONTH(G7),"00")&amp;".",""),""),IF(J7,IF(AND(YEAR(H7)=Planungsjahr,MONTH(H7)=2),"I "&amp;TEXT(DAY(H7),"00")&amp;"."&amp;TEXT(MONTH(H7),"00")&amp;".",""),""),IF(K7,IF(AND(YEAR(C7)=Planungsjahr,MONTH(C7)=2),"P "&amp;TEXT(DAY(C7),"00")&amp;"."&amp;TEXT(MONTH(C7),"00")&amp;".",""),""))</f>
      </c>
      <c r="R7" t="str">
        <f>IF(Q7="","",B7&amp;":  "&amp;Q7)</f>
      </c>
      <c r="S7">
        <f>(R7&lt;&gt;"")+S6</f>
      </c>
      <c r="T7" t="str">
        <f>IF(AND(R7&lt;&gt;"",S7&gt;=3),IF(T6="",R7,T6&amp;"     ·     "&amp;R7),T6)</f>
      </c>
      <c r="U7" t="str">
        <f>_xlfn.TEXTJOIN(" · ",TRUE,IF(I7,IF(AND(YEAR(G7)=Planungsjahr,MONTH(G7)=3),"S "&amp;TEXT(DAY(G7),"00")&amp;"."&amp;TEXT(MONTH(G7),"00")&amp;".",""),""),IF(J7,IF(AND(YEAR(H7)=Planungsjahr,MONTH(H7)=3),"I "&amp;TEXT(DAY(H7),"00")&amp;"."&amp;TEXT(MONTH(H7),"00")&amp;".",""),""),IF(K7,IF(AND(YEAR(C7)=Planungsjahr,MONTH(C7)=3),"P "&amp;TEXT(DAY(C7),"00")&amp;"."&amp;TEXT(MONTH(C7),"00")&amp;".",""),""))</f>
      </c>
      <c r="V7" t="str">
        <f>IF(U7="","",B7&amp;":  "&amp;U7)</f>
      </c>
      <c r="W7">
        <f>(V7&lt;&gt;"")+W6</f>
      </c>
      <c r="X7" t="str">
        <f>IF(AND(V7&lt;&gt;"",W7&gt;=3),IF(X6="",V7,X6&amp;"     ·     "&amp;V7),X6)</f>
      </c>
      <c r="Y7" t="str">
        <f>_xlfn.TEXTJOIN(" · ",TRUE,IF(I7,IF(AND(YEAR(G7)=Planungsjahr,MONTH(G7)=4),"S "&amp;TEXT(DAY(G7),"00")&amp;"."&amp;TEXT(MONTH(G7),"00")&amp;".",""),""),IF(J7,IF(AND(YEAR(H7)=Planungsjahr,MONTH(H7)=4),"I "&amp;TEXT(DAY(H7),"00")&amp;"."&amp;TEXT(MONTH(H7),"00")&amp;".",""),""),IF(K7,IF(AND(YEAR(C7)=Planungsjahr,MONTH(C7)=4),"P "&amp;TEXT(DAY(C7),"00")&amp;"."&amp;TEXT(MONTH(C7),"00")&amp;".",""),""))</f>
      </c>
      <c r="Z7" t="str">
        <f>IF(Y7="","",B7&amp;":  "&amp;Y7)</f>
      </c>
      <c r="AA7">
        <f>(Z7&lt;&gt;"")+AA6</f>
      </c>
      <c r="AB7" t="str">
        <f>IF(AND(Z7&lt;&gt;"",AA7&gt;=3),IF(AB6="",Z7,AB6&amp;"     ·     "&amp;Z7),AB6)</f>
      </c>
      <c r="AC7" t="str">
        <f>_xlfn.TEXTJOIN(" · ",TRUE,IF(I7,IF(AND(YEAR(G7)=Planungsjahr,MONTH(G7)=5),"S "&amp;TEXT(DAY(G7),"00")&amp;"."&amp;TEXT(MONTH(G7),"00")&amp;".",""),""),IF(J7,IF(AND(YEAR(H7)=Planungsjahr,MONTH(H7)=5),"I "&amp;TEXT(DAY(H7),"00")&amp;"."&amp;TEXT(MONTH(H7),"00")&amp;".",""),""),IF(K7,IF(AND(YEAR(C7)=Planungsjahr,MONTH(C7)=5),"P "&amp;TEXT(DAY(C7),"00")&amp;"."&amp;TEXT(MONTH(C7),"00")&amp;".",""),""))</f>
      </c>
      <c r="AD7" t="str">
        <f>IF(AC7="","",B7&amp;":  "&amp;AC7)</f>
      </c>
      <c r="AE7">
        <f>(AD7&lt;&gt;"")+AE6</f>
      </c>
      <c r="AF7" t="str">
        <f>IF(AND(AD7&lt;&gt;"",AE7&gt;=3),IF(AF6="",AD7,AF6&amp;"     ·     "&amp;AD7),AF6)</f>
      </c>
      <c r="AG7" t="str">
        <f>_xlfn.TEXTJOIN(" · ",TRUE,IF(I7,IF(AND(YEAR(G7)=Planungsjahr,MONTH(G7)=6),"S "&amp;TEXT(DAY(G7),"00")&amp;"."&amp;TEXT(MONTH(G7),"00")&amp;".",""),""),IF(J7,IF(AND(YEAR(H7)=Planungsjahr,MONTH(H7)=6),"I "&amp;TEXT(DAY(H7),"00")&amp;"."&amp;TEXT(MONTH(H7),"00")&amp;".",""),""),IF(K7,IF(AND(YEAR(C7)=Planungsjahr,MONTH(C7)=6),"P "&amp;TEXT(DAY(C7),"00")&amp;"."&amp;TEXT(MONTH(C7),"00")&amp;".",""),""))</f>
      </c>
      <c r="AH7" t="str">
        <f>IF(AG7="","",B7&amp;":  "&amp;AG7)</f>
      </c>
      <c r="AI7">
        <f>(AH7&lt;&gt;"")+AI6</f>
      </c>
      <c r="AJ7" t="str">
        <f>IF(AND(AH7&lt;&gt;"",AI7&gt;=3),IF(AJ6="",AH7,AJ6&amp;"     ·     "&amp;AH7),AJ6)</f>
      </c>
      <c r="AK7" t="str">
        <f>_xlfn.TEXTJOIN(" · ",TRUE,IF(I7,IF(AND(YEAR(G7)=Planungsjahr,MONTH(G7)=7),"S "&amp;TEXT(DAY(G7),"00")&amp;"."&amp;TEXT(MONTH(G7),"00")&amp;".",""),""),IF(J7,IF(AND(YEAR(H7)=Planungsjahr,MONTH(H7)=7),"I "&amp;TEXT(DAY(H7),"00")&amp;"."&amp;TEXT(MONTH(H7),"00")&amp;".",""),""),IF(K7,IF(AND(YEAR(C7)=Planungsjahr,MONTH(C7)=7),"P "&amp;TEXT(DAY(C7),"00")&amp;"."&amp;TEXT(MONTH(C7),"00")&amp;".",""),""))</f>
      </c>
      <c r="AL7" t="str">
        <f>IF(AK7="","",B7&amp;":  "&amp;AK7)</f>
      </c>
      <c r="AM7">
        <f>(AL7&lt;&gt;"")+AM6</f>
      </c>
      <c r="AN7" t="str">
        <f>IF(AND(AL7&lt;&gt;"",AM7&gt;=3),IF(AN6="",AL7,AN6&amp;"     ·     "&amp;AL7),AN6)</f>
      </c>
      <c r="AO7" t="str">
        <f>_xlfn.TEXTJOIN(" · ",TRUE,IF(I7,IF(AND(YEAR(G7)=Planungsjahr,MONTH(G7)=8),"S "&amp;TEXT(DAY(G7),"00")&amp;"."&amp;TEXT(MONTH(G7),"00")&amp;".",""),""),IF(J7,IF(AND(YEAR(H7)=Planungsjahr,MONTH(H7)=8),"I "&amp;TEXT(DAY(H7),"00")&amp;"."&amp;TEXT(MONTH(H7),"00")&amp;".",""),""),IF(K7,IF(AND(YEAR(C7)=Planungsjahr,MONTH(C7)=8),"P "&amp;TEXT(DAY(C7),"00")&amp;"."&amp;TEXT(MONTH(C7),"00")&amp;".",""),""))</f>
      </c>
      <c r="AP7" t="str">
        <f>IF(AO7="","",B7&amp;":  "&amp;AO7)</f>
      </c>
      <c r="AQ7">
        <f>(AP7&lt;&gt;"")+AQ6</f>
      </c>
      <c r="AR7" t="str">
        <f>IF(AND(AP7&lt;&gt;"",AQ7&gt;=3),IF(AR6="",AP7,AR6&amp;"     ·     "&amp;AP7),AR6)</f>
      </c>
      <c r="AS7" t="str">
        <f>_xlfn.TEXTJOIN(" · ",TRUE,IF(I7,IF(AND(YEAR(G7)=Planungsjahr,MONTH(G7)=9),"S "&amp;TEXT(DAY(G7),"00")&amp;"."&amp;TEXT(MONTH(G7),"00")&amp;".",""),""),IF(J7,IF(AND(YEAR(H7)=Planungsjahr,MONTH(H7)=9),"I "&amp;TEXT(DAY(H7),"00")&amp;"."&amp;TEXT(MONTH(H7),"00")&amp;".",""),""),IF(K7,IF(AND(YEAR(C7)=Planungsjahr,MONTH(C7)=9),"P "&amp;TEXT(DAY(C7),"00")&amp;"."&amp;TEXT(MONTH(C7),"00")&amp;".",""),""))</f>
      </c>
      <c r="AT7" t="str">
        <f>IF(AS7="","",B7&amp;":  "&amp;AS7)</f>
      </c>
      <c r="AU7">
        <f>(AT7&lt;&gt;"")+AU6</f>
      </c>
      <c r="AV7" t="str">
        <f>IF(AND(AT7&lt;&gt;"",AU7&gt;=3),IF(AV6="",AT7,AV6&amp;"     ·     "&amp;AT7),AV6)</f>
      </c>
      <c r="AW7" t="str">
        <f>_xlfn.TEXTJOIN(" · ",TRUE,IF(I7,IF(AND(YEAR(G7)=Planungsjahr,MONTH(G7)=10),"S "&amp;TEXT(DAY(G7),"00")&amp;"."&amp;TEXT(MONTH(G7),"00")&amp;".",""),""),IF(J7,IF(AND(YEAR(H7)=Planungsjahr,MONTH(H7)=10),"I "&amp;TEXT(DAY(H7),"00")&amp;"."&amp;TEXT(MONTH(H7),"00")&amp;".",""),""),IF(K7,IF(AND(YEAR(C7)=Planungsjahr,MONTH(C7)=10),"P "&amp;TEXT(DAY(C7),"00")&amp;"."&amp;TEXT(MONTH(C7),"00")&amp;".",""),""))</f>
      </c>
      <c r="AX7" t="str">
        <f>IF(AW7="","",B7&amp;":  "&amp;AW7)</f>
      </c>
      <c r="AY7">
        <f>(AX7&lt;&gt;"")+AY6</f>
      </c>
      <c r="AZ7" t="str">
        <f>IF(AND(AX7&lt;&gt;"",AY7&gt;=3),IF(AZ6="",AX7,AZ6&amp;"     ·     "&amp;AX7),AZ6)</f>
      </c>
      <c r="BA7" t="str">
        <f>_xlfn.TEXTJOIN(" · ",TRUE,IF(I7,IF(AND(YEAR(G7)=Planungsjahr,MONTH(G7)=11),"S "&amp;TEXT(DAY(G7),"00")&amp;"."&amp;TEXT(MONTH(G7),"00")&amp;".",""),""),IF(J7,IF(AND(YEAR(H7)=Planungsjahr,MONTH(H7)=11),"I "&amp;TEXT(DAY(H7),"00")&amp;"."&amp;TEXT(MONTH(H7),"00")&amp;".",""),""),IF(K7,IF(AND(YEAR(C7)=Planungsjahr,MONTH(C7)=11),"P "&amp;TEXT(DAY(C7),"00")&amp;"."&amp;TEXT(MONTH(C7),"00")&amp;".",""),""))</f>
      </c>
      <c r="BB7" t="str">
        <f>IF(BA7="","",B7&amp;":  "&amp;BA7)</f>
      </c>
      <c r="BC7">
        <f>(BB7&lt;&gt;"")+BC6</f>
      </c>
      <c r="BD7" t="str">
        <f>IF(AND(BB7&lt;&gt;"",BC7&gt;=3),IF(BD6="",BB7,BD6&amp;"     ·     "&amp;BB7),BD6)</f>
      </c>
      <c r="BE7" t="str">
        <f>_xlfn.TEXTJOIN(" · ",TRUE,IF(I7,IF(AND(YEAR(G7)=Planungsjahr,MONTH(G7)=12),"S "&amp;TEXT(DAY(G7),"00")&amp;"."&amp;TEXT(MONTH(G7),"00")&amp;".",""),""),IF(J7,IF(AND(YEAR(H7)=Planungsjahr,MONTH(H7)=12),"I "&amp;TEXT(DAY(H7),"00")&amp;"."&amp;TEXT(MONTH(H7),"00")&amp;".",""),""),IF(K7,IF(AND(YEAR(C7)=Planungsjahr,MONTH(C7)=12),"P "&amp;TEXT(DAY(C7),"00")&amp;"."&amp;TEXT(MONTH(C7),"00")&amp;".",""),""))</f>
      </c>
      <c r="BF7" t="str">
        <f>IF(BE7="","",B7&amp;":  "&amp;BE7)</f>
      </c>
      <c r="BG7">
        <f>(BF7&lt;&gt;"")+BG6</f>
      </c>
      <c r="BH7" t="str">
        <f>IF(AND(BF7&lt;&gt;"",BG7&gt;=3),IF(BH6="",BF7,BH6&amp;"     ·     "&amp;BF7),BH6)</f>
      </c>
    </row>
    <row r="8">
      <c r="A8">
        <v>7</v>
      </c>
      <c r="B8" t="str">
        <f>INDEX(JP_Massnahme,A8)&amp;""</f>
      </c>
      <c r="C8">
        <f>INDEX(JP_PAL,A8)</f>
      </c>
      <c r="D8">
        <f>IF(AND(ISNUMBER(C8),C8&gt;0),COUNTIF(JP_PAL,"&lt;"&amp;C8)+COUNTIF(INDEX(JP_PAL,1):INDEX(JP_PAL,A8),C8),"")</f>
      </c>
      <c r="E8">
        <f>IF(D8="",0,MOD(D8-1,10)+1)</f>
      </c>
      <c r="F8" t="b">
        <f>OR(NOT(Filter_Aktiv),INDEX(JP_Anzeige,A8)=TRUE)</f>
      </c>
      <c r="G8">
        <f>INDEX(JP_StartSel,A8)</f>
      </c>
      <c r="H8">
        <f>INDEX(JP_StartInhalt,A8)</f>
      </c>
      <c r="I8" t="b">
        <f>AND(F8,Anzeige_S,ISNUMBER(G8))</f>
      </c>
      <c r="J8" t="b">
        <f>AND(F8,Anzeige_I,ISNUMBER(H8))</f>
      </c>
      <c r="K8" t="b">
        <f>AND(F8,Anzeige_P,ISNUMBER(C8),C8&gt;0)</f>
      </c>
      <c r="M8" t="str">
        <f>_xlfn.TEXTJOIN(" · ",TRUE,IF(I8,IF(AND(YEAR(G8)=Planungsjahr,MONTH(G8)=1),"S "&amp;TEXT(DAY(G8),"00")&amp;"."&amp;TEXT(MONTH(G8),"00")&amp;".",""),""),IF(J8,IF(AND(YEAR(H8)=Planungsjahr,MONTH(H8)=1),"I "&amp;TEXT(DAY(H8),"00")&amp;"."&amp;TEXT(MONTH(H8),"00")&amp;".",""),""),IF(K8,IF(AND(YEAR(C8)=Planungsjahr,MONTH(C8)=1),"P "&amp;TEXT(DAY(C8),"00")&amp;"."&amp;TEXT(MONTH(C8),"00")&amp;".",""),""))</f>
      </c>
      <c r="N8" t="str">
        <f>IF(M8="","",B8&amp;":  "&amp;M8)</f>
      </c>
      <c r="O8">
        <f>(N8&lt;&gt;"")+O7</f>
      </c>
      <c r="P8" t="str">
        <f>IF(AND(N8&lt;&gt;"",O8&gt;=3),IF(P7="",N8,P7&amp;"     ·     "&amp;N8),P7)</f>
      </c>
      <c r="Q8" t="str">
        <f>_xlfn.TEXTJOIN(" · ",TRUE,IF(I8,IF(AND(YEAR(G8)=Planungsjahr,MONTH(G8)=2),"S "&amp;TEXT(DAY(G8),"00")&amp;"."&amp;TEXT(MONTH(G8),"00")&amp;".",""),""),IF(J8,IF(AND(YEAR(H8)=Planungsjahr,MONTH(H8)=2),"I "&amp;TEXT(DAY(H8),"00")&amp;"."&amp;TEXT(MONTH(H8),"00")&amp;".",""),""),IF(K8,IF(AND(YEAR(C8)=Planungsjahr,MONTH(C8)=2),"P "&amp;TEXT(DAY(C8),"00")&amp;"."&amp;TEXT(MONTH(C8),"00")&amp;".",""),""))</f>
      </c>
      <c r="R8" t="str">
        <f>IF(Q8="","",B8&amp;":  "&amp;Q8)</f>
      </c>
      <c r="S8">
        <f>(R8&lt;&gt;"")+S7</f>
      </c>
      <c r="T8" t="str">
        <f>IF(AND(R8&lt;&gt;"",S8&gt;=3),IF(T7="",R8,T7&amp;"     ·     "&amp;R8),T7)</f>
      </c>
      <c r="U8" t="str">
        <f>_xlfn.TEXTJOIN(" · ",TRUE,IF(I8,IF(AND(YEAR(G8)=Planungsjahr,MONTH(G8)=3),"S "&amp;TEXT(DAY(G8),"00")&amp;"."&amp;TEXT(MONTH(G8),"00")&amp;".",""),""),IF(J8,IF(AND(YEAR(H8)=Planungsjahr,MONTH(H8)=3),"I "&amp;TEXT(DAY(H8),"00")&amp;"."&amp;TEXT(MONTH(H8),"00")&amp;".",""),""),IF(K8,IF(AND(YEAR(C8)=Planungsjahr,MONTH(C8)=3),"P "&amp;TEXT(DAY(C8),"00")&amp;"."&amp;TEXT(MONTH(C8),"00")&amp;".",""),""))</f>
      </c>
      <c r="V8" t="str">
        <f>IF(U8="","",B8&amp;":  "&amp;U8)</f>
      </c>
      <c r="W8">
        <f>(V8&lt;&gt;"")+W7</f>
      </c>
      <c r="X8" t="str">
        <f>IF(AND(V8&lt;&gt;"",W8&gt;=3),IF(X7="",V8,X7&amp;"     ·     "&amp;V8),X7)</f>
      </c>
      <c r="Y8" t="str">
        <f>_xlfn.TEXTJOIN(" · ",TRUE,IF(I8,IF(AND(YEAR(G8)=Planungsjahr,MONTH(G8)=4),"S "&amp;TEXT(DAY(G8),"00")&amp;"."&amp;TEXT(MONTH(G8),"00")&amp;".",""),""),IF(J8,IF(AND(YEAR(H8)=Planungsjahr,MONTH(H8)=4),"I "&amp;TEXT(DAY(H8),"00")&amp;"."&amp;TEXT(MONTH(H8),"00")&amp;".",""),""),IF(K8,IF(AND(YEAR(C8)=Planungsjahr,MONTH(C8)=4),"P "&amp;TEXT(DAY(C8),"00")&amp;"."&amp;TEXT(MONTH(C8),"00")&amp;".",""),""))</f>
      </c>
      <c r="Z8" t="str">
        <f>IF(Y8="","",B8&amp;":  "&amp;Y8)</f>
      </c>
      <c r="AA8">
        <f>(Z8&lt;&gt;"")+AA7</f>
      </c>
      <c r="AB8" t="str">
        <f>IF(AND(Z8&lt;&gt;"",AA8&gt;=3),IF(AB7="",Z8,AB7&amp;"     ·     "&amp;Z8),AB7)</f>
      </c>
      <c r="AC8" t="str">
        <f>_xlfn.TEXTJOIN(" · ",TRUE,IF(I8,IF(AND(YEAR(G8)=Planungsjahr,MONTH(G8)=5),"S "&amp;TEXT(DAY(G8),"00")&amp;"."&amp;TEXT(MONTH(G8),"00")&amp;".",""),""),IF(J8,IF(AND(YEAR(H8)=Planungsjahr,MONTH(H8)=5),"I "&amp;TEXT(DAY(H8),"00")&amp;"."&amp;TEXT(MONTH(H8),"00")&amp;".",""),""),IF(K8,IF(AND(YEAR(C8)=Planungsjahr,MONTH(C8)=5),"P "&amp;TEXT(DAY(C8),"00")&amp;"."&amp;TEXT(MONTH(C8),"00")&amp;".",""),""))</f>
      </c>
      <c r="AD8" t="str">
        <f>IF(AC8="","",B8&amp;":  "&amp;AC8)</f>
      </c>
      <c r="AE8">
        <f>(AD8&lt;&gt;"")+AE7</f>
      </c>
      <c r="AF8" t="str">
        <f>IF(AND(AD8&lt;&gt;"",AE8&gt;=3),IF(AF7="",AD8,AF7&amp;"     ·     "&amp;AD8),AF7)</f>
      </c>
      <c r="AG8" t="str">
        <f>_xlfn.TEXTJOIN(" · ",TRUE,IF(I8,IF(AND(YEAR(G8)=Planungsjahr,MONTH(G8)=6),"S "&amp;TEXT(DAY(G8),"00")&amp;"."&amp;TEXT(MONTH(G8),"00")&amp;".",""),""),IF(J8,IF(AND(YEAR(H8)=Planungsjahr,MONTH(H8)=6),"I "&amp;TEXT(DAY(H8),"00")&amp;"."&amp;TEXT(MONTH(H8),"00")&amp;".",""),""),IF(K8,IF(AND(YEAR(C8)=Planungsjahr,MONTH(C8)=6),"P "&amp;TEXT(DAY(C8),"00")&amp;"."&amp;TEXT(MONTH(C8),"00")&amp;".",""),""))</f>
      </c>
      <c r="AH8" t="str">
        <f>IF(AG8="","",B8&amp;":  "&amp;AG8)</f>
      </c>
      <c r="AI8">
        <f>(AH8&lt;&gt;"")+AI7</f>
      </c>
      <c r="AJ8" t="str">
        <f>IF(AND(AH8&lt;&gt;"",AI8&gt;=3),IF(AJ7="",AH8,AJ7&amp;"     ·     "&amp;AH8),AJ7)</f>
      </c>
      <c r="AK8" t="str">
        <f>_xlfn.TEXTJOIN(" · ",TRUE,IF(I8,IF(AND(YEAR(G8)=Planungsjahr,MONTH(G8)=7),"S "&amp;TEXT(DAY(G8),"00")&amp;"."&amp;TEXT(MONTH(G8),"00")&amp;".",""),""),IF(J8,IF(AND(YEAR(H8)=Planungsjahr,MONTH(H8)=7),"I "&amp;TEXT(DAY(H8),"00")&amp;"."&amp;TEXT(MONTH(H8),"00")&amp;".",""),""),IF(K8,IF(AND(YEAR(C8)=Planungsjahr,MONTH(C8)=7),"P "&amp;TEXT(DAY(C8),"00")&amp;"."&amp;TEXT(MONTH(C8),"00")&amp;".",""),""))</f>
      </c>
      <c r="AL8" t="str">
        <f>IF(AK8="","",B8&amp;":  "&amp;AK8)</f>
      </c>
      <c r="AM8">
        <f>(AL8&lt;&gt;"")+AM7</f>
      </c>
      <c r="AN8" t="str">
        <f>IF(AND(AL8&lt;&gt;"",AM8&gt;=3),IF(AN7="",AL8,AN7&amp;"     ·     "&amp;AL8),AN7)</f>
      </c>
      <c r="AO8" t="str">
        <f>_xlfn.TEXTJOIN(" · ",TRUE,IF(I8,IF(AND(YEAR(G8)=Planungsjahr,MONTH(G8)=8),"S "&amp;TEXT(DAY(G8),"00")&amp;"."&amp;TEXT(MONTH(G8),"00")&amp;".",""),""),IF(J8,IF(AND(YEAR(H8)=Planungsjahr,MONTH(H8)=8),"I "&amp;TEXT(DAY(H8),"00")&amp;"."&amp;TEXT(MONTH(H8),"00")&amp;".",""),""),IF(K8,IF(AND(YEAR(C8)=Planungsjahr,MONTH(C8)=8),"P "&amp;TEXT(DAY(C8),"00")&amp;"."&amp;TEXT(MONTH(C8),"00")&amp;".",""),""))</f>
      </c>
      <c r="AP8" t="str">
        <f>IF(AO8="","",B8&amp;":  "&amp;AO8)</f>
      </c>
      <c r="AQ8">
        <f>(AP8&lt;&gt;"")+AQ7</f>
      </c>
      <c r="AR8" t="str">
        <f>IF(AND(AP8&lt;&gt;"",AQ8&gt;=3),IF(AR7="",AP8,AR7&amp;"     ·     "&amp;AP8),AR7)</f>
      </c>
      <c r="AS8" t="str">
        <f>_xlfn.TEXTJOIN(" · ",TRUE,IF(I8,IF(AND(YEAR(G8)=Planungsjahr,MONTH(G8)=9),"S "&amp;TEXT(DAY(G8),"00")&amp;"."&amp;TEXT(MONTH(G8),"00")&amp;".",""),""),IF(J8,IF(AND(YEAR(H8)=Planungsjahr,MONTH(H8)=9),"I "&amp;TEXT(DAY(H8),"00")&amp;"."&amp;TEXT(MONTH(H8),"00")&amp;".",""),""),IF(K8,IF(AND(YEAR(C8)=Planungsjahr,MONTH(C8)=9),"P "&amp;TEXT(DAY(C8),"00")&amp;"."&amp;TEXT(MONTH(C8),"00")&amp;".",""),""))</f>
      </c>
      <c r="AT8" t="str">
        <f>IF(AS8="","",B8&amp;":  "&amp;AS8)</f>
      </c>
      <c r="AU8">
        <f>(AT8&lt;&gt;"")+AU7</f>
      </c>
      <c r="AV8" t="str">
        <f>IF(AND(AT8&lt;&gt;"",AU8&gt;=3),IF(AV7="",AT8,AV7&amp;"     ·     "&amp;AT8),AV7)</f>
      </c>
      <c r="AW8" t="str">
        <f>_xlfn.TEXTJOIN(" · ",TRUE,IF(I8,IF(AND(YEAR(G8)=Planungsjahr,MONTH(G8)=10),"S "&amp;TEXT(DAY(G8),"00")&amp;"."&amp;TEXT(MONTH(G8),"00")&amp;".",""),""),IF(J8,IF(AND(YEAR(H8)=Planungsjahr,MONTH(H8)=10),"I "&amp;TEXT(DAY(H8),"00")&amp;"."&amp;TEXT(MONTH(H8),"00")&amp;".",""),""),IF(K8,IF(AND(YEAR(C8)=Planungsjahr,MONTH(C8)=10),"P "&amp;TEXT(DAY(C8),"00")&amp;"."&amp;TEXT(MONTH(C8),"00")&amp;".",""),""))</f>
      </c>
      <c r="AX8" t="str">
        <f>IF(AW8="","",B8&amp;":  "&amp;AW8)</f>
      </c>
      <c r="AY8">
        <f>(AX8&lt;&gt;"")+AY7</f>
      </c>
      <c r="AZ8" t="str">
        <f>IF(AND(AX8&lt;&gt;"",AY8&gt;=3),IF(AZ7="",AX8,AZ7&amp;"     ·     "&amp;AX8),AZ7)</f>
      </c>
      <c r="BA8" t="str">
        <f>_xlfn.TEXTJOIN(" · ",TRUE,IF(I8,IF(AND(YEAR(G8)=Planungsjahr,MONTH(G8)=11),"S "&amp;TEXT(DAY(G8),"00")&amp;"."&amp;TEXT(MONTH(G8),"00")&amp;".",""),""),IF(J8,IF(AND(YEAR(H8)=Planungsjahr,MONTH(H8)=11),"I "&amp;TEXT(DAY(H8),"00")&amp;"."&amp;TEXT(MONTH(H8),"00")&amp;".",""),""),IF(K8,IF(AND(YEAR(C8)=Planungsjahr,MONTH(C8)=11),"P "&amp;TEXT(DAY(C8),"00")&amp;"."&amp;TEXT(MONTH(C8),"00")&amp;".",""),""))</f>
      </c>
      <c r="BB8" t="str">
        <f>IF(BA8="","",B8&amp;":  "&amp;BA8)</f>
      </c>
      <c r="BC8">
        <f>(BB8&lt;&gt;"")+BC7</f>
      </c>
      <c r="BD8" t="str">
        <f>IF(AND(BB8&lt;&gt;"",BC8&gt;=3),IF(BD7="",BB8,BD7&amp;"     ·     "&amp;BB8),BD7)</f>
      </c>
      <c r="BE8" t="str">
        <f>_xlfn.TEXTJOIN(" · ",TRUE,IF(I8,IF(AND(YEAR(G8)=Planungsjahr,MONTH(G8)=12),"S "&amp;TEXT(DAY(G8),"00")&amp;"."&amp;TEXT(MONTH(G8),"00")&amp;".",""),""),IF(J8,IF(AND(YEAR(H8)=Planungsjahr,MONTH(H8)=12),"I "&amp;TEXT(DAY(H8),"00")&amp;"."&amp;TEXT(MONTH(H8),"00")&amp;".",""),""),IF(K8,IF(AND(YEAR(C8)=Planungsjahr,MONTH(C8)=12),"P "&amp;TEXT(DAY(C8),"00")&amp;"."&amp;TEXT(MONTH(C8),"00")&amp;".",""),""))</f>
      </c>
      <c r="BF8" t="str">
        <f>IF(BE8="","",B8&amp;":  "&amp;BE8)</f>
      </c>
      <c r="BG8">
        <f>(BF8&lt;&gt;"")+BG7</f>
      </c>
      <c r="BH8" t="str">
        <f>IF(AND(BF8&lt;&gt;"",BG8&gt;=3),IF(BH7="",BF8,BH7&amp;"     ·     "&amp;BF8),BH7)</f>
      </c>
    </row>
    <row r="9">
      <c r="A9">
        <v>8</v>
      </c>
      <c r="B9" t="str">
        <f>INDEX(JP_Massnahme,A9)&amp;""</f>
      </c>
      <c r="C9">
        <f>INDEX(JP_PAL,A9)</f>
      </c>
      <c r="D9">
        <f>IF(AND(ISNUMBER(C9),C9&gt;0),COUNTIF(JP_PAL,"&lt;"&amp;C9)+COUNTIF(INDEX(JP_PAL,1):INDEX(JP_PAL,A9),C9),"")</f>
      </c>
      <c r="E9">
        <f>IF(D9="",0,MOD(D9-1,10)+1)</f>
      </c>
      <c r="F9" t="b">
        <f>OR(NOT(Filter_Aktiv),INDEX(JP_Anzeige,A9)=TRUE)</f>
      </c>
      <c r="G9">
        <f>INDEX(JP_StartSel,A9)</f>
      </c>
      <c r="H9">
        <f>INDEX(JP_StartInhalt,A9)</f>
      </c>
      <c r="I9" t="b">
        <f>AND(F9,Anzeige_S,ISNUMBER(G9))</f>
      </c>
      <c r="J9" t="b">
        <f>AND(F9,Anzeige_I,ISNUMBER(H9))</f>
      </c>
      <c r="K9" t="b">
        <f>AND(F9,Anzeige_P,ISNUMBER(C9),C9&gt;0)</f>
      </c>
      <c r="M9" t="str">
        <f>_xlfn.TEXTJOIN(" · ",TRUE,IF(I9,IF(AND(YEAR(G9)=Planungsjahr,MONTH(G9)=1),"S "&amp;TEXT(DAY(G9),"00")&amp;"."&amp;TEXT(MONTH(G9),"00")&amp;".",""),""),IF(J9,IF(AND(YEAR(H9)=Planungsjahr,MONTH(H9)=1),"I "&amp;TEXT(DAY(H9),"00")&amp;"."&amp;TEXT(MONTH(H9),"00")&amp;".",""),""),IF(K9,IF(AND(YEAR(C9)=Planungsjahr,MONTH(C9)=1),"P "&amp;TEXT(DAY(C9),"00")&amp;"."&amp;TEXT(MONTH(C9),"00")&amp;".",""),""))</f>
      </c>
      <c r="N9" t="str">
        <f>IF(M9="","",B9&amp;":  "&amp;M9)</f>
      </c>
      <c r="O9">
        <f>(N9&lt;&gt;"")+O8</f>
      </c>
      <c r="P9" t="str">
        <f>IF(AND(N9&lt;&gt;"",O9&gt;=3),IF(P8="",N9,P8&amp;"     ·     "&amp;N9),P8)</f>
      </c>
      <c r="Q9" t="str">
        <f>_xlfn.TEXTJOIN(" · ",TRUE,IF(I9,IF(AND(YEAR(G9)=Planungsjahr,MONTH(G9)=2),"S "&amp;TEXT(DAY(G9),"00")&amp;"."&amp;TEXT(MONTH(G9),"00")&amp;".",""),""),IF(J9,IF(AND(YEAR(H9)=Planungsjahr,MONTH(H9)=2),"I "&amp;TEXT(DAY(H9),"00")&amp;"."&amp;TEXT(MONTH(H9),"00")&amp;".",""),""),IF(K9,IF(AND(YEAR(C9)=Planungsjahr,MONTH(C9)=2),"P "&amp;TEXT(DAY(C9),"00")&amp;"."&amp;TEXT(MONTH(C9),"00")&amp;".",""),""))</f>
      </c>
      <c r="R9" t="str">
        <f>IF(Q9="","",B9&amp;":  "&amp;Q9)</f>
      </c>
      <c r="S9">
        <f>(R9&lt;&gt;"")+S8</f>
      </c>
      <c r="T9" t="str">
        <f>IF(AND(R9&lt;&gt;"",S9&gt;=3),IF(T8="",R9,T8&amp;"     ·     "&amp;R9),T8)</f>
      </c>
      <c r="U9" t="str">
        <f>_xlfn.TEXTJOIN(" · ",TRUE,IF(I9,IF(AND(YEAR(G9)=Planungsjahr,MONTH(G9)=3),"S "&amp;TEXT(DAY(G9),"00")&amp;"."&amp;TEXT(MONTH(G9),"00")&amp;".",""),""),IF(J9,IF(AND(YEAR(H9)=Planungsjahr,MONTH(H9)=3),"I "&amp;TEXT(DAY(H9),"00")&amp;"."&amp;TEXT(MONTH(H9),"00")&amp;".",""),""),IF(K9,IF(AND(YEAR(C9)=Planungsjahr,MONTH(C9)=3),"P "&amp;TEXT(DAY(C9),"00")&amp;"."&amp;TEXT(MONTH(C9),"00")&amp;".",""),""))</f>
      </c>
      <c r="V9" t="str">
        <f>IF(U9="","",B9&amp;":  "&amp;U9)</f>
      </c>
      <c r="W9">
        <f>(V9&lt;&gt;"")+W8</f>
      </c>
      <c r="X9" t="str">
        <f>IF(AND(V9&lt;&gt;"",W9&gt;=3),IF(X8="",V9,X8&amp;"     ·     "&amp;V9),X8)</f>
      </c>
      <c r="Y9" t="str">
        <f>_xlfn.TEXTJOIN(" · ",TRUE,IF(I9,IF(AND(YEAR(G9)=Planungsjahr,MONTH(G9)=4),"S "&amp;TEXT(DAY(G9),"00")&amp;"."&amp;TEXT(MONTH(G9),"00")&amp;".",""),""),IF(J9,IF(AND(YEAR(H9)=Planungsjahr,MONTH(H9)=4),"I "&amp;TEXT(DAY(H9),"00")&amp;"."&amp;TEXT(MONTH(H9),"00")&amp;".",""),""),IF(K9,IF(AND(YEAR(C9)=Planungsjahr,MONTH(C9)=4),"P "&amp;TEXT(DAY(C9),"00")&amp;"."&amp;TEXT(MONTH(C9),"00")&amp;".",""),""))</f>
      </c>
      <c r="Z9" t="str">
        <f>IF(Y9="","",B9&amp;":  "&amp;Y9)</f>
      </c>
      <c r="AA9">
        <f>(Z9&lt;&gt;"")+AA8</f>
      </c>
      <c r="AB9" t="str">
        <f>IF(AND(Z9&lt;&gt;"",AA9&gt;=3),IF(AB8="",Z9,AB8&amp;"     ·     "&amp;Z9),AB8)</f>
      </c>
      <c r="AC9" t="str">
        <f>_xlfn.TEXTJOIN(" · ",TRUE,IF(I9,IF(AND(YEAR(G9)=Planungsjahr,MONTH(G9)=5),"S "&amp;TEXT(DAY(G9),"00")&amp;"."&amp;TEXT(MONTH(G9),"00")&amp;".",""),""),IF(J9,IF(AND(YEAR(H9)=Planungsjahr,MONTH(H9)=5),"I "&amp;TEXT(DAY(H9),"00")&amp;"."&amp;TEXT(MONTH(H9),"00")&amp;".",""),""),IF(K9,IF(AND(YEAR(C9)=Planungsjahr,MONTH(C9)=5),"P "&amp;TEXT(DAY(C9),"00")&amp;"."&amp;TEXT(MONTH(C9),"00")&amp;".",""),""))</f>
      </c>
      <c r="AD9" t="str">
        <f>IF(AC9="","",B9&amp;":  "&amp;AC9)</f>
      </c>
      <c r="AE9">
        <f>(AD9&lt;&gt;"")+AE8</f>
      </c>
      <c r="AF9" t="str">
        <f>IF(AND(AD9&lt;&gt;"",AE9&gt;=3),IF(AF8="",AD9,AF8&amp;"     ·     "&amp;AD9),AF8)</f>
      </c>
      <c r="AG9" t="str">
        <f>_xlfn.TEXTJOIN(" · ",TRUE,IF(I9,IF(AND(YEAR(G9)=Planungsjahr,MONTH(G9)=6),"S "&amp;TEXT(DAY(G9),"00")&amp;"."&amp;TEXT(MONTH(G9),"00")&amp;".",""),""),IF(J9,IF(AND(YEAR(H9)=Planungsjahr,MONTH(H9)=6),"I "&amp;TEXT(DAY(H9),"00")&amp;"."&amp;TEXT(MONTH(H9),"00")&amp;".",""),""),IF(K9,IF(AND(YEAR(C9)=Planungsjahr,MONTH(C9)=6),"P "&amp;TEXT(DAY(C9),"00")&amp;"."&amp;TEXT(MONTH(C9),"00")&amp;".",""),""))</f>
      </c>
      <c r="AH9" t="str">
        <f>IF(AG9="","",B9&amp;":  "&amp;AG9)</f>
      </c>
      <c r="AI9">
        <f>(AH9&lt;&gt;"")+AI8</f>
      </c>
      <c r="AJ9" t="str">
        <f>IF(AND(AH9&lt;&gt;"",AI9&gt;=3),IF(AJ8="",AH9,AJ8&amp;"     ·     "&amp;AH9),AJ8)</f>
      </c>
      <c r="AK9" t="str">
        <f>_xlfn.TEXTJOIN(" · ",TRUE,IF(I9,IF(AND(YEAR(G9)=Planungsjahr,MONTH(G9)=7),"S "&amp;TEXT(DAY(G9),"00")&amp;"."&amp;TEXT(MONTH(G9),"00")&amp;".",""),""),IF(J9,IF(AND(YEAR(H9)=Planungsjahr,MONTH(H9)=7),"I "&amp;TEXT(DAY(H9),"00")&amp;"."&amp;TEXT(MONTH(H9),"00")&amp;".",""),""),IF(K9,IF(AND(YEAR(C9)=Planungsjahr,MONTH(C9)=7),"P "&amp;TEXT(DAY(C9),"00")&amp;"."&amp;TEXT(MONTH(C9),"00")&amp;".",""),""))</f>
      </c>
      <c r="AL9" t="str">
        <f>IF(AK9="","",B9&amp;":  "&amp;AK9)</f>
      </c>
      <c r="AM9">
        <f>(AL9&lt;&gt;"")+AM8</f>
      </c>
      <c r="AN9" t="str">
        <f>IF(AND(AL9&lt;&gt;"",AM9&gt;=3),IF(AN8="",AL9,AN8&amp;"     ·     "&amp;AL9),AN8)</f>
      </c>
      <c r="AO9" t="str">
        <f>_xlfn.TEXTJOIN(" · ",TRUE,IF(I9,IF(AND(YEAR(G9)=Planungsjahr,MONTH(G9)=8),"S "&amp;TEXT(DAY(G9),"00")&amp;"."&amp;TEXT(MONTH(G9),"00")&amp;".",""),""),IF(J9,IF(AND(YEAR(H9)=Planungsjahr,MONTH(H9)=8),"I "&amp;TEXT(DAY(H9),"00")&amp;"."&amp;TEXT(MONTH(H9),"00")&amp;".",""),""),IF(K9,IF(AND(YEAR(C9)=Planungsjahr,MONTH(C9)=8),"P "&amp;TEXT(DAY(C9),"00")&amp;"."&amp;TEXT(MONTH(C9),"00")&amp;".",""),""))</f>
      </c>
      <c r="AP9" t="str">
        <f>IF(AO9="","",B9&amp;":  "&amp;AO9)</f>
      </c>
      <c r="AQ9">
        <f>(AP9&lt;&gt;"")+AQ8</f>
      </c>
      <c r="AR9" t="str">
        <f>IF(AND(AP9&lt;&gt;"",AQ9&gt;=3),IF(AR8="",AP9,AR8&amp;"     ·     "&amp;AP9),AR8)</f>
      </c>
      <c r="AS9" t="str">
        <f>_xlfn.TEXTJOIN(" · ",TRUE,IF(I9,IF(AND(YEAR(G9)=Planungsjahr,MONTH(G9)=9),"S "&amp;TEXT(DAY(G9),"00")&amp;"."&amp;TEXT(MONTH(G9),"00")&amp;".",""),""),IF(J9,IF(AND(YEAR(H9)=Planungsjahr,MONTH(H9)=9),"I "&amp;TEXT(DAY(H9),"00")&amp;"."&amp;TEXT(MONTH(H9),"00")&amp;".",""),""),IF(K9,IF(AND(YEAR(C9)=Planungsjahr,MONTH(C9)=9),"P "&amp;TEXT(DAY(C9),"00")&amp;"."&amp;TEXT(MONTH(C9),"00")&amp;".",""),""))</f>
      </c>
      <c r="AT9" t="str">
        <f>IF(AS9="","",B9&amp;":  "&amp;AS9)</f>
      </c>
      <c r="AU9">
        <f>(AT9&lt;&gt;"")+AU8</f>
      </c>
      <c r="AV9" t="str">
        <f>IF(AND(AT9&lt;&gt;"",AU9&gt;=3),IF(AV8="",AT9,AV8&amp;"     ·     "&amp;AT9),AV8)</f>
      </c>
      <c r="AW9" t="str">
        <f>_xlfn.TEXTJOIN(" · ",TRUE,IF(I9,IF(AND(YEAR(G9)=Planungsjahr,MONTH(G9)=10),"S "&amp;TEXT(DAY(G9),"00")&amp;"."&amp;TEXT(MONTH(G9),"00")&amp;".",""),""),IF(J9,IF(AND(YEAR(H9)=Planungsjahr,MONTH(H9)=10),"I "&amp;TEXT(DAY(H9),"00")&amp;"."&amp;TEXT(MONTH(H9),"00")&amp;".",""),""),IF(K9,IF(AND(YEAR(C9)=Planungsjahr,MONTH(C9)=10),"P "&amp;TEXT(DAY(C9),"00")&amp;"."&amp;TEXT(MONTH(C9),"00")&amp;".",""),""))</f>
      </c>
      <c r="AX9" t="str">
        <f>IF(AW9="","",B9&amp;":  "&amp;AW9)</f>
      </c>
      <c r="AY9">
        <f>(AX9&lt;&gt;"")+AY8</f>
      </c>
      <c r="AZ9" t="str">
        <f>IF(AND(AX9&lt;&gt;"",AY9&gt;=3),IF(AZ8="",AX9,AZ8&amp;"     ·     "&amp;AX9),AZ8)</f>
      </c>
      <c r="BA9" t="str">
        <f>_xlfn.TEXTJOIN(" · ",TRUE,IF(I9,IF(AND(YEAR(G9)=Planungsjahr,MONTH(G9)=11),"S "&amp;TEXT(DAY(G9),"00")&amp;"."&amp;TEXT(MONTH(G9),"00")&amp;".",""),""),IF(J9,IF(AND(YEAR(H9)=Planungsjahr,MONTH(H9)=11),"I "&amp;TEXT(DAY(H9),"00")&amp;"."&amp;TEXT(MONTH(H9),"00")&amp;".",""),""),IF(K9,IF(AND(YEAR(C9)=Planungsjahr,MONTH(C9)=11),"P "&amp;TEXT(DAY(C9),"00")&amp;"."&amp;TEXT(MONTH(C9),"00")&amp;".",""),""))</f>
      </c>
      <c r="BB9" t="str">
        <f>IF(BA9="","",B9&amp;":  "&amp;BA9)</f>
      </c>
      <c r="BC9">
        <f>(BB9&lt;&gt;"")+BC8</f>
      </c>
      <c r="BD9" t="str">
        <f>IF(AND(BB9&lt;&gt;"",BC9&gt;=3),IF(BD8="",BB9,BD8&amp;"     ·     "&amp;BB9),BD8)</f>
      </c>
      <c r="BE9" t="str">
        <f>_xlfn.TEXTJOIN(" · ",TRUE,IF(I9,IF(AND(YEAR(G9)=Planungsjahr,MONTH(G9)=12),"S "&amp;TEXT(DAY(G9),"00")&amp;"."&amp;TEXT(MONTH(G9),"00")&amp;".",""),""),IF(J9,IF(AND(YEAR(H9)=Planungsjahr,MONTH(H9)=12),"I "&amp;TEXT(DAY(H9),"00")&amp;"."&amp;TEXT(MONTH(H9),"00")&amp;".",""),""),IF(K9,IF(AND(YEAR(C9)=Planungsjahr,MONTH(C9)=12),"P "&amp;TEXT(DAY(C9),"00")&amp;"."&amp;TEXT(MONTH(C9),"00")&amp;".",""),""))</f>
      </c>
      <c r="BF9" t="str">
        <f>IF(BE9="","",B9&amp;":  "&amp;BE9)</f>
      </c>
      <c r="BG9">
        <f>(BF9&lt;&gt;"")+BG8</f>
      </c>
      <c r="BH9" t="str">
        <f>IF(AND(BF9&lt;&gt;"",BG9&gt;=3),IF(BH8="",BF9,BH8&amp;"     ·     "&amp;BF9),BH8)</f>
      </c>
    </row>
    <row r="10">
      <c r="A10">
        <v>9</v>
      </c>
      <c r="B10" t="str">
        <f>INDEX(JP_Massnahme,A10)&amp;""</f>
      </c>
      <c r="C10">
        <f>INDEX(JP_PAL,A10)</f>
      </c>
      <c r="D10">
        <f>IF(AND(ISNUMBER(C10),C10&gt;0),COUNTIF(JP_PAL,"&lt;"&amp;C10)+COUNTIF(INDEX(JP_PAL,1):INDEX(JP_PAL,A10),C10),"")</f>
      </c>
      <c r="E10">
        <f>IF(D10="",0,MOD(D10-1,10)+1)</f>
      </c>
      <c r="F10" t="b">
        <f>OR(NOT(Filter_Aktiv),INDEX(JP_Anzeige,A10)=TRUE)</f>
      </c>
      <c r="G10">
        <f>INDEX(JP_StartSel,A10)</f>
      </c>
      <c r="H10">
        <f>INDEX(JP_StartInhalt,A10)</f>
      </c>
      <c r="I10" t="b">
        <f>AND(F10,Anzeige_S,ISNUMBER(G10))</f>
      </c>
      <c r="J10" t="b">
        <f>AND(F10,Anzeige_I,ISNUMBER(H10))</f>
      </c>
      <c r="K10" t="b">
        <f>AND(F10,Anzeige_P,ISNUMBER(C10),C10&gt;0)</f>
      </c>
      <c r="M10" t="str">
        <f>_xlfn.TEXTJOIN(" · ",TRUE,IF(I10,IF(AND(YEAR(G10)=Planungsjahr,MONTH(G10)=1),"S "&amp;TEXT(DAY(G10),"00")&amp;"."&amp;TEXT(MONTH(G10),"00")&amp;".",""),""),IF(J10,IF(AND(YEAR(H10)=Planungsjahr,MONTH(H10)=1),"I "&amp;TEXT(DAY(H10),"00")&amp;"."&amp;TEXT(MONTH(H10),"00")&amp;".",""),""),IF(K10,IF(AND(YEAR(C10)=Planungsjahr,MONTH(C10)=1),"P "&amp;TEXT(DAY(C10),"00")&amp;"."&amp;TEXT(MONTH(C10),"00")&amp;".",""),""))</f>
      </c>
      <c r="N10" t="str">
        <f>IF(M10="","",B10&amp;":  "&amp;M10)</f>
      </c>
      <c r="O10">
        <f>(N10&lt;&gt;"")+O9</f>
      </c>
      <c r="P10" t="str">
        <f>IF(AND(N10&lt;&gt;"",O10&gt;=3),IF(P9="",N10,P9&amp;"     ·     "&amp;N10),P9)</f>
      </c>
      <c r="Q10" t="str">
        <f>_xlfn.TEXTJOIN(" · ",TRUE,IF(I10,IF(AND(YEAR(G10)=Planungsjahr,MONTH(G10)=2),"S "&amp;TEXT(DAY(G10),"00")&amp;"."&amp;TEXT(MONTH(G10),"00")&amp;".",""),""),IF(J10,IF(AND(YEAR(H10)=Planungsjahr,MONTH(H10)=2),"I "&amp;TEXT(DAY(H10),"00")&amp;"."&amp;TEXT(MONTH(H10),"00")&amp;".",""),""),IF(K10,IF(AND(YEAR(C10)=Planungsjahr,MONTH(C10)=2),"P "&amp;TEXT(DAY(C10),"00")&amp;"."&amp;TEXT(MONTH(C10),"00")&amp;".",""),""))</f>
      </c>
      <c r="R10" t="str">
        <f>IF(Q10="","",B10&amp;":  "&amp;Q10)</f>
      </c>
      <c r="S10">
        <f>(R10&lt;&gt;"")+S9</f>
      </c>
      <c r="T10" t="str">
        <f>IF(AND(R10&lt;&gt;"",S10&gt;=3),IF(T9="",R10,T9&amp;"     ·     "&amp;R10),T9)</f>
      </c>
      <c r="U10" t="str">
        <f>_xlfn.TEXTJOIN(" · ",TRUE,IF(I10,IF(AND(YEAR(G10)=Planungsjahr,MONTH(G10)=3),"S "&amp;TEXT(DAY(G10),"00")&amp;"."&amp;TEXT(MONTH(G10),"00")&amp;".",""),""),IF(J10,IF(AND(YEAR(H10)=Planungsjahr,MONTH(H10)=3),"I "&amp;TEXT(DAY(H10),"00")&amp;"."&amp;TEXT(MONTH(H10),"00")&amp;".",""),""),IF(K10,IF(AND(YEAR(C10)=Planungsjahr,MONTH(C10)=3),"P "&amp;TEXT(DAY(C10),"00")&amp;"."&amp;TEXT(MONTH(C10),"00")&amp;".",""),""))</f>
      </c>
      <c r="V10" t="str">
        <f>IF(U10="","",B10&amp;":  "&amp;U10)</f>
      </c>
      <c r="W10">
        <f>(V10&lt;&gt;"")+W9</f>
      </c>
      <c r="X10" t="str">
        <f>IF(AND(V10&lt;&gt;"",W10&gt;=3),IF(X9="",V10,X9&amp;"     ·     "&amp;V10),X9)</f>
      </c>
      <c r="Y10" t="str">
        <f>_xlfn.TEXTJOIN(" · ",TRUE,IF(I10,IF(AND(YEAR(G10)=Planungsjahr,MONTH(G10)=4),"S "&amp;TEXT(DAY(G10),"00")&amp;"."&amp;TEXT(MONTH(G10),"00")&amp;".",""),""),IF(J10,IF(AND(YEAR(H10)=Planungsjahr,MONTH(H10)=4),"I "&amp;TEXT(DAY(H10),"00")&amp;"."&amp;TEXT(MONTH(H10),"00")&amp;".",""),""),IF(K10,IF(AND(YEAR(C10)=Planungsjahr,MONTH(C10)=4),"P "&amp;TEXT(DAY(C10),"00")&amp;"."&amp;TEXT(MONTH(C10),"00")&amp;".",""),""))</f>
      </c>
      <c r="Z10" t="str">
        <f>IF(Y10="","",B10&amp;":  "&amp;Y10)</f>
      </c>
      <c r="AA10">
        <f>(Z10&lt;&gt;"")+AA9</f>
      </c>
      <c r="AB10" t="str">
        <f>IF(AND(Z10&lt;&gt;"",AA10&gt;=3),IF(AB9="",Z10,AB9&amp;"     ·     "&amp;Z10),AB9)</f>
      </c>
      <c r="AC10" t="str">
        <f>_xlfn.TEXTJOIN(" · ",TRUE,IF(I10,IF(AND(YEAR(G10)=Planungsjahr,MONTH(G10)=5),"S "&amp;TEXT(DAY(G10),"00")&amp;"."&amp;TEXT(MONTH(G10),"00")&amp;".",""),""),IF(J10,IF(AND(YEAR(H10)=Planungsjahr,MONTH(H10)=5),"I "&amp;TEXT(DAY(H10),"00")&amp;"."&amp;TEXT(MONTH(H10),"00")&amp;".",""),""),IF(K10,IF(AND(YEAR(C10)=Planungsjahr,MONTH(C10)=5),"P "&amp;TEXT(DAY(C10),"00")&amp;"."&amp;TEXT(MONTH(C10),"00")&amp;".",""),""))</f>
      </c>
      <c r="AD10" t="str">
        <f>IF(AC10="","",B10&amp;":  "&amp;AC10)</f>
      </c>
      <c r="AE10">
        <f>(AD10&lt;&gt;"")+AE9</f>
      </c>
      <c r="AF10" t="str">
        <f>IF(AND(AD10&lt;&gt;"",AE10&gt;=3),IF(AF9="",AD10,AF9&amp;"     ·     "&amp;AD10),AF9)</f>
      </c>
      <c r="AG10" t="str">
        <f>_xlfn.TEXTJOIN(" · ",TRUE,IF(I10,IF(AND(YEAR(G10)=Planungsjahr,MONTH(G10)=6),"S "&amp;TEXT(DAY(G10),"00")&amp;"."&amp;TEXT(MONTH(G10),"00")&amp;".",""),""),IF(J10,IF(AND(YEAR(H10)=Planungsjahr,MONTH(H10)=6),"I "&amp;TEXT(DAY(H10),"00")&amp;"."&amp;TEXT(MONTH(H10),"00")&amp;".",""),""),IF(K10,IF(AND(YEAR(C10)=Planungsjahr,MONTH(C10)=6),"P "&amp;TEXT(DAY(C10),"00")&amp;"."&amp;TEXT(MONTH(C10),"00")&amp;".",""),""))</f>
      </c>
      <c r="AH10" t="str">
        <f>IF(AG10="","",B10&amp;":  "&amp;AG10)</f>
      </c>
      <c r="AI10">
        <f>(AH10&lt;&gt;"")+AI9</f>
      </c>
      <c r="AJ10" t="str">
        <f>IF(AND(AH10&lt;&gt;"",AI10&gt;=3),IF(AJ9="",AH10,AJ9&amp;"     ·     "&amp;AH10),AJ9)</f>
      </c>
      <c r="AK10" t="str">
        <f>_xlfn.TEXTJOIN(" · ",TRUE,IF(I10,IF(AND(YEAR(G10)=Planungsjahr,MONTH(G10)=7),"S "&amp;TEXT(DAY(G10),"00")&amp;"."&amp;TEXT(MONTH(G10),"00")&amp;".",""),""),IF(J10,IF(AND(YEAR(H10)=Planungsjahr,MONTH(H10)=7),"I "&amp;TEXT(DAY(H10),"00")&amp;"."&amp;TEXT(MONTH(H10),"00")&amp;".",""),""),IF(K10,IF(AND(YEAR(C10)=Planungsjahr,MONTH(C10)=7),"P "&amp;TEXT(DAY(C10),"00")&amp;"."&amp;TEXT(MONTH(C10),"00")&amp;".",""),""))</f>
      </c>
      <c r="AL10" t="str">
        <f>IF(AK10="","",B10&amp;":  "&amp;AK10)</f>
      </c>
      <c r="AM10">
        <f>(AL10&lt;&gt;"")+AM9</f>
      </c>
      <c r="AN10" t="str">
        <f>IF(AND(AL10&lt;&gt;"",AM10&gt;=3),IF(AN9="",AL10,AN9&amp;"     ·     "&amp;AL10),AN9)</f>
      </c>
      <c r="AO10" t="str">
        <f>_xlfn.TEXTJOIN(" · ",TRUE,IF(I10,IF(AND(YEAR(G10)=Planungsjahr,MONTH(G10)=8),"S "&amp;TEXT(DAY(G10),"00")&amp;"."&amp;TEXT(MONTH(G10),"00")&amp;".",""),""),IF(J10,IF(AND(YEAR(H10)=Planungsjahr,MONTH(H10)=8),"I "&amp;TEXT(DAY(H10),"00")&amp;"."&amp;TEXT(MONTH(H10),"00")&amp;".",""),""),IF(K10,IF(AND(YEAR(C10)=Planungsjahr,MONTH(C10)=8),"P "&amp;TEXT(DAY(C10),"00")&amp;"."&amp;TEXT(MONTH(C10),"00")&amp;".",""),""))</f>
      </c>
      <c r="AP10" t="str">
        <f>IF(AO10="","",B10&amp;":  "&amp;AO10)</f>
      </c>
      <c r="AQ10">
        <f>(AP10&lt;&gt;"")+AQ9</f>
      </c>
      <c r="AR10" t="str">
        <f>IF(AND(AP10&lt;&gt;"",AQ10&gt;=3),IF(AR9="",AP10,AR9&amp;"     ·     "&amp;AP10),AR9)</f>
      </c>
      <c r="AS10" t="str">
        <f>_xlfn.TEXTJOIN(" · ",TRUE,IF(I10,IF(AND(YEAR(G10)=Planungsjahr,MONTH(G10)=9),"S "&amp;TEXT(DAY(G10),"00")&amp;"."&amp;TEXT(MONTH(G10),"00")&amp;".",""),""),IF(J10,IF(AND(YEAR(H10)=Planungsjahr,MONTH(H10)=9),"I "&amp;TEXT(DAY(H10),"00")&amp;"."&amp;TEXT(MONTH(H10),"00")&amp;".",""),""),IF(K10,IF(AND(YEAR(C10)=Planungsjahr,MONTH(C10)=9),"P "&amp;TEXT(DAY(C10),"00")&amp;"."&amp;TEXT(MONTH(C10),"00")&amp;".",""),""))</f>
      </c>
      <c r="AT10" t="str">
        <f>IF(AS10="","",B10&amp;":  "&amp;AS10)</f>
      </c>
      <c r="AU10">
        <f>(AT10&lt;&gt;"")+AU9</f>
      </c>
      <c r="AV10" t="str">
        <f>IF(AND(AT10&lt;&gt;"",AU10&gt;=3),IF(AV9="",AT10,AV9&amp;"     ·     "&amp;AT10),AV9)</f>
      </c>
      <c r="AW10" t="str">
        <f>_xlfn.TEXTJOIN(" · ",TRUE,IF(I10,IF(AND(YEAR(G10)=Planungsjahr,MONTH(G10)=10),"S "&amp;TEXT(DAY(G10),"00")&amp;"."&amp;TEXT(MONTH(G10),"00")&amp;".",""),""),IF(J10,IF(AND(YEAR(H10)=Planungsjahr,MONTH(H10)=10),"I "&amp;TEXT(DAY(H10),"00")&amp;"."&amp;TEXT(MONTH(H10),"00")&amp;".",""),""),IF(K10,IF(AND(YEAR(C10)=Planungsjahr,MONTH(C10)=10),"P "&amp;TEXT(DAY(C10),"00")&amp;"."&amp;TEXT(MONTH(C10),"00")&amp;".",""),""))</f>
      </c>
      <c r="AX10" t="str">
        <f>IF(AW10="","",B10&amp;":  "&amp;AW10)</f>
      </c>
      <c r="AY10">
        <f>(AX10&lt;&gt;"")+AY9</f>
      </c>
      <c r="AZ10" t="str">
        <f>IF(AND(AX10&lt;&gt;"",AY10&gt;=3),IF(AZ9="",AX10,AZ9&amp;"     ·     "&amp;AX10),AZ9)</f>
      </c>
      <c r="BA10" t="str">
        <f>_xlfn.TEXTJOIN(" · ",TRUE,IF(I10,IF(AND(YEAR(G10)=Planungsjahr,MONTH(G10)=11),"S "&amp;TEXT(DAY(G10),"00")&amp;"."&amp;TEXT(MONTH(G10),"00")&amp;".",""),""),IF(J10,IF(AND(YEAR(H10)=Planungsjahr,MONTH(H10)=11),"I "&amp;TEXT(DAY(H10),"00")&amp;"."&amp;TEXT(MONTH(H10),"00")&amp;".",""),""),IF(K10,IF(AND(YEAR(C10)=Planungsjahr,MONTH(C10)=11),"P "&amp;TEXT(DAY(C10),"00")&amp;"."&amp;TEXT(MONTH(C10),"00")&amp;".",""),""))</f>
      </c>
      <c r="BB10" t="str">
        <f>IF(BA10="","",B10&amp;":  "&amp;BA10)</f>
      </c>
      <c r="BC10">
        <f>(BB10&lt;&gt;"")+BC9</f>
      </c>
      <c r="BD10" t="str">
        <f>IF(AND(BB10&lt;&gt;"",BC10&gt;=3),IF(BD9="",BB10,BD9&amp;"     ·     "&amp;BB10),BD9)</f>
      </c>
      <c r="BE10" t="str">
        <f>_xlfn.TEXTJOIN(" · ",TRUE,IF(I10,IF(AND(YEAR(G10)=Planungsjahr,MONTH(G10)=12),"S "&amp;TEXT(DAY(G10),"00")&amp;"."&amp;TEXT(MONTH(G10),"00")&amp;".",""),""),IF(J10,IF(AND(YEAR(H10)=Planungsjahr,MONTH(H10)=12),"I "&amp;TEXT(DAY(H10),"00")&amp;"."&amp;TEXT(MONTH(H10),"00")&amp;".",""),""),IF(K10,IF(AND(YEAR(C10)=Planungsjahr,MONTH(C10)=12),"P "&amp;TEXT(DAY(C10),"00")&amp;"."&amp;TEXT(MONTH(C10),"00")&amp;".",""),""))</f>
      </c>
      <c r="BF10" t="str">
        <f>IF(BE10="","",B10&amp;":  "&amp;BE10)</f>
      </c>
      <c r="BG10">
        <f>(BF10&lt;&gt;"")+BG9</f>
      </c>
      <c r="BH10" t="str">
        <f>IF(AND(BF10&lt;&gt;"",BG10&gt;=3),IF(BH9="",BF10,BH9&amp;"     ·     "&amp;BF10),BH9)</f>
      </c>
    </row>
    <row r="11">
      <c r="A11">
        <v>10</v>
      </c>
      <c r="B11" t="str">
        <f>INDEX(JP_Massnahme,A11)&amp;""</f>
      </c>
      <c r="C11">
        <f>INDEX(JP_PAL,A11)</f>
      </c>
      <c r="D11">
        <f>IF(AND(ISNUMBER(C11),C11&gt;0),COUNTIF(JP_PAL,"&lt;"&amp;C11)+COUNTIF(INDEX(JP_PAL,1):INDEX(JP_PAL,A11),C11),"")</f>
      </c>
      <c r="E11">
        <f>IF(D11="",0,MOD(D11-1,10)+1)</f>
      </c>
      <c r="F11" t="b">
        <f>OR(NOT(Filter_Aktiv),INDEX(JP_Anzeige,A11)=TRUE)</f>
      </c>
      <c r="G11">
        <f>INDEX(JP_StartSel,A11)</f>
      </c>
      <c r="H11">
        <f>INDEX(JP_StartInhalt,A11)</f>
      </c>
      <c r="I11" t="b">
        <f>AND(F11,Anzeige_S,ISNUMBER(G11))</f>
      </c>
      <c r="J11" t="b">
        <f>AND(F11,Anzeige_I,ISNUMBER(H11))</f>
      </c>
      <c r="K11" t="b">
        <f>AND(F11,Anzeige_P,ISNUMBER(C11),C11&gt;0)</f>
      </c>
      <c r="M11" t="str">
        <f>_xlfn.TEXTJOIN(" · ",TRUE,IF(I11,IF(AND(YEAR(G11)=Planungsjahr,MONTH(G11)=1),"S "&amp;TEXT(DAY(G11),"00")&amp;"."&amp;TEXT(MONTH(G11),"00")&amp;".",""),""),IF(J11,IF(AND(YEAR(H11)=Planungsjahr,MONTH(H11)=1),"I "&amp;TEXT(DAY(H11),"00")&amp;"."&amp;TEXT(MONTH(H11),"00")&amp;".",""),""),IF(K11,IF(AND(YEAR(C11)=Planungsjahr,MONTH(C11)=1),"P "&amp;TEXT(DAY(C11),"00")&amp;"."&amp;TEXT(MONTH(C11),"00")&amp;".",""),""))</f>
      </c>
      <c r="N11" t="str">
        <f>IF(M11="","",B11&amp;":  "&amp;M11)</f>
      </c>
      <c r="O11">
        <f>(N11&lt;&gt;"")+O10</f>
      </c>
      <c r="P11" t="str">
        <f>IF(AND(N11&lt;&gt;"",O11&gt;=3),IF(P10="",N11,P10&amp;"     ·     "&amp;N11),P10)</f>
      </c>
      <c r="Q11" t="str">
        <f>_xlfn.TEXTJOIN(" · ",TRUE,IF(I11,IF(AND(YEAR(G11)=Planungsjahr,MONTH(G11)=2),"S "&amp;TEXT(DAY(G11),"00")&amp;"."&amp;TEXT(MONTH(G11),"00")&amp;".",""),""),IF(J11,IF(AND(YEAR(H11)=Planungsjahr,MONTH(H11)=2),"I "&amp;TEXT(DAY(H11),"00")&amp;"."&amp;TEXT(MONTH(H11),"00")&amp;".",""),""),IF(K11,IF(AND(YEAR(C11)=Planungsjahr,MONTH(C11)=2),"P "&amp;TEXT(DAY(C11),"00")&amp;"."&amp;TEXT(MONTH(C11),"00")&amp;".",""),""))</f>
      </c>
      <c r="R11" t="str">
        <f>IF(Q11="","",B11&amp;":  "&amp;Q11)</f>
      </c>
      <c r="S11">
        <f>(R11&lt;&gt;"")+S10</f>
      </c>
      <c r="T11" t="str">
        <f>IF(AND(R11&lt;&gt;"",S11&gt;=3),IF(T10="",R11,T10&amp;"     ·     "&amp;R11),T10)</f>
      </c>
      <c r="U11" t="str">
        <f>_xlfn.TEXTJOIN(" · ",TRUE,IF(I11,IF(AND(YEAR(G11)=Planungsjahr,MONTH(G11)=3),"S "&amp;TEXT(DAY(G11),"00")&amp;"."&amp;TEXT(MONTH(G11),"00")&amp;".",""),""),IF(J11,IF(AND(YEAR(H11)=Planungsjahr,MONTH(H11)=3),"I "&amp;TEXT(DAY(H11),"00")&amp;"."&amp;TEXT(MONTH(H11),"00")&amp;".",""),""),IF(K11,IF(AND(YEAR(C11)=Planungsjahr,MONTH(C11)=3),"P "&amp;TEXT(DAY(C11),"00")&amp;"."&amp;TEXT(MONTH(C11),"00")&amp;".",""),""))</f>
      </c>
      <c r="V11" t="str">
        <f>IF(U11="","",B11&amp;":  "&amp;U11)</f>
      </c>
      <c r="W11">
        <f>(V11&lt;&gt;"")+W10</f>
      </c>
      <c r="X11" t="str">
        <f>IF(AND(V11&lt;&gt;"",W11&gt;=3),IF(X10="",V11,X10&amp;"     ·     "&amp;V11),X10)</f>
      </c>
      <c r="Y11" t="str">
        <f>_xlfn.TEXTJOIN(" · ",TRUE,IF(I11,IF(AND(YEAR(G11)=Planungsjahr,MONTH(G11)=4),"S "&amp;TEXT(DAY(G11),"00")&amp;"."&amp;TEXT(MONTH(G11),"00")&amp;".",""),""),IF(J11,IF(AND(YEAR(H11)=Planungsjahr,MONTH(H11)=4),"I "&amp;TEXT(DAY(H11),"00")&amp;"."&amp;TEXT(MONTH(H11),"00")&amp;".",""),""),IF(K11,IF(AND(YEAR(C11)=Planungsjahr,MONTH(C11)=4),"P "&amp;TEXT(DAY(C11),"00")&amp;"."&amp;TEXT(MONTH(C11),"00")&amp;".",""),""))</f>
      </c>
      <c r="Z11" t="str">
        <f>IF(Y11="","",B11&amp;":  "&amp;Y11)</f>
      </c>
      <c r="AA11">
        <f>(Z11&lt;&gt;"")+AA10</f>
      </c>
      <c r="AB11" t="str">
        <f>IF(AND(Z11&lt;&gt;"",AA11&gt;=3),IF(AB10="",Z11,AB10&amp;"     ·     "&amp;Z11),AB10)</f>
      </c>
      <c r="AC11" t="str">
        <f>_xlfn.TEXTJOIN(" · ",TRUE,IF(I11,IF(AND(YEAR(G11)=Planungsjahr,MONTH(G11)=5),"S "&amp;TEXT(DAY(G11),"00")&amp;"."&amp;TEXT(MONTH(G11),"00")&amp;".",""),""),IF(J11,IF(AND(YEAR(H11)=Planungsjahr,MONTH(H11)=5),"I "&amp;TEXT(DAY(H11),"00")&amp;"."&amp;TEXT(MONTH(H11),"00")&amp;".",""),""),IF(K11,IF(AND(YEAR(C11)=Planungsjahr,MONTH(C11)=5),"P "&amp;TEXT(DAY(C11),"00")&amp;"."&amp;TEXT(MONTH(C11),"00")&amp;".",""),""))</f>
      </c>
      <c r="AD11" t="str">
        <f>IF(AC11="","",B11&amp;":  "&amp;AC11)</f>
      </c>
      <c r="AE11">
        <f>(AD11&lt;&gt;"")+AE10</f>
      </c>
      <c r="AF11" t="str">
        <f>IF(AND(AD11&lt;&gt;"",AE11&gt;=3),IF(AF10="",AD11,AF10&amp;"     ·     "&amp;AD11),AF10)</f>
      </c>
      <c r="AG11" t="str">
        <f>_xlfn.TEXTJOIN(" · ",TRUE,IF(I11,IF(AND(YEAR(G11)=Planungsjahr,MONTH(G11)=6),"S "&amp;TEXT(DAY(G11),"00")&amp;"."&amp;TEXT(MONTH(G11),"00")&amp;".",""),""),IF(J11,IF(AND(YEAR(H11)=Planungsjahr,MONTH(H11)=6),"I "&amp;TEXT(DAY(H11),"00")&amp;"."&amp;TEXT(MONTH(H11),"00")&amp;".",""),""),IF(K11,IF(AND(YEAR(C11)=Planungsjahr,MONTH(C11)=6),"P "&amp;TEXT(DAY(C11),"00")&amp;"."&amp;TEXT(MONTH(C11),"00")&amp;".",""),""))</f>
      </c>
      <c r="AH11" t="str">
        <f>IF(AG11="","",B11&amp;":  "&amp;AG11)</f>
      </c>
      <c r="AI11">
        <f>(AH11&lt;&gt;"")+AI10</f>
      </c>
      <c r="AJ11" t="str">
        <f>IF(AND(AH11&lt;&gt;"",AI11&gt;=3),IF(AJ10="",AH11,AJ10&amp;"     ·     "&amp;AH11),AJ10)</f>
      </c>
      <c r="AK11" t="str">
        <f>_xlfn.TEXTJOIN(" · ",TRUE,IF(I11,IF(AND(YEAR(G11)=Planungsjahr,MONTH(G11)=7),"S "&amp;TEXT(DAY(G11),"00")&amp;"."&amp;TEXT(MONTH(G11),"00")&amp;".",""),""),IF(J11,IF(AND(YEAR(H11)=Planungsjahr,MONTH(H11)=7),"I "&amp;TEXT(DAY(H11),"00")&amp;"."&amp;TEXT(MONTH(H11),"00")&amp;".",""),""),IF(K11,IF(AND(YEAR(C11)=Planungsjahr,MONTH(C11)=7),"P "&amp;TEXT(DAY(C11),"00")&amp;"."&amp;TEXT(MONTH(C11),"00")&amp;".",""),""))</f>
      </c>
      <c r="AL11" t="str">
        <f>IF(AK11="","",B11&amp;":  "&amp;AK11)</f>
      </c>
      <c r="AM11">
        <f>(AL11&lt;&gt;"")+AM10</f>
      </c>
      <c r="AN11" t="str">
        <f>IF(AND(AL11&lt;&gt;"",AM11&gt;=3),IF(AN10="",AL11,AN10&amp;"     ·     "&amp;AL11),AN10)</f>
      </c>
      <c r="AO11" t="str">
        <f>_xlfn.TEXTJOIN(" · ",TRUE,IF(I11,IF(AND(YEAR(G11)=Planungsjahr,MONTH(G11)=8),"S "&amp;TEXT(DAY(G11),"00")&amp;"."&amp;TEXT(MONTH(G11),"00")&amp;".",""),""),IF(J11,IF(AND(YEAR(H11)=Planungsjahr,MONTH(H11)=8),"I "&amp;TEXT(DAY(H11),"00")&amp;"."&amp;TEXT(MONTH(H11),"00")&amp;".",""),""),IF(K11,IF(AND(YEAR(C11)=Planungsjahr,MONTH(C11)=8),"P "&amp;TEXT(DAY(C11),"00")&amp;"."&amp;TEXT(MONTH(C11),"00")&amp;".",""),""))</f>
      </c>
      <c r="AP11" t="str">
        <f>IF(AO11="","",B11&amp;":  "&amp;AO11)</f>
      </c>
      <c r="AQ11">
        <f>(AP11&lt;&gt;"")+AQ10</f>
      </c>
      <c r="AR11" t="str">
        <f>IF(AND(AP11&lt;&gt;"",AQ11&gt;=3),IF(AR10="",AP11,AR10&amp;"     ·     "&amp;AP11),AR10)</f>
      </c>
      <c r="AS11" t="str">
        <f>_xlfn.TEXTJOIN(" · ",TRUE,IF(I11,IF(AND(YEAR(G11)=Planungsjahr,MONTH(G11)=9),"S "&amp;TEXT(DAY(G11),"00")&amp;"."&amp;TEXT(MONTH(G11),"00")&amp;".",""),""),IF(J11,IF(AND(YEAR(H11)=Planungsjahr,MONTH(H11)=9),"I "&amp;TEXT(DAY(H11),"00")&amp;"."&amp;TEXT(MONTH(H11),"00")&amp;".",""),""),IF(K11,IF(AND(YEAR(C11)=Planungsjahr,MONTH(C11)=9),"P "&amp;TEXT(DAY(C11),"00")&amp;"."&amp;TEXT(MONTH(C11),"00")&amp;".",""),""))</f>
      </c>
      <c r="AT11" t="str">
        <f>IF(AS11="","",B11&amp;":  "&amp;AS11)</f>
      </c>
      <c r="AU11">
        <f>(AT11&lt;&gt;"")+AU10</f>
      </c>
      <c r="AV11" t="str">
        <f>IF(AND(AT11&lt;&gt;"",AU11&gt;=3),IF(AV10="",AT11,AV10&amp;"     ·     "&amp;AT11),AV10)</f>
      </c>
      <c r="AW11" t="str">
        <f>_xlfn.TEXTJOIN(" · ",TRUE,IF(I11,IF(AND(YEAR(G11)=Planungsjahr,MONTH(G11)=10),"S "&amp;TEXT(DAY(G11),"00")&amp;"."&amp;TEXT(MONTH(G11),"00")&amp;".",""),""),IF(J11,IF(AND(YEAR(H11)=Planungsjahr,MONTH(H11)=10),"I "&amp;TEXT(DAY(H11),"00")&amp;"."&amp;TEXT(MONTH(H11),"00")&amp;".",""),""),IF(K11,IF(AND(YEAR(C11)=Planungsjahr,MONTH(C11)=10),"P "&amp;TEXT(DAY(C11),"00")&amp;"."&amp;TEXT(MONTH(C11),"00")&amp;".",""),""))</f>
      </c>
      <c r="AX11" t="str">
        <f>IF(AW11="","",B11&amp;":  "&amp;AW11)</f>
      </c>
      <c r="AY11">
        <f>(AX11&lt;&gt;"")+AY10</f>
      </c>
      <c r="AZ11" t="str">
        <f>IF(AND(AX11&lt;&gt;"",AY11&gt;=3),IF(AZ10="",AX11,AZ10&amp;"     ·     "&amp;AX11),AZ10)</f>
      </c>
      <c r="BA11" t="str">
        <f>_xlfn.TEXTJOIN(" · ",TRUE,IF(I11,IF(AND(YEAR(G11)=Planungsjahr,MONTH(G11)=11),"S "&amp;TEXT(DAY(G11),"00")&amp;"."&amp;TEXT(MONTH(G11),"00")&amp;".",""),""),IF(J11,IF(AND(YEAR(H11)=Planungsjahr,MONTH(H11)=11),"I "&amp;TEXT(DAY(H11),"00")&amp;"."&amp;TEXT(MONTH(H11),"00")&amp;".",""),""),IF(K11,IF(AND(YEAR(C11)=Planungsjahr,MONTH(C11)=11),"P "&amp;TEXT(DAY(C11),"00")&amp;"."&amp;TEXT(MONTH(C11),"00")&amp;".",""),""))</f>
      </c>
      <c r="BB11" t="str">
        <f>IF(BA11="","",B11&amp;":  "&amp;BA11)</f>
      </c>
      <c r="BC11">
        <f>(BB11&lt;&gt;"")+BC10</f>
      </c>
      <c r="BD11" t="str">
        <f>IF(AND(BB11&lt;&gt;"",BC11&gt;=3),IF(BD10="",BB11,BD10&amp;"     ·     "&amp;BB11),BD10)</f>
      </c>
      <c r="BE11" t="str">
        <f>_xlfn.TEXTJOIN(" · ",TRUE,IF(I11,IF(AND(YEAR(G11)=Planungsjahr,MONTH(G11)=12),"S "&amp;TEXT(DAY(G11),"00")&amp;"."&amp;TEXT(MONTH(G11),"00")&amp;".",""),""),IF(J11,IF(AND(YEAR(H11)=Planungsjahr,MONTH(H11)=12),"I "&amp;TEXT(DAY(H11),"00")&amp;"."&amp;TEXT(MONTH(H11),"00")&amp;".",""),""),IF(K11,IF(AND(YEAR(C11)=Planungsjahr,MONTH(C11)=12),"P "&amp;TEXT(DAY(C11),"00")&amp;"."&amp;TEXT(MONTH(C11),"00")&amp;".",""),""))</f>
      </c>
      <c r="BF11" t="str">
        <f>IF(BE11="","",B11&amp;":  "&amp;BE11)</f>
      </c>
      <c r="BG11">
        <f>(BF11&lt;&gt;"")+BG10</f>
      </c>
      <c r="BH11" t="str">
        <f>IF(AND(BF11&lt;&gt;"",BG11&gt;=3),IF(BH10="",BF11,BH10&amp;"     ·     "&amp;BF11),BH10)</f>
      </c>
    </row>
    <row r="12">
      <c r="A12">
        <v>11</v>
      </c>
      <c r="B12" t="str">
        <f>INDEX(JP_Massnahme,A12)&amp;""</f>
      </c>
      <c r="C12">
        <f>INDEX(JP_PAL,A12)</f>
      </c>
      <c r="D12">
        <f>IF(AND(ISNUMBER(C12),C12&gt;0),COUNTIF(JP_PAL,"&lt;"&amp;C12)+COUNTIF(INDEX(JP_PAL,1):INDEX(JP_PAL,A12),C12),"")</f>
      </c>
      <c r="E12">
        <f>IF(D12="",0,MOD(D12-1,10)+1)</f>
      </c>
      <c r="F12" t="b">
        <f>OR(NOT(Filter_Aktiv),INDEX(JP_Anzeige,A12)=TRUE)</f>
      </c>
      <c r="G12">
        <f>INDEX(JP_StartSel,A12)</f>
      </c>
      <c r="H12">
        <f>INDEX(JP_StartInhalt,A12)</f>
      </c>
      <c r="I12" t="b">
        <f>AND(F12,Anzeige_S,ISNUMBER(G12))</f>
      </c>
      <c r="J12" t="b">
        <f>AND(F12,Anzeige_I,ISNUMBER(H12))</f>
      </c>
      <c r="K12" t="b">
        <f>AND(F12,Anzeige_P,ISNUMBER(C12),C12&gt;0)</f>
      </c>
      <c r="M12" t="str">
        <f>_xlfn.TEXTJOIN(" · ",TRUE,IF(I12,IF(AND(YEAR(G12)=Planungsjahr,MONTH(G12)=1),"S "&amp;TEXT(DAY(G12),"00")&amp;"."&amp;TEXT(MONTH(G12),"00")&amp;".",""),""),IF(J12,IF(AND(YEAR(H12)=Planungsjahr,MONTH(H12)=1),"I "&amp;TEXT(DAY(H12),"00")&amp;"."&amp;TEXT(MONTH(H12),"00")&amp;".",""),""),IF(K12,IF(AND(YEAR(C12)=Planungsjahr,MONTH(C12)=1),"P "&amp;TEXT(DAY(C12),"00")&amp;"."&amp;TEXT(MONTH(C12),"00")&amp;".",""),""))</f>
      </c>
      <c r="N12" t="str">
        <f>IF(M12="","",B12&amp;":  "&amp;M12)</f>
      </c>
      <c r="O12">
        <f>(N12&lt;&gt;"")+O11</f>
      </c>
      <c r="P12" t="str">
        <f>IF(AND(N12&lt;&gt;"",O12&gt;=3),IF(P11="",N12,P11&amp;"     ·     "&amp;N12),P11)</f>
      </c>
      <c r="Q12" t="str">
        <f>_xlfn.TEXTJOIN(" · ",TRUE,IF(I12,IF(AND(YEAR(G12)=Planungsjahr,MONTH(G12)=2),"S "&amp;TEXT(DAY(G12),"00")&amp;"."&amp;TEXT(MONTH(G12),"00")&amp;".",""),""),IF(J12,IF(AND(YEAR(H12)=Planungsjahr,MONTH(H12)=2),"I "&amp;TEXT(DAY(H12),"00")&amp;"."&amp;TEXT(MONTH(H12),"00")&amp;".",""),""),IF(K12,IF(AND(YEAR(C12)=Planungsjahr,MONTH(C12)=2),"P "&amp;TEXT(DAY(C12),"00")&amp;"."&amp;TEXT(MONTH(C12),"00")&amp;".",""),""))</f>
      </c>
      <c r="R12" t="str">
        <f>IF(Q12="","",B12&amp;":  "&amp;Q12)</f>
      </c>
      <c r="S12">
        <f>(R12&lt;&gt;"")+S11</f>
      </c>
      <c r="T12" t="str">
        <f>IF(AND(R12&lt;&gt;"",S12&gt;=3),IF(T11="",R12,T11&amp;"     ·     "&amp;R12),T11)</f>
      </c>
      <c r="U12" t="str">
        <f>_xlfn.TEXTJOIN(" · ",TRUE,IF(I12,IF(AND(YEAR(G12)=Planungsjahr,MONTH(G12)=3),"S "&amp;TEXT(DAY(G12),"00")&amp;"."&amp;TEXT(MONTH(G12),"00")&amp;".",""),""),IF(J12,IF(AND(YEAR(H12)=Planungsjahr,MONTH(H12)=3),"I "&amp;TEXT(DAY(H12),"00")&amp;"."&amp;TEXT(MONTH(H12),"00")&amp;".",""),""),IF(K12,IF(AND(YEAR(C12)=Planungsjahr,MONTH(C12)=3),"P "&amp;TEXT(DAY(C12),"00")&amp;"."&amp;TEXT(MONTH(C12),"00")&amp;".",""),""))</f>
      </c>
      <c r="V12" t="str">
        <f>IF(U12="","",B12&amp;":  "&amp;U12)</f>
      </c>
      <c r="W12">
        <f>(V12&lt;&gt;"")+W11</f>
      </c>
      <c r="X12" t="str">
        <f>IF(AND(V12&lt;&gt;"",W12&gt;=3),IF(X11="",V12,X11&amp;"     ·     "&amp;V12),X11)</f>
      </c>
      <c r="Y12" t="str">
        <f>_xlfn.TEXTJOIN(" · ",TRUE,IF(I12,IF(AND(YEAR(G12)=Planungsjahr,MONTH(G12)=4),"S "&amp;TEXT(DAY(G12),"00")&amp;"."&amp;TEXT(MONTH(G12),"00")&amp;".",""),""),IF(J12,IF(AND(YEAR(H12)=Planungsjahr,MONTH(H12)=4),"I "&amp;TEXT(DAY(H12),"00")&amp;"."&amp;TEXT(MONTH(H12),"00")&amp;".",""),""),IF(K12,IF(AND(YEAR(C12)=Planungsjahr,MONTH(C12)=4),"P "&amp;TEXT(DAY(C12),"00")&amp;"."&amp;TEXT(MONTH(C12),"00")&amp;".",""),""))</f>
      </c>
      <c r="Z12" t="str">
        <f>IF(Y12="","",B12&amp;":  "&amp;Y12)</f>
      </c>
      <c r="AA12">
        <f>(Z12&lt;&gt;"")+AA11</f>
      </c>
      <c r="AB12" t="str">
        <f>IF(AND(Z12&lt;&gt;"",AA12&gt;=3),IF(AB11="",Z12,AB11&amp;"     ·     "&amp;Z12),AB11)</f>
      </c>
      <c r="AC12" t="str">
        <f>_xlfn.TEXTJOIN(" · ",TRUE,IF(I12,IF(AND(YEAR(G12)=Planungsjahr,MONTH(G12)=5),"S "&amp;TEXT(DAY(G12),"00")&amp;"."&amp;TEXT(MONTH(G12),"00")&amp;".",""),""),IF(J12,IF(AND(YEAR(H12)=Planungsjahr,MONTH(H12)=5),"I "&amp;TEXT(DAY(H12),"00")&amp;"."&amp;TEXT(MONTH(H12),"00")&amp;".",""),""),IF(K12,IF(AND(YEAR(C12)=Planungsjahr,MONTH(C12)=5),"P "&amp;TEXT(DAY(C12),"00")&amp;"."&amp;TEXT(MONTH(C12),"00")&amp;".",""),""))</f>
      </c>
      <c r="AD12" t="str">
        <f>IF(AC12="","",B12&amp;":  "&amp;AC12)</f>
      </c>
      <c r="AE12">
        <f>(AD12&lt;&gt;"")+AE11</f>
      </c>
      <c r="AF12" t="str">
        <f>IF(AND(AD12&lt;&gt;"",AE12&gt;=3),IF(AF11="",AD12,AF11&amp;"     ·     "&amp;AD12),AF11)</f>
      </c>
      <c r="AG12" t="str">
        <f>_xlfn.TEXTJOIN(" · ",TRUE,IF(I12,IF(AND(YEAR(G12)=Planungsjahr,MONTH(G12)=6),"S "&amp;TEXT(DAY(G12),"00")&amp;"."&amp;TEXT(MONTH(G12),"00")&amp;".",""),""),IF(J12,IF(AND(YEAR(H12)=Planungsjahr,MONTH(H12)=6),"I "&amp;TEXT(DAY(H12),"00")&amp;"."&amp;TEXT(MONTH(H12),"00")&amp;".",""),""),IF(K12,IF(AND(YEAR(C12)=Planungsjahr,MONTH(C12)=6),"P "&amp;TEXT(DAY(C12),"00")&amp;"."&amp;TEXT(MONTH(C12),"00")&amp;".",""),""))</f>
      </c>
      <c r="AH12" t="str">
        <f>IF(AG12="","",B12&amp;":  "&amp;AG12)</f>
      </c>
      <c r="AI12">
        <f>(AH12&lt;&gt;"")+AI11</f>
      </c>
      <c r="AJ12" t="str">
        <f>IF(AND(AH12&lt;&gt;"",AI12&gt;=3),IF(AJ11="",AH12,AJ11&amp;"     ·     "&amp;AH12),AJ11)</f>
      </c>
      <c r="AK12" t="str">
        <f>_xlfn.TEXTJOIN(" · ",TRUE,IF(I12,IF(AND(YEAR(G12)=Planungsjahr,MONTH(G12)=7),"S "&amp;TEXT(DAY(G12),"00")&amp;"."&amp;TEXT(MONTH(G12),"00")&amp;".",""),""),IF(J12,IF(AND(YEAR(H12)=Planungsjahr,MONTH(H12)=7),"I "&amp;TEXT(DAY(H12),"00")&amp;"."&amp;TEXT(MONTH(H12),"00")&amp;".",""),""),IF(K12,IF(AND(YEAR(C12)=Planungsjahr,MONTH(C12)=7),"P "&amp;TEXT(DAY(C12),"00")&amp;"."&amp;TEXT(MONTH(C12),"00")&amp;".",""),""))</f>
      </c>
      <c r="AL12" t="str">
        <f>IF(AK12="","",B12&amp;":  "&amp;AK12)</f>
      </c>
      <c r="AM12">
        <f>(AL12&lt;&gt;"")+AM11</f>
      </c>
      <c r="AN12" t="str">
        <f>IF(AND(AL12&lt;&gt;"",AM12&gt;=3),IF(AN11="",AL12,AN11&amp;"     ·     "&amp;AL12),AN11)</f>
      </c>
      <c r="AO12" t="str">
        <f>_xlfn.TEXTJOIN(" · ",TRUE,IF(I12,IF(AND(YEAR(G12)=Planungsjahr,MONTH(G12)=8),"S "&amp;TEXT(DAY(G12),"00")&amp;"."&amp;TEXT(MONTH(G12),"00")&amp;".",""),""),IF(J12,IF(AND(YEAR(H12)=Planungsjahr,MONTH(H12)=8),"I "&amp;TEXT(DAY(H12),"00")&amp;"."&amp;TEXT(MONTH(H12),"00")&amp;".",""),""),IF(K12,IF(AND(YEAR(C12)=Planungsjahr,MONTH(C12)=8),"P "&amp;TEXT(DAY(C12),"00")&amp;"."&amp;TEXT(MONTH(C12),"00")&amp;".",""),""))</f>
      </c>
      <c r="AP12" t="str">
        <f>IF(AO12="","",B12&amp;":  "&amp;AO12)</f>
      </c>
      <c r="AQ12">
        <f>(AP12&lt;&gt;"")+AQ11</f>
      </c>
      <c r="AR12" t="str">
        <f>IF(AND(AP12&lt;&gt;"",AQ12&gt;=3),IF(AR11="",AP12,AR11&amp;"     ·     "&amp;AP12),AR11)</f>
      </c>
      <c r="AS12" t="str">
        <f>_xlfn.TEXTJOIN(" · ",TRUE,IF(I12,IF(AND(YEAR(G12)=Planungsjahr,MONTH(G12)=9),"S "&amp;TEXT(DAY(G12),"00")&amp;"."&amp;TEXT(MONTH(G12),"00")&amp;".",""),""),IF(J12,IF(AND(YEAR(H12)=Planungsjahr,MONTH(H12)=9),"I "&amp;TEXT(DAY(H12),"00")&amp;"."&amp;TEXT(MONTH(H12),"00")&amp;".",""),""),IF(K12,IF(AND(YEAR(C12)=Planungsjahr,MONTH(C12)=9),"P "&amp;TEXT(DAY(C12),"00")&amp;"."&amp;TEXT(MONTH(C12),"00")&amp;".",""),""))</f>
      </c>
      <c r="AT12" t="str">
        <f>IF(AS12="","",B12&amp;":  "&amp;AS12)</f>
      </c>
      <c r="AU12">
        <f>(AT12&lt;&gt;"")+AU11</f>
      </c>
      <c r="AV12" t="str">
        <f>IF(AND(AT12&lt;&gt;"",AU12&gt;=3),IF(AV11="",AT12,AV11&amp;"     ·     "&amp;AT12),AV11)</f>
      </c>
      <c r="AW12" t="str">
        <f>_xlfn.TEXTJOIN(" · ",TRUE,IF(I12,IF(AND(YEAR(G12)=Planungsjahr,MONTH(G12)=10),"S "&amp;TEXT(DAY(G12),"00")&amp;"."&amp;TEXT(MONTH(G12),"00")&amp;".",""),""),IF(J12,IF(AND(YEAR(H12)=Planungsjahr,MONTH(H12)=10),"I "&amp;TEXT(DAY(H12),"00")&amp;"."&amp;TEXT(MONTH(H12),"00")&amp;".",""),""),IF(K12,IF(AND(YEAR(C12)=Planungsjahr,MONTH(C12)=10),"P "&amp;TEXT(DAY(C12),"00")&amp;"."&amp;TEXT(MONTH(C12),"00")&amp;".",""),""))</f>
      </c>
      <c r="AX12" t="str">
        <f>IF(AW12="","",B12&amp;":  "&amp;AW12)</f>
      </c>
      <c r="AY12">
        <f>(AX12&lt;&gt;"")+AY11</f>
      </c>
      <c r="AZ12" t="str">
        <f>IF(AND(AX12&lt;&gt;"",AY12&gt;=3),IF(AZ11="",AX12,AZ11&amp;"     ·     "&amp;AX12),AZ11)</f>
      </c>
      <c r="BA12" t="str">
        <f>_xlfn.TEXTJOIN(" · ",TRUE,IF(I12,IF(AND(YEAR(G12)=Planungsjahr,MONTH(G12)=11),"S "&amp;TEXT(DAY(G12),"00")&amp;"."&amp;TEXT(MONTH(G12),"00")&amp;".",""),""),IF(J12,IF(AND(YEAR(H12)=Planungsjahr,MONTH(H12)=11),"I "&amp;TEXT(DAY(H12),"00")&amp;"."&amp;TEXT(MONTH(H12),"00")&amp;".",""),""),IF(K12,IF(AND(YEAR(C12)=Planungsjahr,MONTH(C12)=11),"P "&amp;TEXT(DAY(C12),"00")&amp;"."&amp;TEXT(MONTH(C12),"00")&amp;".",""),""))</f>
      </c>
      <c r="BB12" t="str">
        <f>IF(BA12="","",B12&amp;":  "&amp;BA12)</f>
      </c>
      <c r="BC12">
        <f>(BB12&lt;&gt;"")+BC11</f>
      </c>
      <c r="BD12" t="str">
        <f>IF(AND(BB12&lt;&gt;"",BC12&gt;=3),IF(BD11="",BB12,BD11&amp;"     ·     "&amp;BB12),BD11)</f>
      </c>
      <c r="BE12" t="str">
        <f>_xlfn.TEXTJOIN(" · ",TRUE,IF(I12,IF(AND(YEAR(G12)=Planungsjahr,MONTH(G12)=12),"S "&amp;TEXT(DAY(G12),"00")&amp;"."&amp;TEXT(MONTH(G12),"00")&amp;".",""),""),IF(J12,IF(AND(YEAR(H12)=Planungsjahr,MONTH(H12)=12),"I "&amp;TEXT(DAY(H12),"00")&amp;"."&amp;TEXT(MONTH(H12),"00")&amp;".",""),""),IF(K12,IF(AND(YEAR(C12)=Planungsjahr,MONTH(C12)=12),"P "&amp;TEXT(DAY(C12),"00")&amp;"."&amp;TEXT(MONTH(C12),"00")&amp;".",""),""))</f>
      </c>
      <c r="BF12" t="str">
        <f>IF(BE12="","",B12&amp;":  "&amp;BE12)</f>
      </c>
      <c r="BG12">
        <f>(BF12&lt;&gt;"")+BG11</f>
      </c>
      <c r="BH12" t="str">
        <f>IF(AND(BF12&lt;&gt;"",BG12&gt;=3),IF(BH11="",BF12,BH11&amp;"     ·     "&amp;BF12),BH11)</f>
      </c>
    </row>
    <row r="13">
      <c r="A13">
        <v>12</v>
      </c>
      <c r="B13" t="str">
        <f>INDEX(JP_Massnahme,A13)&amp;""</f>
      </c>
      <c r="C13">
        <f>INDEX(JP_PAL,A13)</f>
      </c>
      <c r="D13">
        <f>IF(AND(ISNUMBER(C13),C13&gt;0),COUNTIF(JP_PAL,"&lt;"&amp;C13)+COUNTIF(INDEX(JP_PAL,1):INDEX(JP_PAL,A13),C13),"")</f>
      </c>
      <c r="E13">
        <f>IF(D13="",0,MOD(D13-1,10)+1)</f>
      </c>
      <c r="F13" t="b">
        <f>OR(NOT(Filter_Aktiv),INDEX(JP_Anzeige,A13)=TRUE)</f>
      </c>
      <c r="G13">
        <f>INDEX(JP_StartSel,A13)</f>
      </c>
      <c r="H13">
        <f>INDEX(JP_StartInhalt,A13)</f>
      </c>
      <c r="I13" t="b">
        <f>AND(F13,Anzeige_S,ISNUMBER(G13))</f>
      </c>
      <c r="J13" t="b">
        <f>AND(F13,Anzeige_I,ISNUMBER(H13))</f>
      </c>
      <c r="K13" t="b">
        <f>AND(F13,Anzeige_P,ISNUMBER(C13),C13&gt;0)</f>
      </c>
      <c r="M13" t="str">
        <f>_xlfn.TEXTJOIN(" · ",TRUE,IF(I13,IF(AND(YEAR(G13)=Planungsjahr,MONTH(G13)=1),"S "&amp;TEXT(DAY(G13),"00")&amp;"."&amp;TEXT(MONTH(G13),"00")&amp;".",""),""),IF(J13,IF(AND(YEAR(H13)=Planungsjahr,MONTH(H13)=1),"I "&amp;TEXT(DAY(H13),"00")&amp;"."&amp;TEXT(MONTH(H13),"00")&amp;".",""),""),IF(K13,IF(AND(YEAR(C13)=Planungsjahr,MONTH(C13)=1),"P "&amp;TEXT(DAY(C13),"00")&amp;"."&amp;TEXT(MONTH(C13),"00")&amp;".",""),""))</f>
      </c>
      <c r="N13" t="str">
        <f>IF(M13="","",B13&amp;":  "&amp;M13)</f>
      </c>
      <c r="O13">
        <f>(N13&lt;&gt;"")+O12</f>
      </c>
      <c r="P13" t="str">
        <f>IF(AND(N13&lt;&gt;"",O13&gt;=3),IF(P12="",N13,P12&amp;"     ·     "&amp;N13),P12)</f>
      </c>
      <c r="Q13" t="str">
        <f>_xlfn.TEXTJOIN(" · ",TRUE,IF(I13,IF(AND(YEAR(G13)=Planungsjahr,MONTH(G13)=2),"S "&amp;TEXT(DAY(G13),"00")&amp;"."&amp;TEXT(MONTH(G13),"00")&amp;".",""),""),IF(J13,IF(AND(YEAR(H13)=Planungsjahr,MONTH(H13)=2),"I "&amp;TEXT(DAY(H13),"00")&amp;"."&amp;TEXT(MONTH(H13),"00")&amp;".",""),""),IF(K13,IF(AND(YEAR(C13)=Planungsjahr,MONTH(C13)=2),"P "&amp;TEXT(DAY(C13),"00")&amp;"."&amp;TEXT(MONTH(C13),"00")&amp;".",""),""))</f>
      </c>
      <c r="R13" t="str">
        <f>IF(Q13="","",B13&amp;":  "&amp;Q13)</f>
      </c>
      <c r="S13">
        <f>(R13&lt;&gt;"")+S12</f>
      </c>
      <c r="T13" t="str">
        <f>IF(AND(R13&lt;&gt;"",S13&gt;=3),IF(T12="",R13,T12&amp;"     ·     "&amp;R13),T12)</f>
      </c>
      <c r="U13" t="str">
        <f>_xlfn.TEXTJOIN(" · ",TRUE,IF(I13,IF(AND(YEAR(G13)=Planungsjahr,MONTH(G13)=3),"S "&amp;TEXT(DAY(G13),"00")&amp;"."&amp;TEXT(MONTH(G13),"00")&amp;".",""),""),IF(J13,IF(AND(YEAR(H13)=Planungsjahr,MONTH(H13)=3),"I "&amp;TEXT(DAY(H13),"00")&amp;"."&amp;TEXT(MONTH(H13),"00")&amp;".",""),""),IF(K13,IF(AND(YEAR(C13)=Planungsjahr,MONTH(C13)=3),"P "&amp;TEXT(DAY(C13),"00")&amp;"."&amp;TEXT(MONTH(C13),"00")&amp;".",""),""))</f>
      </c>
      <c r="V13" t="str">
        <f>IF(U13="","",B13&amp;":  "&amp;U13)</f>
      </c>
      <c r="W13">
        <f>(V13&lt;&gt;"")+W12</f>
      </c>
      <c r="X13" t="str">
        <f>IF(AND(V13&lt;&gt;"",W13&gt;=3),IF(X12="",V13,X12&amp;"     ·     "&amp;V13),X12)</f>
      </c>
      <c r="Y13" t="str">
        <f>_xlfn.TEXTJOIN(" · ",TRUE,IF(I13,IF(AND(YEAR(G13)=Planungsjahr,MONTH(G13)=4),"S "&amp;TEXT(DAY(G13),"00")&amp;"."&amp;TEXT(MONTH(G13),"00")&amp;".",""),""),IF(J13,IF(AND(YEAR(H13)=Planungsjahr,MONTH(H13)=4),"I "&amp;TEXT(DAY(H13),"00")&amp;"."&amp;TEXT(MONTH(H13),"00")&amp;".",""),""),IF(K13,IF(AND(YEAR(C13)=Planungsjahr,MONTH(C13)=4),"P "&amp;TEXT(DAY(C13),"00")&amp;"."&amp;TEXT(MONTH(C13),"00")&amp;".",""),""))</f>
      </c>
      <c r="Z13" t="str">
        <f>IF(Y13="","",B13&amp;":  "&amp;Y13)</f>
      </c>
      <c r="AA13">
        <f>(Z13&lt;&gt;"")+AA12</f>
      </c>
      <c r="AB13" t="str">
        <f>IF(AND(Z13&lt;&gt;"",AA13&gt;=3),IF(AB12="",Z13,AB12&amp;"     ·     "&amp;Z13),AB12)</f>
      </c>
      <c r="AC13" t="str">
        <f>_xlfn.TEXTJOIN(" · ",TRUE,IF(I13,IF(AND(YEAR(G13)=Planungsjahr,MONTH(G13)=5),"S "&amp;TEXT(DAY(G13),"00")&amp;"."&amp;TEXT(MONTH(G13),"00")&amp;".",""),""),IF(J13,IF(AND(YEAR(H13)=Planungsjahr,MONTH(H13)=5),"I "&amp;TEXT(DAY(H13),"00")&amp;"."&amp;TEXT(MONTH(H13),"00")&amp;".",""),""),IF(K13,IF(AND(YEAR(C13)=Planungsjahr,MONTH(C13)=5),"P "&amp;TEXT(DAY(C13),"00")&amp;"."&amp;TEXT(MONTH(C13),"00")&amp;".",""),""))</f>
      </c>
      <c r="AD13" t="str">
        <f>IF(AC13="","",B13&amp;":  "&amp;AC13)</f>
      </c>
      <c r="AE13">
        <f>(AD13&lt;&gt;"")+AE12</f>
      </c>
      <c r="AF13" t="str">
        <f>IF(AND(AD13&lt;&gt;"",AE13&gt;=3),IF(AF12="",AD13,AF12&amp;"     ·     "&amp;AD13),AF12)</f>
      </c>
      <c r="AG13" t="str">
        <f>_xlfn.TEXTJOIN(" · ",TRUE,IF(I13,IF(AND(YEAR(G13)=Planungsjahr,MONTH(G13)=6),"S "&amp;TEXT(DAY(G13),"00")&amp;"."&amp;TEXT(MONTH(G13),"00")&amp;".",""),""),IF(J13,IF(AND(YEAR(H13)=Planungsjahr,MONTH(H13)=6),"I "&amp;TEXT(DAY(H13),"00")&amp;"."&amp;TEXT(MONTH(H13),"00")&amp;".",""),""),IF(K13,IF(AND(YEAR(C13)=Planungsjahr,MONTH(C13)=6),"P "&amp;TEXT(DAY(C13),"00")&amp;"."&amp;TEXT(MONTH(C13),"00")&amp;".",""),""))</f>
      </c>
      <c r="AH13" t="str">
        <f>IF(AG13="","",B13&amp;":  "&amp;AG13)</f>
      </c>
      <c r="AI13">
        <f>(AH13&lt;&gt;"")+AI12</f>
      </c>
      <c r="AJ13" t="str">
        <f>IF(AND(AH13&lt;&gt;"",AI13&gt;=3),IF(AJ12="",AH13,AJ12&amp;"     ·     "&amp;AH13),AJ12)</f>
      </c>
      <c r="AK13" t="str">
        <f>_xlfn.TEXTJOIN(" · ",TRUE,IF(I13,IF(AND(YEAR(G13)=Planungsjahr,MONTH(G13)=7),"S "&amp;TEXT(DAY(G13),"00")&amp;"."&amp;TEXT(MONTH(G13),"00")&amp;".",""),""),IF(J13,IF(AND(YEAR(H13)=Planungsjahr,MONTH(H13)=7),"I "&amp;TEXT(DAY(H13),"00")&amp;"."&amp;TEXT(MONTH(H13),"00")&amp;".",""),""),IF(K13,IF(AND(YEAR(C13)=Planungsjahr,MONTH(C13)=7),"P "&amp;TEXT(DAY(C13),"00")&amp;"."&amp;TEXT(MONTH(C13),"00")&amp;".",""),""))</f>
      </c>
      <c r="AL13" t="str">
        <f>IF(AK13="","",B13&amp;":  "&amp;AK13)</f>
      </c>
      <c r="AM13">
        <f>(AL13&lt;&gt;"")+AM12</f>
      </c>
      <c r="AN13" t="str">
        <f>IF(AND(AL13&lt;&gt;"",AM13&gt;=3),IF(AN12="",AL13,AN12&amp;"     ·     "&amp;AL13),AN12)</f>
      </c>
      <c r="AO13" t="str">
        <f>_xlfn.TEXTJOIN(" · ",TRUE,IF(I13,IF(AND(YEAR(G13)=Planungsjahr,MONTH(G13)=8),"S "&amp;TEXT(DAY(G13),"00")&amp;"."&amp;TEXT(MONTH(G13),"00")&amp;".",""),""),IF(J13,IF(AND(YEAR(H13)=Planungsjahr,MONTH(H13)=8),"I "&amp;TEXT(DAY(H13),"00")&amp;"."&amp;TEXT(MONTH(H13),"00")&amp;".",""),""),IF(K13,IF(AND(YEAR(C13)=Planungsjahr,MONTH(C13)=8),"P "&amp;TEXT(DAY(C13),"00")&amp;"."&amp;TEXT(MONTH(C13),"00")&amp;".",""),""))</f>
      </c>
      <c r="AP13" t="str">
        <f>IF(AO13="","",B13&amp;":  "&amp;AO13)</f>
      </c>
      <c r="AQ13">
        <f>(AP13&lt;&gt;"")+AQ12</f>
      </c>
      <c r="AR13" t="str">
        <f>IF(AND(AP13&lt;&gt;"",AQ13&gt;=3),IF(AR12="",AP13,AR12&amp;"     ·     "&amp;AP13),AR12)</f>
      </c>
      <c r="AS13" t="str">
        <f>_xlfn.TEXTJOIN(" · ",TRUE,IF(I13,IF(AND(YEAR(G13)=Planungsjahr,MONTH(G13)=9),"S "&amp;TEXT(DAY(G13),"00")&amp;"."&amp;TEXT(MONTH(G13),"00")&amp;".",""),""),IF(J13,IF(AND(YEAR(H13)=Planungsjahr,MONTH(H13)=9),"I "&amp;TEXT(DAY(H13),"00")&amp;"."&amp;TEXT(MONTH(H13),"00")&amp;".",""),""),IF(K13,IF(AND(YEAR(C13)=Planungsjahr,MONTH(C13)=9),"P "&amp;TEXT(DAY(C13),"00")&amp;"."&amp;TEXT(MONTH(C13),"00")&amp;".",""),""))</f>
      </c>
      <c r="AT13" t="str">
        <f>IF(AS13="","",B13&amp;":  "&amp;AS13)</f>
      </c>
      <c r="AU13">
        <f>(AT13&lt;&gt;"")+AU12</f>
      </c>
      <c r="AV13" t="str">
        <f>IF(AND(AT13&lt;&gt;"",AU13&gt;=3),IF(AV12="",AT13,AV12&amp;"     ·     "&amp;AT13),AV12)</f>
      </c>
      <c r="AW13" t="str">
        <f>_xlfn.TEXTJOIN(" · ",TRUE,IF(I13,IF(AND(YEAR(G13)=Planungsjahr,MONTH(G13)=10),"S "&amp;TEXT(DAY(G13),"00")&amp;"."&amp;TEXT(MONTH(G13),"00")&amp;".",""),""),IF(J13,IF(AND(YEAR(H13)=Planungsjahr,MONTH(H13)=10),"I "&amp;TEXT(DAY(H13),"00")&amp;"."&amp;TEXT(MONTH(H13),"00")&amp;".",""),""),IF(K13,IF(AND(YEAR(C13)=Planungsjahr,MONTH(C13)=10),"P "&amp;TEXT(DAY(C13),"00")&amp;"."&amp;TEXT(MONTH(C13),"00")&amp;".",""),""))</f>
      </c>
      <c r="AX13" t="str">
        <f>IF(AW13="","",B13&amp;":  "&amp;AW13)</f>
      </c>
      <c r="AY13">
        <f>(AX13&lt;&gt;"")+AY12</f>
      </c>
      <c r="AZ13" t="str">
        <f>IF(AND(AX13&lt;&gt;"",AY13&gt;=3),IF(AZ12="",AX13,AZ12&amp;"     ·     "&amp;AX13),AZ12)</f>
      </c>
      <c r="BA13" t="str">
        <f>_xlfn.TEXTJOIN(" · ",TRUE,IF(I13,IF(AND(YEAR(G13)=Planungsjahr,MONTH(G13)=11),"S "&amp;TEXT(DAY(G13),"00")&amp;"."&amp;TEXT(MONTH(G13),"00")&amp;".",""),""),IF(J13,IF(AND(YEAR(H13)=Planungsjahr,MONTH(H13)=11),"I "&amp;TEXT(DAY(H13),"00")&amp;"."&amp;TEXT(MONTH(H13),"00")&amp;".",""),""),IF(K13,IF(AND(YEAR(C13)=Planungsjahr,MONTH(C13)=11),"P "&amp;TEXT(DAY(C13),"00")&amp;"."&amp;TEXT(MONTH(C13),"00")&amp;".",""),""))</f>
      </c>
      <c r="BB13" t="str">
        <f>IF(BA13="","",B13&amp;":  "&amp;BA13)</f>
      </c>
      <c r="BC13">
        <f>(BB13&lt;&gt;"")+BC12</f>
      </c>
      <c r="BD13" t="str">
        <f>IF(AND(BB13&lt;&gt;"",BC13&gt;=3),IF(BD12="",BB13,BD12&amp;"     ·     "&amp;BB13),BD12)</f>
      </c>
      <c r="BE13" t="str">
        <f>_xlfn.TEXTJOIN(" · ",TRUE,IF(I13,IF(AND(YEAR(G13)=Planungsjahr,MONTH(G13)=12),"S "&amp;TEXT(DAY(G13),"00")&amp;"."&amp;TEXT(MONTH(G13),"00")&amp;".",""),""),IF(J13,IF(AND(YEAR(H13)=Planungsjahr,MONTH(H13)=12),"I "&amp;TEXT(DAY(H13),"00")&amp;"."&amp;TEXT(MONTH(H13),"00")&amp;".",""),""),IF(K13,IF(AND(YEAR(C13)=Planungsjahr,MONTH(C13)=12),"P "&amp;TEXT(DAY(C13),"00")&amp;"."&amp;TEXT(MONTH(C13),"00")&amp;".",""),""))</f>
      </c>
      <c r="BF13" t="str">
        <f>IF(BE13="","",B13&amp;":  "&amp;BE13)</f>
      </c>
      <c r="BG13">
        <f>(BF13&lt;&gt;"")+BG12</f>
      </c>
      <c r="BH13" t="str">
        <f>IF(AND(BF13&lt;&gt;"",BG13&gt;=3),IF(BH12="",BF13,BH12&amp;"     ·     "&amp;BF13),BH12)</f>
      </c>
    </row>
    <row r="14">
      <c r="A14">
        <v>13</v>
      </c>
      <c r="B14" t="str">
        <f>INDEX(JP_Massnahme,A14)&amp;""</f>
      </c>
      <c r="C14">
        <f>INDEX(JP_PAL,A14)</f>
      </c>
      <c r="D14">
        <f>IF(AND(ISNUMBER(C14),C14&gt;0),COUNTIF(JP_PAL,"&lt;"&amp;C14)+COUNTIF(INDEX(JP_PAL,1):INDEX(JP_PAL,A14),C14),"")</f>
      </c>
      <c r="E14">
        <f>IF(D14="",0,MOD(D14-1,10)+1)</f>
      </c>
      <c r="F14" t="b">
        <f>OR(NOT(Filter_Aktiv),INDEX(JP_Anzeige,A14)=TRUE)</f>
      </c>
      <c r="G14">
        <f>INDEX(JP_StartSel,A14)</f>
      </c>
      <c r="H14">
        <f>INDEX(JP_StartInhalt,A14)</f>
      </c>
      <c r="I14" t="b">
        <f>AND(F14,Anzeige_S,ISNUMBER(G14))</f>
      </c>
      <c r="J14" t="b">
        <f>AND(F14,Anzeige_I,ISNUMBER(H14))</f>
      </c>
      <c r="K14" t="b">
        <f>AND(F14,Anzeige_P,ISNUMBER(C14),C14&gt;0)</f>
      </c>
      <c r="M14" t="str">
        <f>_xlfn.TEXTJOIN(" · ",TRUE,IF(I14,IF(AND(YEAR(G14)=Planungsjahr,MONTH(G14)=1),"S "&amp;TEXT(DAY(G14),"00")&amp;"."&amp;TEXT(MONTH(G14),"00")&amp;".",""),""),IF(J14,IF(AND(YEAR(H14)=Planungsjahr,MONTH(H14)=1),"I "&amp;TEXT(DAY(H14),"00")&amp;"."&amp;TEXT(MONTH(H14),"00")&amp;".",""),""),IF(K14,IF(AND(YEAR(C14)=Planungsjahr,MONTH(C14)=1),"P "&amp;TEXT(DAY(C14),"00")&amp;"."&amp;TEXT(MONTH(C14),"00")&amp;".",""),""))</f>
      </c>
      <c r="N14" t="str">
        <f>IF(M14="","",B14&amp;":  "&amp;M14)</f>
      </c>
      <c r="O14">
        <f>(N14&lt;&gt;"")+O13</f>
      </c>
      <c r="P14" t="str">
        <f>IF(AND(N14&lt;&gt;"",O14&gt;=3),IF(P13="",N14,P13&amp;"     ·     "&amp;N14),P13)</f>
      </c>
      <c r="Q14" t="str">
        <f>_xlfn.TEXTJOIN(" · ",TRUE,IF(I14,IF(AND(YEAR(G14)=Planungsjahr,MONTH(G14)=2),"S "&amp;TEXT(DAY(G14),"00")&amp;"."&amp;TEXT(MONTH(G14),"00")&amp;".",""),""),IF(J14,IF(AND(YEAR(H14)=Planungsjahr,MONTH(H14)=2),"I "&amp;TEXT(DAY(H14),"00")&amp;"."&amp;TEXT(MONTH(H14),"00")&amp;".",""),""),IF(K14,IF(AND(YEAR(C14)=Planungsjahr,MONTH(C14)=2),"P "&amp;TEXT(DAY(C14),"00")&amp;"."&amp;TEXT(MONTH(C14),"00")&amp;".",""),""))</f>
      </c>
      <c r="R14" t="str">
        <f>IF(Q14="","",B14&amp;":  "&amp;Q14)</f>
      </c>
      <c r="S14">
        <f>(R14&lt;&gt;"")+S13</f>
      </c>
      <c r="T14" t="str">
        <f>IF(AND(R14&lt;&gt;"",S14&gt;=3),IF(T13="",R14,T13&amp;"     ·     "&amp;R14),T13)</f>
      </c>
      <c r="U14" t="str">
        <f>_xlfn.TEXTJOIN(" · ",TRUE,IF(I14,IF(AND(YEAR(G14)=Planungsjahr,MONTH(G14)=3),"S "&amp;TEXT(DAY(G14),"00")&amp;"."&amp;TEXT(MONTH(G14),"00")&amp;".",""),""),IF(J14,IF(AND(YEAR(H14)=Planungsjahr,MONTH(H14)=3),"I "&amp;TEXT(DAY(H14),"00")&amp;"."&amp;TEXT(MONTH(H14),"00")&amp;".",""),""),IF(K14,IF(AND(YEAR(C14)=Planungsjahr,MONTH(C14)=3),"P "&amp;TEXT(DAY(C14),"00")&amp;"."&amp;TEXT(MONTH(C14),"00")&amp;".",""),""))</f>
      </c>
      <c r="V14" t="str">
        <f>IF(U14="","",B14&amp;":  "&amp;U14)</f>
      </c>
      <c r="W14">
        <f>(V14&lt;&gt;"")+W13</f>
      </c>
      <c r="X14" t="str">
        <f>IF(AND(V14&lt;&gt;"",W14&gt;=3),IF(X13="",V14,X13&amp;"     ·     "&amp;V14),X13)</f>
      </c>
      <c r="Y14" t="str">
        <f>_xlfn.TEXTJOIN(" · ",TRUE,IF(I14,IF(AND(YEAR(G14)=Planungsjahr,MONTH(G14)=4),"S "&amp;TEXT(DAY(G14),"00")&amp;"."&amp;TEXT(MONTH(G14),"00")&amp;".",""),""),IF(J14,IF(AND(YEAR(H14)=Planungsjahr,MONTH(H14)=4),"I "&amp;TEXT(DAY(H14),"00")&amp;"."&amp;TEXT(MONTH(H14),"00")&amp;".",""),""),IF(K14,IF(AND(YEAR(C14)=Planungsjahr,MONTH(C14)=4),"P "&amp;TEXT(DAY(C14),"00")&amp;"."&amp;TEXT(MONTH(C14),"00")&amp;".",""),""))</f>
      </c>
      <c r="Z14" t="str">
        <f>IF(Y14="","",B14&amp;":  "&amp;Y14)</f>
      </c>
      <c r="AA14">
        <f>(Z14&lt;&gt;"")+AA13</f>
      </c>
      <c r="AB14" t="str">
        <f>IF(AND(Z14&lt;&gt;"",AA14&gt;=3),IF(AB13="",Z14,AB13&amp;"     ·     "&amp;Z14),AB13)</f>
      </c>
      <c r="AC14" t="str">
        <f>_xlfn.TEXTJOIN(" · ",TRUE,IF(I14,IF(AND(YEAR(G14)=Planungsjahr,MONTH(G14)=5),"S "&amp;TEXT(DAY(G14),"00")&amp;"."&amp;TEXT(MONTH(G14),"00")&amp;".",""),""),IF(J14,IF(AND(YEAR(H14)=Planungsjahr,MONTH(H14)=5),"I "&amp;TEXT(DAY(H14),"00")&amp;"."&amp;TEXT(MONTH(H14),"00")&amp;".",""),""),IF(K14,IF(AND(YEAR(C14)=Planungsjahr,MONTH(C14)=5),"P "&amp;TEXT(DAY(C14),"00")&amp;"."&amp;TEXT(MONTH(C14),"00")&amp;".",""),""))</f>
      </c>
      <c r="AD14" t="str">
        <f>IF(AC14="","",B14&amp;":  "&amp;AC14)</f>
      </c>
      <c r="AE14">
        <f>(AD14&lt;&gt;"")+AE13</f>
      </c>
      <c r="AF14" t="str">
        <f>IF(AND(AD14&lt;&gt;"",AE14&gt;=3),IF(AF13="",AD14,AF13&amp;"     ·     "&amp;AD14),AF13)</f>
      </c>
      <c r="AG14" t="str">
        <f>_xlfn.TEXTJOIN(" · ",TRUE,IF(I14,IF(AND(YEAR(G14)=Planungsjahr,MONTH(G14)=6),"S "&amp;TEXT(DAY(G14),"00")&amp;"."&amp;TEXT(MONTH(G14),"00")&amp;".",""),""),IF(J14,IF(AND(YEAR(H14)=Planungsjahr,MONTH(H14)=6),"I "&amp;TEXT(DAY(H14),"00")&amp;"."&amp;TEXT(MONTH(H14),"00")&amp;".",""),""),IF(K14,IF(AND(YEAR(C14)=Planungsjahr,MONTH(C14)=6),"P "&amp;TEXT(DAY(C14),"00")&amp;"."&amp;TEXT(MONTH(C14),"00")&amp;".",""),""))</f>
      </c>
      <c r="AH14" t="str">
        <f>IF(AG14="","",B14&amp;":  "&amp;AG14)</f>
      </c>
      <c r="AI14">
        <f>(AH14&lt;&gt;"")+AI13</f>
      </c>
      <c r="AJ14" t="str">
        <f>IF(AND(AH14&lt;&gt;"",AI14&gt;=3),IF(AJ13="",AH14,AJ13&amp;"     ·     "&amp;AH14),AJ13)</f>
      </c>
      <c r="AK14" t="str">
        <f>_xlfn.TEXTJOIN(" · ",TRUE,IF(I14,IF(AND(YEAR(G14)=Planungsjahr,MONTH(G14)=7),"S "&amp;TEXT(DAY(G14),"00")&amp;"."&amp;TEXT(MONTH(G14),"00")&amp;".",""),""),IF(J14,IF(AND(YEAR(H14)=Planungsjahr,MONTH(H14)=7),"I "&amp;TEXT(DAY(H14),"00")&amp;"."&amp;TEXT(MONTH(H14),"00")&amp;".",""),""),IF(K14,IF(AND(YEAR(C14)=Planungsjahr,MONTH(C14)=7),"P "&amp;TEXT(DAY(C14),"00")&amp;"."&amp;TEXT(MONTH(C14),"00")&amp;".",""),""))</f>
      </c>
      <c r="AL14" t="str">
        <f>IF(AK14="","",B14&amp;":  "&amp;AK14)</f>
      </c>
      <c r="AM14">
        <f>(AL14&lt;&gt;"")+AM13</f>
      </c>
      <c r="AN14" t="str">
        <f>IF(AND(AL14&lt;&gt;"",AM14&gt;=3),IF(AN13="",AL14,AN13&amp;"     ·     "&amp;AL14),AN13)</f>
      </c>
      <c r="AO14" t="str">
        <f>_xlfn.TEXTJOIN(" · ",TRUE,IF(I14,IF(AND(YEAR(G14)=Planungsjahr,MONTH(G14)=8),"S "&amp;TEXT(DAY(G14),"00")&amp;"."&amp;TEXT(MONTH(G14),"00")&amp;".",""),""),IF(J14,IF(AND(YEAR(H14)=Planungsjahr,MONTH(H14)=8),"I "&amp;TEXT(DAY(H14),"00")&amp;"."&amp;TEXT(MONTH(H14),"00")&amp;".",""),""),IF(K14,IF(AND(YEAR(C14)=Planungsjahr,MONTH(C14)=8),"P "&amp;TEXT(DAY(C14),"00")&amp;"."&amp;TEXT(MONTH(C14),"00")&amp;".",""),""))</f>
      </c>
      <c r="AP14" t="str">
        <f>IF(AO14="","",B14&amp;":  "&amp;AO14)</f>
      </c>
      <c r="AQ14">
        <f>(AP14&lt;&gt;"")+AQ13</f>
      </c>
      <c r="AR14" t="str">
        <f>IF(AND(AP14&lt;&gt;"",AQ14&gt;=3),IF(AR13="",AP14,AR13&amp;"     ·     "&amp;AP14),AR13)</f>
      </c>
      <c r="AS14" t="str">
        <f>_xlfn.TEXTJOIN(" · ",TRUE,IF(I14,IF(AND(YEAR(G14)=Planungsjahr,MONTH(G14)=9),"S "&amp;TEXT(DAY(G14),"00")&amp;"."&amp;TEXT(MONTH(G14),"00")&amp;".",""),""),IF(J14,IF(AND(YEAR(H14)=Planungsjahr,MONTH(H14)=9),"I "&amp;TEXT(DAY(H14),"00")&amp;"."&amp;TEXT(MONTH(H14),"00")&amp;".",""),""),IF(K14,IF(AND(YEAR(C14)=Planungsjahr,MONTH(C14)=9),"P "&amp;TEXT(DAY(C14),"00")&amp;"."&amp;TEXT(MONTH(C14),"00")&amp;".",""),""))</f>
      </c>
      <c r="AT14" t="str">
        <f>IF(AS14="","",B14&amp;":  "&amp;AS14)</f>
      </c>
      <c r="AU14">
        <f>(AT14&lt;&gt;"")+AU13</f>
      </c>
      <c r="AV14" t="str">
        <f>IF(AND(AT14&lt;&gt;"",AU14&gt;=3),IF(AV13="",AT14,AV13&amp;"     ·     "&amp;AT14),AV13)</f>
      </c>
      <c r="AW14" t="str">
        <f>_xlfn.TEXTJOIN(" · ",TRUE,IF(I14,IF(AND(YEAR(G14)=Planungsjahr,MONTH(G14)=10),"S "&amp;TEXT(DAY(G14),"00")&amp;"."&amp;TEXT(MONTH(G14),"00")&amp;".",""),""),IF(J14,IF(AND(YEAR(H14)=Planungsjahr,MONTH(H14)=10),"I "&amp;TEXT(DAY(H14),"00")&amp;"."&amp;TEXT(MONTH(H14),"00")&amp;".",""),""),IF(K14,IF(AND(YEAR(C14)=Planungsjahr,MONTH(C14)=10),"P "&amp;TEXT(DAY(C14),"00")&amp;"."&amp;TEXT(MONTH(C14),"00")&amp;".",""),""))</f>
      </c>
      <c r="AX14" t="str">
        <f>IF(AW14="","",B14&amp;":  "&amp;AW14)</f>
      </c>
      <c r="AY14">
        <f>(AX14&lt;&gt;"")+AY13</f>
      </c>
      <c r="AZ14" t="str">
        <f>IF(AND(AX14&lt;&gt;"",AY14&gt;=3),IF(AZ13="",AX14,AZ13&amp;"     ·     "&amp;AX14),AZ13)</f>
      </c>
      <c r="BA14" t="str">
        <f>_xlfn.TEXTJOIN(" · ",TRUE,IF(I14,IF(AND(YEAR(G14)=Planungsjahr,MONTH(G14)=11),"S "&amp;TEXT(DAY(G14),"00")&amp;"."&amp;TEXT(MONTH(G14),"00")&amp;".",""),""),IF(J14,IF(AND(YEAR(H14)=Planungsjahr,MONTH(H14)=11),"I "&amp;TEXT(DAY(H14),"00")&amp;"."&amp;TEXT(MONTH(H14),"00")&amp;".",""),""),IF(K14,IF(AND(YEAR(C14)=Planungsjahr,MONTH(C14)=11),"P "&amp;TEXT(DAY(C14),"00")&amp;"."&amp;TEXT(MONTH(C14),"00")&amp;".",""),""))</f>
      </c>
      <c r="BB14" t="str">
        <f>IF(BA14="","",B14&amp;":  "&amp;BA14)</f>
      </c>
      <c r="BC14">
        <f>(BB14&lt;&gt;"")+BC13</f>
      </c>
      <c r="BD14" t="str">
        <f>IF(AND(BB14&lt;&gt;"",BC14&gt;=3),IF(BD13="",BB14,BD13&amp;"     ·     "&amp;BB14),BD13)</f>
      </c>
      <c r="BE14" t="str">
        <f>_xlfn.TEXTJOIN(" · ",TRUE,IF(I14,IF(AND(YEAR(G14)=Planungsjahr,MONTH(G14)=12),"S "&amp;TEXT(DAY(G14),"00")&amp;"."&amp;TEXT(MONTH(G14),"00")&amp;".",""),""),IF(J14,IF(AND(YEAR(H14)=Planungsjahr,MONTH(H14)=12),"I "&amp;TEXT(DAY(H14),"00")&amp;"."&amp;TEXT(MONTH(H14),"00")&amp;".",""),""),IF(K14,IF(AND(YEAR(C14)=Planungsjahr,MONTH(C14)=12),"P "&amp;TEXT(DAY(C14),"00")&amp;"."&amp;TEXT(MONTH(C14),"00")&amp;".",""),""))</f>
      </c>
      <c r="BF14" t="str">
        <f>IF(BE14="","",B14&amp;":  "&amp;BE14)</f>
      </c>
      <c r="BG14">
        <f>(BF14&lt;&gt;"")+BG13</f>
      </c>
      <c r="BH14" t="str">
        <f>IF(AND(BF14&lt;&gt;"",BG14&gt;=3),IF(BH13="",BF14,BH13&amp;"     ·     "&amp;BF14),BH13)</f>
      </c>
    </row>
    <row r="15">
      <c r="A15">
        <v>14</v>
      </c>
      <c r="B15" t="str">
        <f>INDEX(JP_Massnahme,A15)&amp;""</f>
      </c>
      <c r="C15">
        <f>INDEX(JP_PAL,A15)</f>
      </c>
      <c r="D15">
        <f>IF(AND(ISNUMBER(C15),C15&gt;0),COUNTIF(JP_PAL,"&lt;"&amp;C15)+COUNTIF(INDEX(JP_PAL,1):INDEX(JP_PAL,A15),C15),"")</f>
      </c>
      <c r="E15">
        <f>IF(D15="",0,MOD(D15-1,10)+1)</f>
      </c>
      <c r="F15" t="b">
        <f>OR(NOT(Filter_Aktiv),INDEX(JP_Anzeige,A15)=TRUE)</f>
      </c>
      <c r="G15">
        <f>INDEX(JP_StartSel,A15)</f>
      </c>
      <c r="H15">
        <f>INDEX(JP_StartInhalt,A15)</f>
      </c>
      <c r="I15" t="b">
        <f>AND(F15,Anzeige_S,ISNUMBER(G15))</f>
      </c>
      <c r="J15" t="b">
        <f>AND(F15,Anzeige_I,ISNUMBER(H15))</f>
      </c>
      <c r="K15" t="b">
        <f>AND(F15,Anzeige_P,ISNUMBER(C15),C15&gt;0)</f>
      </c>
      <c r="M15" t="str">
        <f>_xlfn.TEXTJOIN(" · ",TRUE,IF(I15,IF(AND(YEAR(G15)=Planungsjahr,MONTH(G15)=1),"S "&amp;TEXT(DAY(G15),"00")&amp;"."&amp;TEXT(MONTH(G15),"00")&amp;".",""),""),IF(J15,IF(AND(YEAR(H15)=Planungsjahr,MONTH(H15)=1),"I "&amp;TEXT(DAY(H15),"00")&amp;"."&amp;TEXT(MONTH(H15),"00")&amp;".",""),""),IF(K15,IF(AND(YEAR(C15)=Planungsjahr,MONTH(C15)=1),"P "&amp;TEXT(DAY(C15),"00")&amp;"."&amp;TEXT(MONTH(C15),"00")&amp;".",""),""))</f>
      </c>
      <c r="N15" t="str">
        <f>IF(M15="","",B15&amp;":  "&amp;M15)</f>
      </c>
      <c r="O15">
        <f>(N15&lt;&gt;"")+O14</f>
      </c>
      <c r="P15" t="str">
        <f>IF(AND(N15&lt;&gt;"",O15&gt;=3),IF(P14="",N15,P14&amp;"     ·     "&amp;N15),P14)</f>
      </c>
      <c r="Q15" t="str">
        <f>_xlfn.TEXTJOIN(" · ",TRUE,IF(I15,IF(AND(YEAR(G15)=Planungsjahr,MONTH(G15)=2),"S "&amp;TEXT(DAY(G15),"00")&amp;"."&amp;TEXT(MONTH(G15),"00")&amp;".",""),""),IF(J15,IF(AND(YEAR(H15)=Planungsjahr,MONTH(H15)=2),"I "&amp;TEXT(DAY(H15),"00")&amp;"."&amp;TEXT(MONTH(H15),"00")&amp;".",""),""),IF(K15,IF(AND(YEAR(C15)=Planungsjahr,MONTH(C15)=2),"P "&amp;TEXT(DAY(C15),"00")&amp;"."&amp;TEXT(MONTH(C15),"00")&amp;".",""),""))</f>
      </c>
      <c r="R15" t="str">
        <f>IF(Q15="","",B15&amp;":  "&amp;Q15)</f>
      </c>
      <c r="S15">
        <f>(R15&lt;&gt;"")+S14</f>
      </c>
      <c r="T15" t="str">
        <f>IF(AND(R15&lt;&gt;"",S15&gt;=3),IF(T14="",R15,T14&amp;"     ·     "&amp;R15),T14)</f>
      </c>
      <c r="U15" t="str">
        <f>_xlfn.TEXTJOIN(" · ",TRUE,IF(I15,IF(AND(YEAR(G15)=Planungsjahr,MONTH(G15)=3),"S "&amp;TEXT(DAY(G15),"00")&amp;"."&amp;TEXT(MONTH(G15),"00")&amp;".",""),""),IF(J15,IF(AND(YEAR(H15)=Planungsjahr,MONTH(H15)=3),"I "&amp;TEXT(DAY(H15),"00")&amp;"."&amp;TEXT(MONTH(H15),"00")&amp;".",""),""),IF(K15,IF(AND(YEAR(C15)=Planungsjahr,MONTH(C15)=3),"P "&amp;TEXT(DAY(C15),"00")&amp;"."&amp;TEXT(MONTH(C15),"00")&amp;".",""),""))</f>
      </c>
      <c r="V15" t="str">
        <f>IF(U15="","",B15&amp;":  "&amp;U15)</f>
      </c>
      <c r="W15">
        <f>(V15&lt;&gt;"")+W14</f>
      </c>
      <c r="X15" t="str">
        <f>IF(AND(V15&lt;&gt;"",W15&gt;=3),IF(X14="",V15,X14&amp;"     ·     "&amp;V15),X14)</f>
      </c>
      <c r="Y15" t="str">
        <f>_xlfn.TEXTJOIN(" · ",TRUE,IF(I15,IF(AND(YEAR(G15)=Planungsjahr,MONTH(G15)=4),"S "&amp;TEXT(DAY(G15),"00")&amp;"."&amp;TEXT(MONTH(G15),"00")&amp;".",""),""),IF(J15,IF(AND(YEAR(H15)=Planungsjahr,MONTH(H15)=4),"I "&amp;TEXT(DAY(H15),"00")&amp;"."&amp;TEXT(MONTH(H15),"00")&amp;".",""),""),IF(K15,IF(AND(YEAR(C15)=Planungsjahr,MONTH(C15)=4),"P "&amp;TEXT(DAY(C15),"00")&amp;"."&amp;TEXT(MONTH(C15),"00")&amp;".",""),""))</f>
      </c>
      <c r="Z15" t="str">
        <f>IF(Y15="","",B15&amp;":  "&amp;Y15)</f>
      </c>
      <c r="AA15">
        <f>(Z15&lt;&gt;"")+AA14</f>
      </c>
      <c r="AB15" t="str">
        <f>IF(AND(Z15&lt;&gt;"",AA15&gt;=3),IF(AB14="",Z15,AB14&amp;"     ·     "&amp;Z15),AB14)</f>
      </c>
      <c r="AC15" t="str">
        <f>_xlfn.TEXTJOIN(" · ",TRUE,IF(I15,IF(AND(YEAR(G15)=Planungsjahr,MONTH(G15)=5),"S "&amp;TEXT(DAY(G15),"00")&amp;"."&amp;TEXT(MONTH(G15),"00")&amp;".",""),""),IF(J15,IF(AND(YEAR(H15)=Planungsjahr,MONTH(H15)=5),"I "&amp;TEXT(DAY(H15),"00")&amp;"."&amp;TEXT(MONTH(H15),"00")&amp;".",""),""),IF(K15,IF(AND(YEAR(C15)=Planungsjahr,MONTH(C15)=5),"P "&amp;TEXT(DAY(C15),"00")&amp;"."&amp;TEXT(MONTH(C15),"00")&amp;".",""),""))</f>
      </c>
      <c r="AD15" t="str">
        <f>IF(AC15="","",B15&amp;":  "&amp;AC15)</f>
      </c>
      <c r="AE15">
        <f>(AD15&lt;&gt;"")+AE14</f>
      </c>
      <c r="AF15" t="str">
        <f>IF(AND(AD15&lt;&gt;"",AE15&gt;=3),IF(AF14="",AD15,AF14&amp;"     ·     "&amp;AD15),AF14)</f>
      </c>
      <c r="AG15" t="str">
        <f>_xlfn.TEXTJOIN(" · ",TRUE,IF(I15,IF(AND(YEAR(G15)=Planungsjahr,MONTH(G15)=6),"S "&amp;TEXT(DAY(G15),"00")&amp;"."&amp;TEXT(MONTH(G15),"00")&amp;".",""),""),IF(J15,IF(AND(YEAR(H15)=Planungsjahr,MONTH(H15)=6),"I "&amp;TEXT(DAY(H15),"00")&amp;"."&amp;TEXT(MONTH(H15),"00")&amp;".",""),""),IF(K15,IF(AND(YEAR(C15)=Planungsjahr,MONTH(C15)=6),"P "&amp;TEXT(DAY(C15),"00")&amp;"."&amp;TEXT(MONTH(C15),"00")&amp;".",""),""))</f>
      </c>
      <c r="AH15" t="str">
        <f>IF(AG15="","",B15&amp;":  "&amp;AG15)</f>
      </c>
      <c r="AI15">
        <f>(AH15&lt;&gt;"")+AI14</f>
      </c>
      <c r="AJ15" t="str">
        <f>IF(AND(AH15&lt;&gt;"",AI15&gt;=3),IF(AJ14="",AH15,AJ14&amp;"     ·     "&amp;AH15),AJ14)</f>
      </c>
      <c r="AK15" t="str">
        <f>_xlfn.TEXTJOIN(" · ",TRUE,IF(I15,IF(AND(YEAR(G15)=Planungsjahr,MONTH(G15)=7),"S "&amp;TEXT(DAY(G15),"00")&amp;"."&amp;TEXT(MONTH(G15),"00")&amp;".",""),""),IF(J15,IF(AND(YEAR(H15)=Planungsjahr,MONTH(H15)=7),"I "&amp;TEXT(DAY(H15),"00")&amp;"."&amp;TEXT(MONTH(H15),"00")&amp;".",""),""),IF(K15,IF(AND(YEAR(C15)=Planungsjahr,MONTH(C15)=7),"P "&amp;TEXT(DAY(C15),"00")&amp;"."&amp;TEXT(MONTH(C15),"00")&amp;".",""),""))</f>
      </c>
      <c r="AL15" t="str">
        <f>IF(AK15="","",B15&amp;":  "&amp;AK15)</f>
      </c>
      <c r="AM15">
        <f>(AL15&lt;&gt;"")+AM14</f>
      </c>
      <c r="AN15" t="str">
        <f>IF(AND(AL15&lt;&gt;"",AM15&gt;=3),IF(AN14="",AL15,AN14&amp;"     ·     "&amp;AL15),AN14)</f>
      </c>
      <c r="AO15" t="str">
        <f>_xlfn.TEXTJOIN(" · ",TRUE,IF(I15,IF(AND(YEAR(G15)=Planungsjahr,MONTH(G15)=8),"S "&amp;TEXT(DAY(G15),"00")&amp;"."&amp;TEXT(MONTH(G15),"00")&amp;".",""),""),IF(J15,IF(AND(YEAR(H15)=Planungsjahr,MONTH(H15)=8),"I "&amp;TEXT(DAY(H15),"00")&amp;"."&amp;TEXT(MONTH(H15),"00")&amp;".",""),""),IF(K15,IF(AND(YEAR(C15)=Planungsjahr,MONTH(C15)=8),"P "&amp;TEXT(DAY(C15),"00")&amp;"."&amp;TEXT(MONTH(C15),"00")&amp;".",""),""))</f>
      </c>
      <c r="AP15" t="str">
        <f>IF(AO15="","",B15&amp;":  "&amp;AO15)</f>
      </c>
      <c r="AQ15">
        <f>(AP15&lt;&gt;"")+AQ14</f>
      </c>
      <c r="AR15" t="str">
        <f>IF(AND(AP15&lt;&gt;"",AQ15&gt;=3),IF(AR14="",AP15,AR14&amp;"     ·     "&amp;AP15),AR14)</f>
      </c>
      <c r="AS15" t="str">
        <f>_xlfn.TEXTJOIN(" · ",TRUE,IF(I15,IF(AND(YEAR(G15)=Planungsjahr,MONTH(G15)=9),"S "&amp;TEXT(DAY(G15),"00")&amp;"."&amp;TEXT(MONTH(G15),"00")&amp;".",""),""),IF(J15,IF(AND(YEAR(H15)=Planungsjahr,MONTH(H15)=9),"I "&amp;TEXT(DAY(H15),"00")&amp;"."&amp;TEXT(MONTH(H15),"00")&amp;".",""),""),IF(K15,IF(AND(YEAR(C15)=Planungsjahr,MONTH(C15)=9),"P "&amp;TEXT(DAY(C15),"00")&amp;"."&amp;TEXT(MONTH(C15),"00")&amp;".",""),""))</f>
      </c>
      <c r="AT15" t="str">
        <f>IF(AS15="","",B15&amp;":  "&amp;AS15)</f>
      </c>
      <c r="AU15">
        <f>(AT15&lt;&gt;"")+AU14</f>
      </c>
      <c r="AV15" t="str">
        <f>IF(AND(AT15&lt;&gt;"",AU15&gt;=3),IF(AV14="",AT15,AV14&amp;"     ·     "&amp;AT15),AV14)</f>
      </c>
      <c r="AW15" t="str">
        <f>_xlfn.TEXTJOIN(" · ",TRUE,IF(I15,IF(AND(YEAR(G15)=Planungsjahr,MONTH(G15)=10),"S "&amp;TEXT(DAY(G15),"00")&amp;"."&amp;TEXT(MONTH(G15),"00")&amp;".",""),""),IF(J15,IF(AND(YEAR(H15)=Planungsjahr,MONTH(H15)=10),"I "&amp;TEXT(DAY(H15),"00")&amp;"."&amp;TEXT(MONTH(H15),"00")&amp;".",""),""),IF(K15,IF(AND(YEAR(C15)=Planungsjahr,MONTH(C15)=10),"P "&amp;TEXT(DAY(C15),"00")&amp;"."&amp;TEXT(MONTH(C15),"00")&amp;".",""),""))</f>
      </c>
      <c r="AX15" t="str">
        <f>IF(AW15="","",B15&amp;":  "&amp;AW15)</f>
      </c>
      <c r="AY15">
        <f>(AX15&lt;&gt;"")+AY14</f>
      </c>
      <c r="AZ15" t="str">
        <f>IF(AND(AX15&lt;&gt;"",AY15&gt;=3),IF(AZ14="",AX15,AZ14&amp;"     ·     "&amp;AX15),AZ14)</f>
      </c>
      <c r="BA15" t="str">
        <f>_xlfn.TEXTJOIN(" · ",TRUE,IF(I15,IF(AND(YEAR(G15)=Planungsjahr,MONTH(G15)=11),"S "&amp;TEXT(DAY(G15),"00")&amp;"."&amp;TEXT(MONTH(G15),"00")&amp;".",""),""),IF(J15,IF(AND(YEAR(H15)=Planungsjahr,MONTH(H15)=11),"I "&amp;TEXT(DAY(H15),"00")&amp;"."&amp;TEXT(MONTH(H15),"00")&amp;".",""),""),IF(K15,IF(AND(YEAR(C15)=Planungsjahr,MONTH(C15)=11),"P "&amp;TEXT(DAY(C15),"00")&amp;"."&amp;TEXT(MONTH(C15),"00")&amp;".",""),""))</f>
      </c>
      <c r="BB15" t="str">
        <f>IF(BA15="","",B15&amp;":  "&amp;BA15)</f>
      </c>
      <c r="BC15">
        <f>(BB15&lt;&gt;"")+BC14</f>
      </c>
      <c r="BD15" t="str">
        <f>IF(AND(BB15&lt;&gt;"",BC15&gt;=3),IF(BD14="",BB15,BD14&amp;"     ·     "&amp;BB15),BD14)</f>
      </c>
      <c r="BE15" t="str">
        <f>_xlfn.TEXTJOIN(" · ",TRUE,IF(I15,IF(AND(YEAR(G15)=Planungsjahr,MONTH(G15)=12),"S "&amp;TEXT(DAY(G15),"00")&amp;"."&amp;TEXT(MONTH(G15),"00")&amp;".",""),""),IF(J15,IF(AND(YEAR(H15)=Planungsjahr,MONTH(H15)=12),"I "&amp;TEXT(DAY(H15),"00")&amp;"."&amp;TEXT(MONTH(H15),"00")&amp;".",""),""),IF(K15,IF(AND(YEAR(C15)=Planungsjahr,MONTH(C15)=12),"P "&amp;TEXT(DAY(C15),"00")&amp;"."&amp;TEXT(MONTH(C15),"00")&amp;".",""),""))</f>
      </c>
      <c r="BF15" t="str">
        <f>IF(BE15="","",B15&amp;":  "&amp;BE15)</f>
      </c>
      <c r="BG15">
        <f>(BF15&lt;&gt;"")+BG14</f>
      </c>
      <c r="BH15" t="str">
        <f>IF(AND(BF15&lt;&gt;"",BG15&gt;=3),IF(BH14="",BF15,BH14&amp;"     ·     "&amp;BF15),BH14)</f>
      </c>
    </row>
    <row r="16">
      <c r="A16">
        <v>15</v>
      </c>
      <c r="B16" t="str">
        <f>INDEX(JP_Massnahme,A16)&amp;""</f>
      </c>
      <c r="C16">
        <f>INDEX(JP_PAL,A16)</f>
      </c>
      <c r="D16">
        <f>IF(AND(ISNUMBER(C16),C16&gt;0),COUNTIF(JP_PAL,"&lt;"&amp;C16)+COUNTIF(INDEX(JP_PAL,1):INDEX(JP_PAL,A16),C16),"")</f>
      </c>
      <c r="E16">
        <f>IF(D16="",0,MOD(D16-1,10)+1)</f>
      </c>
      <c r="F16" t="b">
        <f>OR(NOT(Filter_Aktiv),INDEX(JP_Anzeige,A16)=TRUE)</f>
      </c>
      <c r="G16">
        <f>INDEX(JP_StartSel,A16)</f>
      </c>
      <c r="H16">
        <f>INDEX(JP_StartInhalt,A16)</f>
      </c>
      <c r="I16" t="b">
        <f>AND(F16,Anzeige_S,ISNUMBER(G16))</f>
      </c>
      <c r="J16" t="b">
        <f>AND(F16,Anzeige_I,ISNUMBER(H16))</f>
      </c>
      <c r="K16" t="b">
        <f>AND(F16,Anzeige_P,ISNUMBER(C16),C16&gt;0)</f>
      </c>
      <c r="M16" t="str">
        <f>_xlfn.TEXTJOIN(" · ",TRUE,IF(I16,IF(AND(YEAR(G16)=Planungsjahr,MONTH(G16)=1),"S "&amp;TEXT(DAY(G16),"00")&amp;"."&amp;TEXT(MONTH(G16),"00")&amp;".",""),""),IF(J16,IF(AND(YEAR(H16)=Planungsjahr,MONTH(H16)=1),"I "&amp;TEXT(DAY(H16),"00")&amp;"."&amp;TEXT(MONTH(H16),"00")&amp;".",""),""),IF(K16,IF(AND(YEAR(C16)=Planungsjahr,MONTH(C16)=1),"P "&amp;TEXT(DAY(C16),"00")&amp;"."&amp;TEXT(MONTH(C16),"00")&amp;".",""),""))</f>
      </c>
      <c r="N16" t="str">
        <f>IF(M16="","",B16&amp;":  "&amp;M16)</f>
      </c>
      <c r="O16">
        <f>(N16&lt;&gt;"")+O15</f>
      </c>
      <c r="P16" t="str">
        <f>IF(AND(N16&lt;&gt;"",O16&gt;=3),IF(P15="",N16,P15&amp;"     ·     "&amp;N16),P15)</f>
      </c>
      <c r="Q16" t="str">
        <f>_xlfn.TEXTJOIN(" · ",TRUE,IF(I16,IF(AND(YEAR(G16)=Planungsjahr,MONTH(G16)=2),"S "&amp;TEXT(DAY(G16),"00")&amp;"."&amp;TEXT(MONTH(G16),"00")&amp;".",""),""),IF(J16,IF(AND(YEAR(H16)=Planungsjahr,MONTH(H16)=2),"I "&amp;TEXT(DAY(H16),"00")&amp;"."&amp;TEXT(MONTH(H16),"00")&amp;".",""),""),IF(K16,IF(AND(YEAR(C16)=Planungsjahr,MONTH(C16)=2),"P "&amp;TEXT(DAY(C16),"00")&amp;"."&amp;TEXT(MONTH(C16),"00")&amp;".",""),""))</f>
      </c>
      <c r="R16" t="str">
        <f>IF(Q16="","",B16&amp;":  "&amp;Q16)</f>
      </c>
      <c r="S16">
        <f>(R16&lt;&gt;"")+S15</f>
      </c>
      <c r="T16" t="str">
        <f>IF(AND(R16&lt;&gt;"",S16&gt;=3),IF(T15="",R16,T15&amp;"     ·     "&amp;R16),T15)</f>
      </c>
      <c r="U16" t="str">
        <f>_xlfn.TEXTJOIN(" · ",TRUE,IF(I16,IF(AND(YEAR(G16)=Planungsjahr,MONTH(G16)=3),"S "&amp;TEXT(DAY(G16),"00")&amp;"."&amp;TEXT(MONTH(G16),"00")&amp;".",""),""),IF(J16,IF(AND(YEAR(H16)=Planungsjahr,MONTH(H16)=3),"I "&amp;TEXT(DAY(H16),"00")&amp;"."&amp;TEXT(MONTH(H16),"00")&amp;".",""),""),IF(K16,IF(AND(YEAR(C16)=Planungsjahr,MONTH(C16)=3),"P "&amp;TEXT(DAY(C16),"00")&amp;"."&amp;TEXT(MONTH(C16),"00")&amp;".",""),""))</f>
      </c>
      <c r="V16" t="str">
        <f>IF(U16="","",B16&amp;":  "&amp;U16)</f>
      </c>
      <c r="W16">
        <f>(V16&lt;&gt;"")+W15</f>
      </c>
      <c r="X16" t="str">
        <f>IF(AND(V16&lt;&gt;"",W16&gt;=3),IF(X15="",V16,X15&amp;"     ·     "&amp;V16),X15)</f>
      </c>
      <c r="Y16" t="str">
        <f>_xlfn.TEXTJOIN(" · ",TRUE,IF(I16,IF(AND(YEAR(G16)=Planungsjahr,MONTH(G16)=4),"S "&amp;TEXT(DAY(G16),"00")&amp;"."&amp;TEXT(MONTH(G16),"00")&amp;".",""),""),IF(J16,IF(AND(YEAR(H16)=Planungsjahr,MONTH(H16)=4),"I "&amp;TEXT(DAY(H16),"00")&amp;"."&amp;TEXT(MONTH(H16),"00")&amp;".",""),""),IF(K16,IF(AND(YEAR(C16)=Planungsjahr,MONTH(C16)=4),"P "&amp;TEXT(DAY(C16),"00")&amp;"."&amp;TEXT(MONTH(C16),"00")&amp;".",""),""))</f>
      </c>
      <c r="Z16" t="str">
        <f>IF(Y16="","",B16&amp;":  "&amp;Y16)</f>
      </c>
      <c r="AA16">
        <f>(Z16&lt;&gt;"")+AA15</f>
      </c>
      <c r="AB16" t="str">
        <f>IF(AND(Z16&lt;&gt;"",AA16&gt;=3),IF(AB15="",Z16,AB15&amp;"     ·     "&amp;Z16),AB15)</f>
      </c>
      <c r="AC16" t="str">
        <f>_xlfn.TEXTJOIN(" · ",TRUE,IF(I16,IF(AND(YEAR(G16)=Planungsjahr,MONTH(G16)=5),"S "&amp;TEXT(DAY(G16),"00")&amp;"."&amp;TEXT(MONTH(G16),"00")&amp;".",""),""),IF(J16,IF(AND(YEAR(H16)=Planungsjahr,MONTH(H16)=5),"I "&amp;TEXT(DAY(H16),"00")&amp;"."&amp;TEXT(MONTH(H16),"00")&amp;".",""),""),IF(K16,IF(AND(YEAR(C16)=Planungsjahr,MONTH(C16)=5),"P "&amp;TEXT(DAY(C16),"00")&amp;"."&amp;TEXT(MONTH(C16),"00")&amp;".",""),""))</f>
      </c>
      <c r="AD16" t="str">
        <f>IF(AC16="","",B16&amp;":  "&amp;AC16)</f>
      </c>
      <c r="AE16">
        <f>(AD16&lt;&gt;"")+AE15</f>
      </c>
      <c r="AF16" t="str">
        <f>IF(AND(AD16&lt;&gt;"",AE16&gt;=3),IF(AF15="",AD16,AF15&amp;"     ·     "&amp;AD16),AF15)</f>
      </c>
      <c r="AG16" t="str">
        <f>_xlfn.TEXTJOIN(" · ",TRUE,IF(I16,IF(AND(YEAR(G16)=Planungsjahr,MONTH(G16)=6),"S "&amp;TEXT(DAY(G16),"00")&amp;"."&amp;TEXT(MONTH(G16),"00")&amp;".",""),""),IF(J16,IF(AND(YEAR(H16)=Planungsjahr,MONTH(H16)=6),"I "&amp;TEXT(DAY(H16),"00")&amp;"."&amp;TEXT(MONTH(H16),"00")&amp;".",""),""),IF(K16,IF(AND(YEAR(C16)=Planungsjahr,MONTH(C16)=6),"P "&amp;TEXT(DAY(C16),"00")&amp;"."&amp;TEXT(MONTH(C16),"00")&amp;".",""),""))</f>
      </c>
      <c r="AH16" t="str">
        <f>IF(AG16="","",B16&amp;":  "&amp;AG16)</f>
      </c>
      <c r="AI16">
        <f>(AH16&lt;&gt;"")+AI15</f>
      </c>
      <c r="AJ16" t="str">
        <f>IF(AND(AH16&lt;&gt;"",AI16&gt;=3),IF(AJ15="",AH16,AJ15&amp;"     ·     "&amp;AH16),AJ15)</f>
      </c>
      <c r="AK16" t="str">
        <f>_xlfn.TEXTJOIN(" · ",TRUE,IF(I16,IF(AND(YEAR(G16)=Planungsjahr,MONTH(G16)=7),"S "&amp;TEXT(DAY(G16),"00")&amp;"."&amp;TEXT(MONTH(G16),"00")&amp;".",""),""),IF(J16,IF(AND(YEAR(H16)=Planungsjahr,MONTH(H16)=7),"I "&amp;TEXT(DAY(H16),"00")&amp;"."&amp;TEXT(MONTH(H16),"00")&amp;".",""),""),IF(K16,IF(AND(YEAR(C16)=Planungsjahr,MONTH(C16)=7),"P "&amp;TEXT(DAY(C16),"00")&amp;"."&amp;TEXT(MONTH(C16),"00")&amp;".",""),""))</f>
      </c>
      <c r="AL16" t="str">
        <f>IF(AK16="","",B16&amp;":  "&amp;AK16)</f>
      </c>
      <c r="AM16">
        <f>(AL16&lt;&gt;"")+AM15</f>
      </c>
      <c r="AN16" t="str">
        <f>IF(AND(AL16&lt;&gt;"",AM16&gt;=3),IF(AN15="",AL16,AN15&amp;"     ·     "&amp;AL16),AN15)</f>
      </c>
      <c r="AO16" t="str">
        <f>_xlfn.TEXTJOIN(" · ",TRUE,IF(I16,IF(AND(YEAR(G16)=Planungsjahr,MONTH(G16)=8),"S "&amp;TEXT(DAY(G16),"00")&amp;"."&amp;TEXT(MONTH(G16),"00")&amp;".",""),""),IF(J16,IF(AND(YEAR(H16)=Planungsjahr,MONTH(H16)=8),"I "&amp;TEXT(DAY(H16),"00")&amp;"."&amp;TEXT(MONTH(H16),"00")&amp;".",""),""),IF(K16,IF(AND(YEAR(C16)=Planungsjahr,MONTH(C16)=8),"P "&amp;TEXT(DAY(C16),"00")&amp;"."&amp;TEXT(MONTH(C16),"00")&amp;".",""),""))</f>
      </c>
      <c r="AP16" t="str">
        <f>IF(AO16="","",B16&amp;":  "&amp;AO16)</f>
      </c>
      <c r="AQ16">
        <f>(AP16&lt;&gt;"")+AQ15</f>
      </c>
      <c r="AR16" t="str">
        <f>IF(AND(AP16&lt;&gt;"",AQ16&gt;=3),IF(AR15="",AP16,AR15&amp;"     ·     "&amp;AP16),AR15)</f>
      </c>
      <c r="AS16" t="str">
        <f>_xlfn.TEXTJOIN(" · ",TRUE,IF(I16,IF(AND(YEAR(G16)=Planungsjahr,MONTH(G16)=9),"S "&amp;TEXT(DAY(G16),"00")&amp;"."&amp;TEXT(MONTH(G16),"00")&amp;".",""),""),IF(J16,IF(AND(YEAR(H16)=Planungsjahr,MONTH(H16)=9),"I "&amp;TEXT(DAY(H16),"00")&amp;"."&amp;TEXT(MONTH(H16),"00")&amp;".",""),""),IF(K16,IF(AND(YEAR(C16)=Planungsjahr,MONTH(C16)=9),"P "&amp;TEXT(DAY(C16),"00")&amp;"."&amp;TEXT(MONTH(C16),"00")&amp;".",""),""))</f>
      </c>
      <c r="AT16" t="str">
        <f>IF(AS16="","",B16&amp;":  "&amp;AS16)</f>
      </c>
      <c r="AU16">
        <f>(AT16&lt;&gt;"")+AU15</f>
      </c>
      <c r="AV16" t="str">
        <f>IF(AND(AT16&lt;&gt;"",AU16&gt;=3),IF(AV15="",AT16,AV15&amp;"     ·     "&amp;AT16),AV15)</f>
      </c>
      <c r="AW16" t="str">
        <f>_xlfn.TEXTJOIN(" · ",TRUE,IF(I16,IF(AND(YEAR(G16)=Planungsjahr,MONTH(G16)=10),"S "&amp;TEXT(DAY(G16),"00")&amp;"."&amp;TEXT(MONTH(G16),"00")&amp;".",""),""),IF(J16,IF(AND(YEAR(H16)=Planungsjahr,MONTH(H16)=10),"I "&amp;TEXT(DAY(H16),"00")&amp;"."&amp;TEXT(MONTH(H16),"00")&amp;".",""),""),IF(K16,IF(AND(YEAR(C16)=Planungsjahr,MONTH(C16)=10),"P "&amp;TEXT(DAY(C16),"00")&amp;"."&amp;TEXT(MONTH(C16),"00")&amp;".",""),""))</f>
      </c>
      <c r="AX16" t="str">
        <f>IF(AW16="","",B16&amp;":  "&amp;AW16)</f>
      </c>
      <c r="AY16">
        <f>(AX16&lt;&gt;"")+AY15</f>
      </c>
      <c r="AZ16" t="str">
        <f>IF(AND(AX16&lt;&gt;"",AY16&gt;=3),IF(AZ15="",AX16,AZ15&amp;"     ·     "&amp;AX16),AZ15)</f>
      </c>
      <c r="BA16" t="str">
        <f>_xlfn.TEXTJOIN(" · ",TRUE,IF(I16,IF(AND(YEAR(G16)=Planungsjahr,MONTH(G16)=11),"S "&amp;TEXT(DAY(G16),"00")&amp;"."&amp;TEXT(MONTH(G16),"00")&amp;".",""),""),IF(J16,IF(AND(YEAR(H16)=Planungsjahr,MONTH(H16)=11),"I "&amp;TEXT(DAY(H16),"00")&amp;"."&amp;TEXT(MONTH(H16),"00")&amp;".",""),""),IF(K16,IF(AND(YEAR(C16)=Planungsjahr,MONTH(C16)=11),"P "&amp;TEXT(DAY(C16),"00")&amp;"."&amp;TEXT(MONTH(C16),"00")&amp;".",""),""))</f>
      </c>
      <c r="BB16" t="str">
        <f>IF(BA16="","",B16&amp;":  "&amp;BA16)</f>
      </c>
      <c r="BC16">
        <f>(BB16&lt;&gt;"")+BC15</f>
      </c>
      <c r="BD16" t="str">
        <f>IF(AND(BB16&lt;&gt;"",BC16&gt;=3),IF(BD15="",BB16,BD15&amp;"     ·     "&amp;BB16),BD15)</f>
      </c>
      <c r="BE16" t="str">
        <f>_xlfn.TEXTJOIN(" · ",TRUE,IF(I16,IF(AND(YEAR(G16)=Planungsjahr,MONTH(G16)=12),"S "&amp;TEXT(DAY(G16),"00")&amp;"."&amp;TEXT(MONTH(G16),"00")&amp;".",""),""),IF(J16,IF(AND(YEAR(H16)=Planungsjahr,MONTH(H16)=12),"I "&amp;TEXT(DAY(H16),"00")&amp;"."&amp;TEXT(MONTH(H16),"00")&amp;".",""),""),IF(K16,IF(AND(YEAR(C16)=Planungsjahr,MONTH(C16)=12),"P "&amp;TEXT(DAY(C16),"00")&amp;"."&amp;TEXT(MONTH(C16),"00")&amp;".",""),""))</f>
      </c>
      <c r="BF16" t="str">
        <f>IF(BE16="","",B16&amp;":  "&amp;BE16)</f>
      </c>
      <c r="BG16">
        <f>(BF16&lt;&gt;"")+BG15</f>
      </c>
      <c r="BH16" t="str">
        <f>IF(AND(BF16&lt;&gt;"",BG16&gt;=3),IF(BH15="",BF16,BH15&amp;"     ·     "&amp;BF16),BH15)</f>
      </c>
    </row>
    <row r="17">
      <c r="A17">
        <v>16</v>
      </c>
      <c r="B17" t="str">
        <f>INDEX(JP_Massnahme,A17)&amp;""</f>
      </c>
      <c r="C17">
        <f>INDEX(JP_PAL,A17)</f>
      </c>
      <c r="D17">
        <f>IF(AND(ISNUMBER(C17),C17&gt;0),COUNTIF(JP_PAL,"&lt;"&amp;C17)+COUNTIF(INDEX(JP_PAL,1):INDEX(JP_PAL,A17),C17),"")</f>
      </c>
      <c r="E17">
        <f>IF(D17="",0,MOD(D17-1,10)+1)</f>
      </c>
      <c r="F17" t="b">
        <f>OR(NOT(Filter_Aktiv),INDEX(JP_Anzeige,A17)=TRUE)</f>
      </c>
      <c r="G17">
        <f>INDEX(JP_StartSel,A17)</f>
      </c>
      <c r="H17">
        <f>INDEX(JP_StartInhalt,A17)</f>
      </c>
      <c r="I17" t="b">
        <f>AND(F17,Anzeige_S,ISNUMBER(G17))</f>
      </c>
      <c r="J17" t="b">
        <f>AND(F17,Anzeige_I,ISNUMBER(H17))</f>
      </c>
      <c r="K17" t="b">
        <f>AND(F17,Anzeige_P,ISNUMBER(C17),C17&gt;0)</f>
      </c>
      <c r="M17" t="str">
        <f>_xlfn.TEXTJOIN(" · ",TRUE,IF(I17,IF(AND(YEAR(G17)=Planungsjahr,MONTH(G17)=1),"S "&amp;TEXT(DAY(G17),"00")&amp;"."&amp;TEXT(MONTH(G17),"00")&amp;".",""),""),IF(J17,IF(AND(YEAR(H17)=Planungsjahr,MONTH(H17)=1),"I "&amp;TEXT(DAY(H17),"00")&amp;"."&amp;TEXT(MONTH(H17),"00")&amp;".",""),""),IF(K17,IF(AND(YEAR(C17)=Planungsjahr,MONTH(C17)=1),"P "&amp;TEXT(DAY(C17),"00")&amp;"."&amp;TEXT(MONTH(C17),"00")&amp;".",""),""))</f>
      </c>
      <c r="N17" t="str">
        <f>IF(M17="","",B17&amp;":  "&amp;M17)</f>
      </c>
      <c r="O17">
        <f>(N17&lt;&gt;"")+O16</f>
      </c>
      <c r="P17" t="str">
        <f>IF(AND(N17&lt;&gt;"",O17&gt;=3),IF(P16="",N17,P16&amp;"     ·     "&amp;N17),P16)</f>
      </c>
      <c r="Q17" t="str">
        <f>_xlfn.TEXTJOIN(" · ",TRUE,IF(I17,IF(AND(YEAR(G17)=Planungsjahr,MONTH(G17)=2),"S "&amp;TEXT(DAY(G17),"00")&amp;"."&amp;TEXT(MONTH(G17),"00")&amp;".",""),""),IF(J17,IF(AND(YEAR(H17)=Planungsjahr,MONTH(H17)=2),"I "&amp;TEXT(DAY(H17),"00")&amp;"."&amp;TEXT(MONTH(H17),"00")&amp;".",""),""),IF(K17,IF(AND(YEAR(C17)=Planungsjahr,MONTH(C17)=2),"P "&amp;TEXT(DAY(C17),"00")&amp;"."&amp;TEXT(MONTH(C17),"00")&amp;".",""),""))</f>
      </c>
      <c r="R17" t="str">
        <f>IF(Q17="","",B17&amp;":  "&amp;Q17)</f>
      </c>
      <c r="S17">
        <f>(R17&lt;&gt;"")+S16</f>
      </c>
      <c r="T17" t="str">
        <f>IF(AND(R17&lt;&gt;"",S17&gt;=3),IF(T16="",R17,T16&amp;"     ·     "&amp;R17),T16)</f>
      </c>
      <c r="U17" t="str">
        <f>_xlfn.TEXTJOIN(" · ",TRUE,IF(I17,IF(AND(YEAR(G17)=Planungsjahr,MONTH(G17)=3),"S "&amp;TEXT(DAY(G17),"00")&amp;"."&amp;TEXT(MONTH(G17),"00")&amp;".",""),""),IF(J17,IF(AND(YEAR(H17)=Planungsjahr,MONTH(H17)=3),"I "&amp;TEXT(DAY(H17),"00")&amp;"."&amp;TEXT(MONTH(H17),"00")&amp;".",""),""),IF(K17,IF(AND(YEAR(C17)=Planungsjahr,MONTH(C17)=3),"P "&amp;TEXT(DAY(C17),"00")&amp;"."&amp;TEXT(MONTH(C17),"00")&amp;".",""),""))</f>
      </c>
      <c r="V17" t="str">
        <f>IF(U17="","",B17&amp;":  "&amp;U17)</f>
      </c>
      <c r="W17">
        <f>(V17&lt;&gt;"")+W16</f>
      </c>
      <c r="X17" t="str">
        <f>IF(AND(V17&lt;&gt;"",W17&gt;=3),IF(X16="",V17,X16&amp;"     ·     "&amp;V17),X16)</f>
      </c>
      <c r="Y17" t="str">
        <f>_xlfn.TEXTJOIN(" · ",TRUE,IF(I17,IF(AND(YEAR(G17)=Planungsjahr,MONTH(G17)=4),"S "&amp;TEXT(DAY(G17),"00")&amp;"."&amp;TEXT(MONTH(G17),"00")&amp;".",""),""),IF(J17,IF(AND(YEAR(H17)=Planungsjahr,MONTH(H17)=4),"I "&amp;TEXT(DAY(H17),"00")&amp;"."&amp;TEXT(MONTH(H17),"00")&amp;".",""),""),IF(K17,IF(AND(YEAR(C17)=Planungsjahr,MONTH(C17)=4),"P "&amp;TEXT(DAY(C17),"00")&amp;"."&amp;TEXT(MONTH(C17),"00")&amp;".",""),""))</f>
      </c>
      <c r="Z17" t="str">
        <f>IF(Y17="","",B17&amp;":  "&amp;Y17)</f>
      </c>
      <c r="AA17">
        <f>(Z17&lt;&gt;"")+AA16</f>
      </c>
      <c r="AB17" t="str">
        <f>IF(AND(Z17&lt;&gt;"",AA17&gt;=3),IF(AB16="",Z17,AB16&amp;"     ·     "&amp;Z17),AB16)</f>
      </c>
      <c r="AC17" t="str">
        <f>_xlfn.TEXTJOIN(" · ",TRUE,IF(I17,IF(AND(YEAR(G17)=Planungsjahr,MONTH(G17)=5),"S "&amp;TEXT(DAY(G17),"00")&amp;"."&amp;TEXT(MONTH(G17),"00")&amp;".",""),""),IF(J17,IF(AND(YEAR(H17)=Planungsjahr,MONTH(H17)=5),"I "&amp;TEXT(DAY(H17),"00")&amp;"."&amp;TEXT(MONTH(H17),"00")&amp;".",""),""),IF(K17,IF(AND(YEAR(C17)=Planungsjahr,MONTH(C17)=5),"P "&amp;TEXT(DAY(C17),"00")&amp;"."&amp;TEXT(MONTH(C17),"00")&amp;".",""),""))</f>
      </c>
      <c r="AD17" t="str">
        <f>IF(AC17="","",B17&amp;":  "&amp;AC17)</f>
      </c>
      <c r="AE17">
        <f>(AD17&lt;&gt;"")+AE16</f>
      </c>
      <c r="AF17" t="str">
        <f>IF(AND(AD17&lt;&gt;"",AE17&gt;=3),IF(AF16="",AD17,AF16&amp;"     ·     "&amp;AD17),AF16)</f>
      </c>
      <c r="AG17" t="str">
        <f>_xlfn.TEXTJOIN(" · ",TRUE,IF(I17,IF(AND(YEAR(G17)=Planungsjahr,MONTH(G17)=6),"S "&amp;TEXT(DAY(G17),"00")&amp;"."&amp;TEXT(MONTH(G17),"00")&amp;".",""),""),IF(J17,IF(AND(YEAR(H17)=Planungsjahr,MONTH(H17)=6),"I "&amp;TEXT(DAY(H17),"00")&amp;"."&amp;TEXT(MONTH(H17),"00")&amp;".",""),""),IF(K17,IF(AND(YEAR(C17)=Planungsjahr,MONTH(C17)=6),"P "&amp;TEXT(DAY(C17),"00")&amp;"."&amp;TEXT(MONTH(C17),"00")&amp;".",""),""))</f>
      </c>
      <c r="AH17" t="str">
        <f>IF(AG17="","",B17&amp;":  "&amp;AG17)</f>
      </c>
      <c r="AI17">
        <f>(AH17&lt;&gt;"")+AI16</f>
      </c>
      <c r="AJ17" t="str">
        <f>IF(AND(AH17&lt;&gt;"",AI17&gt;=3),IF(AJ16="",AH17,AJ16&amp;"     ·     "&amp;AH17),AJ16)</f>
      </c>
      <c r="AK17" t="str">
        <f>_xlfn.TEXTJOIN(" · ",TRUE,IF(I17,IF(AND(YEAR(G17)=Planungsjahr,MONTH(G17)=7),"S "&amp;TEXT(DAY(G17),"00")&amp;"."&amp;TEXT(MONTH(G17),"00")&amp;".",""),""),IF(J17,IF(AND(YEAR(H17)=Planungsjahr,MONTH(H17)=7),"I "&amp;TEXT(DAY(H17),"00")&amp;"."&amp;TEXT(MONTH(H17),"00")&amp;".",""),""),IF(K17,IF(AND(YEAR(C17)=Planungsjahr,MONTH(C17)=7),"P "&amp;TEXT(DAY(C17),"00")&amp;"."&amp;TEXT(MONTH(C17),"00")&amp;".",""),""))</f>
      </c>
      <c r="AL17" t="str">
        <f>IF(AK17="","",B17&amp;":  "&amp;AK17)</f>
      </c>
      <c r="AM17">
        <f>(AL17&lt;&gt;"")+AM16</f>
      </c>
      <c r="AN17" t="str">
        <f>IF(AND(AL17&lt;&gt;"",AM17&gt;=3),IF(AN16="",AL17,AN16&amp;"     ·     "&amp;AL17),AN16)</f>
      </c>
      <c r="AO17" t="str">
        <f>_xlfn.TEXTJOIN(" · ",TRUE,IF(I17,IF(AND(YEAR(G17)=Planungsjahr,MONTH(G17)=8),"S "&amp;TEXT(DAY(G17),"00")&amp;"."&amp;TEXT(MONTH(G17),"00")&amp;".",""),""),IF(J17,IF(AND(YEAR(H17)=Planungsjahr,MONTH(H17)=8),"I "&amp;TEXT(DAY(H17),"00")&amp;"."&amp;TEXT(MONTH(H17),"00")&amp;".",""),""),IF(K17,IF(AND(YEAR(C17)=Planungsjahr,MONTH(C17)=8),"P "&amp;TEXT(DAY(C17),"00")&amp;"."&amp;TEXT(MONTH(C17),"00")&amp;".",""),""))</f>
      </c>
      <c r="AP17" t="str">
        <f>IF(AO17="","",B17&amp;":  "&amp;AO17)</f>
      </c>
      <c r="AQ17">
        <f>(AP17&lt;&gt;"")+AQ16</f>
      </c>
      <c r="AR17" t="str">
        <f>IF(AND(AP17&lt;&gt;"",AQ17&gt;=3),IF(AR16="",AP17,AR16&amp;"     ·     "&amp;AP17),AR16)</f>
      </c>
      <c r="AS17" t="str">
        <f>_xlfn.TEXTJOIN(" · ",TRUE,IF(I17,IF(AND(YEAR(G17)=Planungsjahr,MONTH(G17)=9),"S "&amp;TEXT(DAY(G17),"00")&amp;"."&amp;TEXT(MONTH(G17),"00")&amp;".",""),""),IF(J17,IF(AND(YEAR(H17)=Planungsjahr,MONTH(H17)=9),"I "&amp;TEXT(DAY(H17),"00")&amp;"."&amp;TEXT(MONTH(H17),"00")&amp;".",""),""),IF(K17,IF(AND(YEAR(C17)=Planungsjahr,MONTH(C17)=9),"P "&amp;TEXT(DAY(C17),"00")&amp;"."&amp;TEXT(MONTH(C17),"00")&amp;".",""),""))</f>
      </c>
      <c r="AT17" t="str">
        <f>IF(AS17="","",B17&amp;":  "&amp;AS17)</f>
      </c>
      <c r="AU17">
        <f>(AT17&lt;&gt;"")+AU16</f>
      </c>
      <c r="AV17" t="str">
        <f>IF(AND(AT17&lt;&gt;"",AU17&gt;=3),IF(AV16="",AT17,AV16&amp;"     ·     "&amp;AT17),AV16)</f>
      </c>
      <c r="AW17" t="str">
        <f>_xlfn.TEXTJOIN(" · ",TRUE,IF(I17,IF(AND(YEAR(G17)=Planungsjahr,MONTH(G17)=10),"S "&amp;TEXT(DAY(G17),"00")&amp;"."&amp;TEXT(MONTH(G17),"00")&amp;".",""),""),IF(J17,IF(AND(YEAR(H17)=Planungsjahr,MONTH(H17)=10),"I "&amp;TEXT(DAY(H17),"00")&amp;"."&amp;TEXT(MONTH(H17),"00")&amp;".",""),""),IF(K17,IF(AND(YEAR(C17)=Planungsjahr,MONTH(C17)=10),"P "&amp;TEXT(DAY(C17),"00")&amp;"."&amp;TEXT(MONTH(C17),"00")&amp;".",""),""))</f>
      </c>
      <c r="AX17" t="str">
        <f>IF(AW17="","",B17&amp;":  "&amp;AW17)</f>
      </c>
      <c r="AY17">
        <f>(AX17&lt;&gt;"")+AY16</f>
      </c>
      <c r="AZ17" t="str">
        <f>IF(AND(AX17&lt;&gt;"",AY17&gt;=3),IF(AZ16="",AX17,AZ16&amp;"     ·     "&amp;AX17),AZ16)</f>
      </c>
      <c r="BA17" t="str">
        <f>_xlfn.TEXTJOIN(" · ",TRUE,IF(I17,IF(AND(YEAR(G17)=Planungsjahr,MONTH(G17)=11),"S "&amp;TEXT(DAY(G17),"00")&amp;"."&amp;TEXT(MONTH(G17),"00")&amp;".",""),""),IF(J17,IF(AND(YEAR(H17)=Planungsjahr,MONTH(H17)=11),"I "&amp;TEXT(DAY(H17),"00")&amp;"."&amp;TEXT(MONTH(H17),"00")&amp;".",""),""),IF(K17,IF(AND(YEAR(C17)=Planungsjahr,MONTH(C17)=11),"P "&amp;TEXT(DAY(C17),"00")&amp;"."&amp;TEXT(MONTH(C17),"00")&amp;".",""),""))</f>
      </c>
      <c r="BB17" t="str">
        <f>IF(BA17="","",B17&amp;":  "&amp;BA17)</f>
      </c>
      <c r="BC17">
        <f>(BB17&lt;&gt;"")+BC16</f>
      </c>
      <c r="BD17" t="str">
        <f>IF(AND(BB17&lt;&gt;"",BC17&gt;=3),IF(BD16="",BB17,BD16&amp;"     ·     "&amp;BB17),BD16)</f>
      </c>
      <c r="BE17" t="str">
        <f>_xlfn.TEXTJOIN(" · ",TRUE,IF(I17,IF(AND(YEAR(G17)=Planungsjahr,MONTH(G17)=12),"S "&amp;TEXT(DAY(G17),"00")&amp;"."&amp;TEXT(MONTH(G17),"00")&amp;".",""),""),IF(J17,IF(AND(YEAR(H17)=Planungsjahr,MONTH(H17)=12),"I "&amp;TEXT(DAY(H17),"00")&amp;"."&amp;TEXT(MONTH(H17),"00")&amp;".",""),""),IF(K17,IF(AND(YEAR(C17)=Planungsjahr,MONTH(C17)=12),"P "&amp;TEXT(DAY(C17),"00")&amp;"."&amp;TEXT(MONTH(C17),"00")&amp;".",""),""))</f>
      </c>
      <c r="BF17" t="str">
        <f>IF(BE17="","",B17&amp;":  "&amp;BE17)</f>
      </c>
      <c r="BG17">
        <f>(BF17&lt;&gt;"")+BG16</f>
      </c>
      <c r="BH17" t="str">
        <f>IF(AND(BF17&lt;&gt;"",BG17&gt;=3),IF(BH16="",BF17,BH16&amp;"     ·     "&amp;BF17),BH16)</f>
      </c>
    </row>
    <row r="18">
      <c r="A18">
        <v>17</v>
      </c>
      <c r="B18" t="str">
        <f>INDEX(JP_Massnahme,A18)&amp;""</f>
      </c>
      <c r="C18">
        <f>INDEX(JP_PAL,A18)</f>
      </c>
      <c r="D18">
        <f>IF(AND(ISNUMBER(C18),C18&gt;0),COUNTIF(JP_PAL,"&lt;"&amp;C18)+COUNTIF(INDEX(JP_PAL,1):INDEX(JP_PAL,A18),C18),"")</f>
      </c>
      <c r="E18">
        <f>IF(D18="",0,MOD(D18-1,10)+1)</f>
      </c>
      <c r="F18" t="b">
        <f>OR(NOT(Filter_Aktiv),INDEX(JP_Anzeige,A18)=TRUE)</f>
      </c>
      <c r="G18">
        <f>INDEX(JP_StartSel,A18)</f>
      </c>
      <c r="H18">
        <f>INDEX(JP_StartInhalt,A18)</f>
      </c>
      <c r="I18" t="b">
        <f>AND(F18,Anzeige_S,ISNUMBER(G18))</f>
      </c>
      <c r="J18" t="b">
        <f>AND(F18,Anzeige_I,ISNUMBER(H18))</f>
      </c>
      <c r="K18" t="b">
        <f>AND(F18,Anzeige_P,ISNUMBER(C18),C18&gt;0)</f>
      </c>
      <c r="M18" t="str">
        <f>_xlfn.TEXTJOIN(" · ",TRUE,IF(I18,IF(AND(YEAR(G18)=Planungsjahr,MONTH(G18)=1),"S "&amp;TEXT(DAY(G18),"00")&amp;"."&amp;TEXT(MONTH(G18),"00")&amp;".",""),""),IF(J18,IF(AND(YEAR(H18)=Planungsjahr,MONTH(H18)=1),"I "&amp;TEXT(DAY(H18),"00")&amp;"."&amp;TEXT(MONTH(H18),"00")&amp;".",""),""),IF(K18,IF(AND(YEAR(C18)=Planungsjahr,MONTH(C18)=1),"P "&amp;TEXT(DAY(C18),"00")&amp;"."&amp;TEXT(MONTH(C18),"00")&amp;".",""),""))</f>
      </c>
      <c r="N18" t="str">
        <f>IF(M18="","",B18&amp;":  "&amp;M18)</f>
      </c>
      <c r="O18">
        <f>(N18&lt;&gt;"")+O17</f>
      </c>
      <c r="P18" t="str">
        <f>IF(AND(N18&lt;&gt;"",O18&gt;=3),IF(P17="",N18,P17&amp;"     ·     "&amp;N18),P17)</f>
      </c>
      <c r="Q18" t="str">
        <f>_xlfn.TEXTJOIN(" · ",TRUE,IF(I18,IF(AND(YEAR(G18)=Planungsjahr,MONTH(G18)=2),"S "&amp;TEXT(DAY(G18),"00")&amp;"."&amp;TEXT(MONTH(G18),"00")&amp;".",""),""),IF(J18,IF(AND(YEAR(H18)=Planungsjahr,MONTH(H18)=2),"I "&amp;TEXT(DAY(H18),"00")&amp;"."&amp;TEXT(MONTH(H18),"00")&amp;".",""),""),IF(K18,IF(AND(YEAR(C18)=Planungsjahr,MONTH(C18)=2),"P "&amp;TEXT(DAY(C18),"00")&amp;"."&amp;TEXT(MONTH(C18),"00")&amp;".",""),""))</f>
      </c>
      <c r="R18" t="str">
        <f>IF(Q18="","",B18&amp;":  "&amp;Q18)</f>
      </c>
      <c r="S18">
        <f>(R18&lt;&gt;"")+S17</f>
      </c>
      <c r="T18" t="str">
        <f>IF(AND(R18&lt;&gt;"",S18&gt;=3),IF(T17="",R18,T17&amp;"     ·     "&amp;R18),T17)</f>
      </c>
      <c r="U18" t="str">
        <f>_xlfn.TEXTJOIN(" · ",TRUE,IF(I18,IF(AND(YEAR(G18)=Planungsjahr,MONTH(G18)=3),"S "&amp;TEXT(DAY(G18),"00")&amp;"."&amp;TEXT(MONTH(G18),"00")&amp;".",""),""),IF(J18,IF(AND(YEAR(H18)=Planungsjahr,MONTH(H18)=3),"I "&amp;TEXT(DAY(H18),"00")&amp;"."&amp;TEXT(MONTH(H18),"00")&amp;".",""),""),IF(K18,IF(AND(YEAR(C18)=Planungsjahr,MONTH(C18)=3),"P "&amp;TEXT(DAY(C18),"00")&amp;"."&amp;TEXT(MONTH(C18),"00")&amp;".",""),""))</f>
      </c>
      <c r="V18" t="str">
        <f>IF(U18="","",B18&amp;":  "&amp;U18)</f>
      </c>
      <c r="W18">
        <f>(V18&lt;&gt;"")+W17</f>
      </c>
      <c r="X18" t="str">
        <f>IF(AND(V18&lt;&gt;"",W18&gt;=3),IF(X17="",V18,X17&amp;"     ·     "&amp;V18),X17)</f>
      </c>
      <c r="Y18" t="str">
        <f>_xlfn.TEXTJOIN(" · ",TRUE,IF(I18,IF(AND(YEAR(G18)=Planungsjahr,MONTH(G18)=4),"S "&amp;TEXT(DAY(G18),"00")&amp;"."&amp;TEXT(MONTH(G18),"00")&amp;".",""),""),IF(J18,IF(AND(YEAR(H18)=Planungsjahr,MONTH(H18)=4),"I "&amp;TEXT(DAY(H18),"00")&amp;"."&amp;TEXT(MONTH(H18),"00")&amp;".",""),""),IF(K18,IF(AND(YEAR(C18)=Planungsjahr,MONTH(C18)=4),"P "&amp;TEXT(DAY(C18),"00")&amp;"."&amp;TEXT(MONTH(C18),"00")&amp;".",""),""))</f>
      </c>
      <c r="Z18" t="str">
        <f>IF(Y18="","",B18&amp;":  "&amp;Y18)</f>
      </c>
      <c r="AA18">
        <f>(Z18&lt;&gt;"")+AA17</f>
      </c>
      <c r="AB18" t="str">
        <f>IF(AND(Z18&lt;&gt;"",AA18&gt;=3),IF(AB17="",Z18,AB17&amp;"     ·     "&amp;Z18),AB17)</f>
      </c>
      <c r="AC18" t="str">
        <f>_xlfn.TEXTJOIN(" · ",TRUE,IF(I18,IF(AND(YEAR(G18)=Planungsjahr,MONTH(G18)=5),"S "&amp;TEXT(DAY(G18),"00")&amp;"."&amp;TEXT(MONTH(G18),"00")&amp;".",""),""),IF(J18,IF(AND(YEAR(H18)=Planungsjahr,MONTH(H18)=5),"I "&amp;TEXT(DAY(H18),"00")&amp;"."&amp;TEXT(MONTH(H18),"00")&amp;".",""),""),IF(K18,IF(AND(YEAR(C18)=Planungsjahr,MONTH(C18)=5),"P "&amp;TEXT(DAY(C18),"00")&amp;"."&amp;TEXT(MONTH(C18),"00")&amp;".",""),""))</f>
      </c>
      <c r="AD18" t="str">
        <f>IF(AC18="","",B18&amp;":  "&amp;AC18)</f>
      </c>
      <c r="AE18">
        <f>(AD18&lt;&gt;"")+AE17</f>
      </c>
      <c r="AF18" t="str">
        <f>IF(AND(AD18&lt;&gt;"",AE18&gt;=3),IF(AF17="",AD18,AF17&amp;"     ·     "&amp;AD18),AF17)</f>
      </c>
      <c r="AG18" t="str">
        <f>_xlfn.TEXTJOIN(" · ",TRUE,IF(I18,IF(AND(YEAR(G18)=Planungsjahr,MONTH(G18)=6),"S "&amp;TEXT(DAY(G18),"00")&amp;"."&amp;TEXT(MONTH(G18),"00")&amp;".",""),""),IF(J18,IF(AND(YEAR(H18)=Planungsjahr,MONTH(H18)=6),"I "&amp;TEXT(DAY(H18),"00")&amp;"."&amp;TEXT(MONTH(H18),"00")&amp;".",""),""),IF(K18,IF(AND(YEAR(C18)=Planungsjahr,MONTH(C18)=6),"P "&amp;TEXT(DAY(C18),"00")&amp;"."&amp;TEXT(MONTH(C18),"00")&amp;".",""),""))</f>
      </c>
      <c r="AH18" t="str">
        <f>IF(AG18="","",B18&amp;":  "&amp;AG18)</f>
      </c>
      <c r="AI18">
        <f>(AH18&lt;&gt;"")+AI17</f>
      </c>
      <c r="AJ18" t="str">
        <f>IF(AND(AH18&lt;&gt;"",AI18&gt;=3),IF(AJ17="",AH18,AJ17&amp;"     ·     "&amp;AH18),AJ17)</f>
      </c>
      <c r="AK18" t="str">
        <f>_xlfn.TEXTJOIN(" · ",TRUE,IF(I18,IF(AND(YEAR(G18)=Planungsjahr,MONTH(G18)=7),"S "&amp;TEXT(DAY(G18),"00")&amp;"."&amp;TEXT(MONTH(G18),"00")&amp;".",""),""),IF(J18,IF(AND(YEAR(H18)=Planungsjahr,MONTH(H18)=7),"I "&amp;TEXT(DAY(H18),"00")&amp;"."&amp;TEXT(MONTH(H18),"00")&amp;".",""),""),IF(K18,IF(AND(YEAR(C18)=Planungsjahr,MONTH(C18)=7),"P "&amp;TEXT(DAY(C18),"00")&amp;"."&amp;TEXT(MONTH(C18),"00")&amp;".",""),""))</f>
      </c>
      <c r="AL18" t="str">
        <f>IF(AK18="","",B18&amp;":  "&amp;AK18)</f>
      </c>
      <c r="AM18">
        <f>(AL18&lt;&gt;"")+AM17</f>
      </c>
      <c r="AN18" t="str">
        <f>IF(AND(AL18&lt;&gt;"",AM18&gt;=3),IF(AN17="",AL18,AN17&amp;"     ·     "&amp;AL18),AN17)</f>
      </c>
      <c r="AO18" t="str">
        <f>_xlfn.TEXTJOIN(" · ",TRUE,IF(I18,IF(AND(YEAR(G18)=Planungsjahr,MONTH(G18)=8),"S "&amp;TEXT(DAY(G18),"00")&amp;"."&amp;TEXT(MONTH(G18),"00")&amp;".",""),""),IF(J18,IF(AND(YEAR(H18)=Planungsjahr,MONTH(H18)=8),"I "&amp;TEXT(DAY(H18),"00")&amp;"."&amp;TEXT(MONTH(H18),"00")&amp;".",""),""),IF(K18,IF(AND(YEAR(C18)=Planungsjahr,MONTH(C18)=8),"P "&amp;TEXT(DAY(C18),"00")&amp;"."&amp;TEXT(MONTH(C18),"00")&amp;".",""),""))</f>
      </c>
      <c r="AP18" t="str">
        <f>IF(AO18="","",B18&amp;":  "&amp;AO18)</f>
      </c>
      <c r="AQ18">
        <f>(AP18&lt;&gt;"")+AQ17</f>
      </c>
      <c r="AR18" t="str">
        <f>IF(AND(AP18&lt;&gt;"",AQ18&gt;=3),IF(AR17="",AP18,AR17&amp;"     ·     "&amp;AP18),AR17)</f>
      </c>
      <c r="AS18" t="str">
        <f>_xlfn.TEXTJOIN(" · ",TRUE,IF(I18,IF(AND(YEAR(G18)=Planungsjahr,MONTH(G18)=9),"S "&amp;TEXT(DAY(G18),"00")&amp;"."&amp;TEXT(MONTH(G18),"00")&amp;".",""),""),IF(J18,IF(AND(YEAR(H18)=Planungsjahr,MONTH(H18)=9),"I "&amp;TEXT(DAY(H18),"00")&amp;"."&amp;TEXT(MONTH(H18),"00")&amp;".",""),""),IF(K18,IF(AND(YEAR(C18)=Planungsjahr,MONTH(C18)=9),"P "&amp;TEXT(DAY(C18),"00")&amp;"."&amp;TEXT(MONTH(C18),"00")&amp;".",""),""))</f>
      </c>
      <c r="AT18" t="str">
        <f>IF(AS18="","",B18&amp;":  "&amp;AS18)</f>
      </c>
      <c r="AU18">
        <f>(AT18&lt;&gt;"")+AU17</f>
      </c>
      <c r="AV18" t="str">
        <f>IF(AND(AT18&lt;&gt;"",AU18&gt;=3),IF(AV17="",AT18,AV17&amp;"     ·     "&amp;AT18),AV17)</f>
      </c>
      <c r="AW18" t="str">
        <f>_xlfn.TEXTJOIN(" · ",TRUE,IF(I18,IF(AND(YEAR(G18)=Planungsjahr,MONTH(G18)=10),"S "&amp;TEXT(DAY(G18),"00")&amp;"."&amp;TEXT(MONTH(G18),"00")&amp;".",""),""),IF(J18,IF(AND(YEAR(H18)=Planungsjahr,MONTH(H18)=10),"I "&amp;TEXT(DAY(H18),"00")&amp;"."&amp;TEXT(MONTH(H18),"00")&amp;".",""),""),IF(K18,IF(AND(YEAR(C18)=Planungsjahr,MONTH(C18)=10),"P "&amp;TEXT(DAY(C18),"00")&amp;"."&amp;TEXT(MONTH(C18),"00")&amp;".",""),""))</f>
      </c>
      <c r="AX18" t="str">
        <f>IF(AW18="","",B18&amp;":  "&amp;AW18)</f>
      </c>
      <c r="AY18">
        <f>(AX18&lt;&gt;"")+AY17</f>
      </c>
      <c r="AZ18" t="str">
        <f>IF(AND(AX18&lt;&gt;"",AY18&gt;=3),IF(AZ17="",AX18,AZ17&amp;"     ·     "&amp;AX18),AZ17)</f>
      </c>
      <c r="BA18" t="str">
        <f>_xlfn.TEXTJOIN(" · ",TRUE,IF(I18,IF(AND(YEAR(G18)=Planungsjahr,MONTH(G18)=11),"S "&amp;TEXT(DAY(G18),"00")&amp;"."&amp;TEXT(MONTH(G18),"00")&amp;".",""),""),IF(J18,IF(AND(YEAR(H18)=Planungsjahr,MONTH(H18)=11),"I "&amp;TEXT(DAY(H18),"00")&amp;"."&amp;TEXT(MONTH(H18),"00")&amp;".",""),""),IF(K18,IF(AND(YEAR(C18)=Planungsjahr,MONTH(C18)=11),"P "&amp;TEXT(DAY(C18),"00")&amp;"."&amp;TEXT(MONTH(C18),"00")&amp;".",""),""))</f>
      </c>
      <c r="BB18" t="str">
        <f>IF(BA18="","",B18&amp;":  "&amp;BA18)</f>
      </c>
      <c r="BC18">
        <f>(BB18&lt;&gt;"")+BC17</f>
      </c>
      <c r="BD18" t="str">
        <f>IF(AND(BB18&lt;&gt;"",BC18&gt;=3),IF(BD17="",BB18,BD17&amp;"     ·     "&amp;BB18),BD17)</f>
      </c>
      <c r="BE18" t="str">
        <f>_xlfn.TEXTJOIN(" · ",TRUE,IF(I18,IF(AND(YEAR(G18)=Planungsjahr,MONTH(G18)=12),"S "&amp;TEXT(DAY(G18),"00")&amp;"."&amp;TEXT(MONTH(G18),"00")&amp;".",""),""),IF(J18,IF(AND(YEAR(H18)=Planungsjahr,MONTH(H18)=12),"I "&amp;TEXT(DAY(H18),"00")&amp;"."&amp;TEXT(MONTH(H18),"00")&amp;".",""),""),IF(K18,IF(AND(YEAR(C18)=Planungsjahr,MONTH(C18)=12),"P "&amp;TEXT(DAY(C18),"00")&amp;"."&amp;TEXT(MONTH(C18),"00")&amp;".",""),""))</f>
      </c>
      <c r="BF18" t="str">
        <f>IF(BE18="","",B18&amp;":  "&amp;BE18)</f>
      </c>
      <c r="BG18">
        <f>(BF18&lt;&gt;"")+BG17</f>
      </c>
      <c r="BH18" t="str">
        <f>IF(AND(BF18&lt;&gt;"",BG18&gt;=3),IF(BH17="",BF18,BH17&amp;"     ·     "&amp;BF18),BH17)</f>
      </c>
    </row>
    <row r="19">
      <c r="A19">
        <v>18</v>
      </c>
      <c r="B19" t="str">
        <f>INDEX(JP_Massnahme,A19)&amp;""</f>
      </c>
      <c r="C19">
        <f>INDEX(JP_PAL,A19)</f>
      </c>
      <c r="D19">
        <f>IF(AND(ISNUMBER(C19),C19&gt;0),COUNTIF(JP_PAL,"&lt;"&amp;C19)+COUNTIF(INDEX(JP_PAL,1):INDEX(JP_PAL,A19),C19),"")</f>
      </c>
      <c r="E19">
        <f>IF(D19="",0,MOD(D19-1,10)+1)</f>
      </c>
      <c r="F19" t="b">
        <f>OR(NOT(Filter_Aktiv),INDEX(JP_Anzeige,A19)=TRUE)</f>
      </c>
      <c r="G19">
        <f>INDEX(JP_StartSel,A19)</f>
      </c>
      <c r="H19">
        <f>INDEX(JP_StartInhalt,A19)</f>
      </c>
      <c r="I19" t="b">
        <f>AND(F19,Anzeige_S,ISNUMBER(G19))</f>
      </c>
      <c r="J19" t="b">
        <f>AND(F19,Anzeige_I,ISNUMBER(H19))</f>
      </c>
      <c r="K19" t="b">
        <f>AND(F19,Anzeige_P,ISNUMBER(C19),C19&gt;0)</f>
      </c>
      <c r="M19" t="str">
        <f>_xlfn.TEXTJOIN(" · ",TRUE,IF(I19,IF(AND(YEAR(G19)=Planungsjahr,MONTH(G19)=1),"S "&amp;TEXT(DAY(G19),"00")&amp;"."&amp;TEXT(MONTH(G19),"00")&amp;".",""),""),IF(J19,IF(AND(YEAR(H19)=Planungsjahr,MONTH(H19)=1),"I "&amp;TEXT(DAY(H19),"00")&amp;"."&amp;TEXT(MONTH(H19),"00")&amp;".",""),""),IF(K19,IF(AND(YEAR(C19)=Planungsjahr,MONTH(C19)=1),"P "&amp;TEXT(DAY(C19),"00")&amp;"."&amp;TEXT(MONTH(C19),"00")&amp;".",""),""))</f>
      </c>
      <c r="N19" t="str">
        <f>IF(M19="","",B19&amp;":  "&amp;M19)</f>
      </c>
      <c r="O19">
        <f>(N19&lt;&gt;"")+O18</f>
      </c>
      <c r="P19" t="str">
        <f>IF(AND(N19&lt;&gt;"",O19&gt;=3),IF(P18="",N19,P18&amp;"     ·     "&amp;N19),P18)</f>
      </c>
      <c r="Q19" t="str">
        <f>_xlfn.TEXTJOIN(" · ",TRUE,IF(I19,IF(AND(YEAR(G19)=Planungsjahr,MONTH(G19)=2),"S "&amp;TEXT(DAY(G19),"00")&amp;"."&amp;TEXT(MONTH(G19),"00")&amp;".",""),""),IF(J19,IF(AND(YEAR(H19)=Planungsjahr,MONTH(H19)=2),"I "&amp;TEXT(DAY(H19),"00")&amp;"."&amp;TEXT(MONTH(H19),"00")&amp;".",""),""),IF(K19,IF(AND(YEAR(C19)=Planungsjahr,MONTH(C19)=2),"P "&amp;TEXT(DAY(C19),"00")&amp;"."&amp;TEXT(MONTH(C19),"00")&amp;".",""),""))</f>
      </c>
      <c r="R19" t="str">
        <f>IF(Q19="","",B19&amp;":  "&amp;Q19)</f>
      </c>
      <c r="S19">
        <f>(R19&lt;&gt;"")+S18</f>
      </c>
      <c r="T19" t="str">
        <f>IF(AND(R19&lt;&gt;"",S19&gt;=3),IF(T18="",R19,T18&amp;"     ·     "&amp;R19),T18)</f>
      </c>
      <c r="U19" t="str">
        <f>_xlfn.TEXTJOIN(" · ",TRUE,IF(I19,IF(AND(YEAR(G19)=Planungsjahr,MONTH(G19)=3),"S "&amp;TEXT(DAY(G19),"00")&amp;"."&amp;TEXT(MONTH(G19),"00")&amp;".",""),""),IF(J19,IF(AND(YEAR(H19)=Planungsjahr,MONTH(H19)=3),"I "&amp;TEXT(DAY(H19),"00")&amp;"."&amp;TEXT(MONTH(H19),"00")&amp;".",""),""),IF(K19,IF(AND(YEAR(C19)=Planungsjahr,MONTH(C19)=3),"P "&amp;TEXT(DAY(C19),"00")&amp;"."&amp;TEXT(MONTH(C19),"00")&amp;".",""),""))</f>
      </c>
      <c r="V19" t="str">
        <f>IF(U19="","",B19&amp;":  "&amp;U19)</f>
      </c>
      <c r="W19">
        <f>(V19&lt;&gt;"")+W18</f>
      </c>
      <c r="X19" t="str">
        <f>IF(AND(V19&lt;&gt;"",W19&gt;=3),IF(X18="",V19,X18&amp;"     ·     "&amp;V19),X18)</f>
      </c>
      <c r="Y19" t="str">
        <f>_xlfn.TEXTJOIN(" · ",TRUE,IF(I19,IF(AND(YEAR(G19)=Planungsjahr,MONTH(G19)=4),"S "&amp;TEXT(DAY(G19),"00")&amp;"."&amp;TEXT(MONTH(G19),"00")&amp;".",""),""),IF(J19,IF(AND(YEAR(H19)=Planungsjahr,MONTH(H19)=4),"I "&amp;TEXT(DAY(H19),"00")&amp;"."&amp;TEXT(MONTH(H19),"00")&amp;".",""),""),IF(K19,IF(AND(YEAR(C19)=Planungsjahr,MONTH(C19)=4),"P "&amp;TEXT(DAY(C19),"00")&amp;"."&amp;TEXT(MONTH(C19),"00")&amp;".",""),""))</f>
      </c>
      <c r="Z19" t="str">
        <f>IF(Y19="","",B19&amp;":  "&amp;Y19)</f>
      </c>
      <c r="AA19">
        <f>(Z19&lt;&gt;"")+AA18</f>
      </c>
      <c r="AB19" t="str">
        <f>IF(AND(Z19&lt;&gt;"",AA19&gt;=3),IF(AB18="",Z19,AB18&amp;"     ·     "&amp;Z19),AB18)</f>
      </c>
      <c r="AC19" t="str">
        <f>_xlfn.TEXTJOIN(" · ",TRUE,IF(I19,IF(AND(YEAR(G19)=Planungsjahr,MONTH(G19)=5),"S "&amp;TEXT(DAY(G19),"00")&amp;"."&amp;TEXT(MONTH(G19),"00")&amp;".",""),""),IF(J19,IF(AND(YEAR(H19)=Planungsjahr,MONTH(H19)=5),"I "&amp;TEXT(DAY(H19),"00")&amp;"."&amp;TEXT(MONTH(H19),"00")&amp;".",""),""),IF(K19,IF(AND(YEAR(C19)=Planungsjahr,MONTH(C19)=5),"P "&amp;TEXT(DAY(C19),"00")&amp;"."&amp;TEXT(MONTH(C19),"00")&amp;".",""),""))</f>
      </c>
      <c r="AD19" t="str">
        <f>IF(AC19="","",B19&amp;":  "&amp;AC19)</f>
      </c>
      <c r="AE19">
        <f>(AD19&lt;&gt;"")+AE18</f>
      </c>
      <c r="AF19" t="str">
        <f>IF(AND(AD19&lt;&gt;"",AE19&gt;=3),IF(AF18="",AD19,AF18&amp;"     ·     "&amp;AD19),AF18)</f>
      </c>
      <c r="AG19" t="str">
        <f>_xlfn.TEXTJOIN(" · ",TRUE,IF(I19,IF(AND(YEAR(G19)=Planungsjahr,MONTH(G19)=6),"S "&amp;TEXT(DAY(G19),"00")&amp;"."&amp;TEXT(MONTH(G19),"00")&amp;".",""),""),IF(J19,IF(AND(YEAR(H19)=Planungsjahr,MONTH(H19)=6),"I "&amp;TEXT(DAY(H19),"00")&amp;"."&amp;TEXT(MONTH(H19),"00")&amp;".",""),""),IF(K19,IF(AND(YEAR(C19)=Planungsjahr,MONTH(C19)=6),"P "&amp;TEXT(DAY(C19),"00")&amp;"."&amp;TEXT(MONTH(C19),"00")&amp;".",""),""))</f>
      </c>
      <c r="AH19" t="str">
        <f>IF(AG19="","",B19&amp;":  "&amp;AG19)</f>
      </c>
      <c r="AI19">
        <f>(AH19&lt;&gt;"")+AI18</f>
      </c>
      <c r="AJ19" t="str">
        <f>IF(AND(AH19&lt;&gt;"",AI19&gt;=3),IF(AJ18="",AH19,AJ18&amp;"     ·     "&amp;AH19),AJ18)</f>
      </c>
      <c r="AK19" t="str">
        <f>_xlfn.TEXTJOIN(" · ",TRUE,IF(I19,IF(AND(YEAR(G19)=Planungsjahr,MONTH(G19)=7),"S "&amp;TEXT(DAY(G19),"00")&amp;"."&amp;TEXT(MONTH(G19),"00")&amp;".",""),""),IF(J19,IF(AND(YEAR(H19)=Planungsjahr,MONTH(H19)=7),"I "&amp;TEXT(DAY(H19),"00")&amp;"."&amp;TEXT(MONTH(H19),"00")&amp;".",""),""),IF(K19,IF(AND(YEAR(C19)=Planungsjahr,MONTH(C19)=7),"P "&amp;TEXT(DAY(C19),"00")&amp;"."&amp;TEXT(MONTH(C19),"00")&amp;".",""),""))</f>
      </c>
      <c r="AL19" t="str">
        <f>IF(AK19="","",B19&amp;":  "&amp;AK19)</f>
      </c>
      <c r="AM19">
        <f>(AL19&lt;&gt;"")+AM18</f>
      </c>
      <c r="AN19" t="str">
        <f>IF(AND(AL19&lt;&gt;"",AM19&gt;=3),IF(AN18="",AL19,AN18&amp;"     ·     "&amp;AL19),AN18)</f>
      </c>
      <c r="AO19" t="str">
        <f>_xlfn.TEXTJOIN(" · ",TRUE,IF(I19,IF(AND(YEAR(G19)=Planungsjahr,MONTH(G19)=8),"S "&amp;TEXT(DAY(G19),"00")&amp;"."&amp;TEXT(MONTH(G19),"00")&amp;".",""),""),IF(J19,IF(AND(YEAR(H19)=Planungsjahr,MONTH(H19)=8),"I "&amp;TEXT(DAY(H19),"00")&amp;"."&amp;TEXT(MONTH(H19),"00")&amp;".",""),""),IF(K19,IF(AND(YEAR(C19)=Planungsjahr,MONTH(C19)=8),"P "&amp;TEXT(DAY(C19),"00")&amp;"."&amp;TEXT(MONTH(C19),"00")&amp;".",""),""))</f>
      </c>
      <c r="AP19" t="str">
        <f>IF(AO19="","",B19&amp;":  "&amp;AO19)</f>
      </c>
      <c r="AQ19">
        <f>(AP19&lt;&gt;"")+AQ18</f>
      </c>
      <c r="AR19" t="str">
        <f>IF(AND(AP19&lt;&gt;"",AQ19&gt;=3),IF(AR18="",AP19,AR18&amp;"     ·     "&amp;AP19),AR18)</f>
      </c>
      <c r="AS19" t="str">
        <f>_xlfn.TEXTJOIN(" · ",TRUE,IF(I19,IF(AND(YEAR(G19)=Planungsjahr,MONTH(G19)=9),"S "&amp;TEXT(DAY(G19),"00")&amp;"."&amp;TEXT(MONTH(G19),"00")&amp;".",""),""),IF(J19,IF(AND(YEAR(H19)=Planungsjahr,MONTH(H19)=9),"I "&amp;TEXT(DAY(H19),"00")&amp;"."&amp;TEXT(MONTH(H19),"00")&amp;".",""),""),IF(K19,IF(AND(YEAR(C19)=Planungsjahr,MONTH(C19)=9),"P "&amp;TEXT(DAY(C19),"00")&amp;"."&amp;TEXT(MONTH(C19),"00")&amp;".",""),""))</f>
      </c>
      <c r="AT19" t="str">
        <f>IF(AS19="","",B19&amp;":  "&amp;AS19)</f>
      </c>
      <c r="AU19">
        <f>(AT19&lt;&gt;"")+AU18</f>
      </c>
      <c r="AV19" t="str">
        <f>IF(AND(AT19&lt;&gt;"",AU19&gt;=3),IF(AV18="",AT19,AV18&amp;"     ·     "&amp;AT19),AV18)</f>
      </c>
      <c r="AW19" t="str">
        <f>_xlfn.TEXTJOIN(" · ",TRUE,IF(I19,IF(AND(YEAR(G19)=Planungsjahr,MONTH(G19)=10),"S "&amp;TEXT(DAY(G19),"00")&amp;"."&amp;TEXT(MONTH(G19),"00")&amp;".",""),""),IF(J19,IF(AND(YEAR(H19)=Planungsjahr,MONTH(H19)=10),"I "&amp;TEXT(DAY(H19),"00")&amp;"."&amp;TEXT(MONTH(H19),"00")&amp;".",""),""),IF(K19,IF(AND(YEAR(C19)=Planungsjahr,MONTH(C19)=10),"P "&amp;TEXT(DAY(C19),"00")&amp;"."&amp;TEXT(MONTH(C19),"00")&amp;".",""),""))</f>
      </c>
      <c r="AX19" t="str">
        <f>IF(AW19="","",B19&amp;":  "&amp;AW19)</f>
      </c>
      <c r="AY19">
        <f>(AX19&lt;&gt;"")+AY18</f>
      </c>
      <c r="AZ19" t="str">
        <f>IF(AND(AX19&lt;&gt;"",AY19&gt;=3),IF(AZ18="",AX19,AZ18&amp;"     ·     "&amp;AX19),AZ18)</f>
      </c>
      <c r="BA19" t="str">
        <f>_xlfn.TEXTJOIN(" · ",TRUE,IF(I19,IF(AND(YEAR(G19)=Planungsjahr,MONTH(G19)=11),"S "&amp;TEXT(DAY(G19),"00")&amp;"."&amp;TEXT(MONTH(G19),"00")&amp;".",""),""),IF(J19,IF(AND(YEAR(H19)=Planungsjahr,MONTH(H19)=11),"I "&amp;TEXT(DAY(H19),"00")&amp;"."&amp;TEXT(MONTH(H19),"00")&amp;".",""),""),IF(K19,IF(AND(YEAR(C19)=Planungsjahr,MONTH(C19)=11),"P "&amp;TEXT(DAY(C19),"00")&amp;"."&amp;TEXT(MONTH(C19),"00")&amp;".",""),""))</f>
      </c>
      <c r="BB19" t="str">
        <f>IF(BA19="","",B19&amp;":  "&amp;BA19)</f>
      </c>
      <c r="BC19">
        <f>(BB19&lt;&gt;"")+BC18</f>
      </c>
      <c r="BD19" t="str">
        <f>IF(AND(BB19&lt;&gt;"",BC19&gt;=3),IF(BD18="",BB19,BD18&amp;"     ·     "&amp;BB19),BD18)</f>
      </c>
      <c r="BE19" t="str">
        <f>_xlfn.TEXTJOIN(" · ",TRUE,IF(I19,IF(AND(YEAR(G19)=Planungsjahr,MONTH(G19)=12),"S "&amp;TEXT(DAY(G19),"00")&amp;"."&amp;TEXT(MONTH(G19),"00")&amp;".",""),""),IF(J19,IF(AND(YEAR(H19)=Planungsjahr,MONTH(H19)=12),"I "&amp;TEXT(DAY(H19),"00")&amp;"."&amp;TEXT(MONTH(H19),"00")&amp;".",""),""),IF(K19,IF(AND(YEAR(C19)=Planungsjahr,MONTH(C19)=12),"P "&amp;TEXT(DAY(C19),"00")&amp;"."&amp;TEXT(MONTH(C19),"00")&amp;".",""),""))</f>
      </c>
      <c r="BF19" t="str">
        <f>IF(BE19="","",B19&amp;":  "&amp;BE19)</f>
      </c>
      <c r="BG19">
        <f>(BF19&lt;&gt;"")+BG18</f>
      </c>
      <c r="BH19" t="str">
        <f>IF(AND(BF19&lt;&gt;"",BG19&gt;=3),IF(BH18="",BF19,BH18&amp;"     ·     "&amp;BF19),BH18)</f>
      </c>
    </row>
    <row r="20">
      <c r="A20">
        <v>19</v>
      </c>
      <c r="B20" t="str">
        <f>INDEX(JP_Massnahme,A20)&amp;""</f>
      </c>
      <c r="C20">
        <f>INDEX(JP_PAL,A20)</f>
      </c>
      <c r="D20">
        <f>IF(AND(ISNUMBER(C20),C20&gt;0),COUNTIF(JP_PAL,"&lt;"&amp;C20)+COUNTIF(INDEX(JP_PAL,1):INDEX(JP_PAL,A20),C20),"")</f>
      </c>
      <c r="E20">
        <f>IF(D20="",0,MOD(D20-1,10)+1)</f>
      </c>
      <c r="F20" t="b">
        <f>OR(NOT(Filter_Aktiv),INDEX(JP_Anzeige,A20)=TRUE)</f>
      </c>
      <c r="G20">
        <f>INDEX(JP_StartSel,A20)</f>
      </c>
      <c r="H20">
        <f>INDEX(JP_StartInhalt,A20)</f>
      </c>
      <c r="I20" t="b">
        <f>AND(F20,Anzeige_S,ISNUMBER(G20))</f>
      </c>
      <c r="J20" t="b">
        <f>AND(F20,Anzeige_I,ISNUMBER(H20))</f>
      </c>
      <c r="K20" t="b">
        <f>AND(F20,Anzeige_P,ISNUMBER(C20),C20&gt;0)</f>
      </c>
      <c r="M20" t="str">
        <f>_xlfn.TEXTJOIN(" · ",TRUE,IF(I20,IF(AND(YEAR(G20)=Planungsjahr,MONTH(G20)=1),"S "&amp;TEXT(DAY(G20),"00")&amp;"."&amp;TEXT(MONTH(G20),"00")&amp;".",""),""),IF(J20,IF(AND(YEAR(H20)=Planungsjahr,MONTH(H20)=1),"I "&amp;TEXT(DAY(H20),"00")&amp;"."&amp;TEXT(MONTH(H20),"00")&amp;".",""),""),IF(K20,IF(AND(YEAR(C20)=Planungsjahr,MONTH(C20)=1),"P "&amp;TEXT(DAY(C20),"00")&amp;"."&amp;TEXT(MONTH(C20),"00")&amp;".",""),""))</f>
      </c>
      <c r="N20" t="str">
        <f>IF(M20="","",B20&amp;":  "&amp;M20)</f>
      </c>
      <c r="O20">
        <f>(N20&lt;&gt;"")+O19</f>
      </c>
      <c r="P20" t="str">
        <f>IF(AND(N20&lt;&gt;"",O20&gt;=3),IF(P19="",N20,P19&amp;"     ·     "&amp;N20),P19)</f>
      </c>
      <c r="Q20" t="str">
        <f>_xlfn.TEXTJOIN(" · ",TRUE,IF(I20,IF(AND(YEAR(G20)=Planungsjahr,MONTH(G20)=2),"S "&amp;TEXT(DAY(G20),"00")&amp;"."&amp;TEXT(MONTH(G20),"00")&amp;".",""),""),IF(J20,IF(AND(YEAR(H20)=Planungsjahr,MONTH(H20)=2),"I "&amp;TEXT(DAY(H20),"00")&amp;"."&amp;TEXT(MONTH(H20),"00")&amp;".",""),""),IF(K20,IF(AND(YEAR(C20)=Planungsjahr,MONTH(C20)=2),"P "&amp;TEXT(DAY(C20),"00")&amp;"."&amp;TEXT(MONTH(C20),"00")&amp;".",""),""))</f>
      </c>
      <c r="R20" t="str">
        <f>IF(Q20="","",B20&amp;":  "&amp;Q20)</f>
      </c>
      <c r="S20">
        <f>(R20&lt;&gt;"")+S19</f>
      </c>
      <c r="T20" t="str">
        <f>IF(AND(R20&lt;&gt;"",S20&gt;=3),IF(T19="",R20,T19&amp;"     ·     "&amp;R20),T19)</f>
      </c>
      <c r="U20" t="str">
        <f>_xlfn.TEXTJOIN(" · ",TRUE,IF(I20,IF(AND(YEAR(G20)=Planungsjahr,MONTH(G20)=3),"S "&amp;TEXT(DAY(G20),"00")&amp;"."&amp;TEXT(MONTH(G20),"00")&amp;".",""),""),IF(J20,IF(AND(YEAR(H20)=Planungsjahr,MONTH(H20)=3),"I "&amp;TEXT(DAY(H20),"00")&amp;"."&amp;TEXT(MONTH(H20),"00")&amp;".",""),""),IF(K20,IF(AND(YEAR(C20)=Planungsjahr,MONTH(C20)=3),"P "&amp;TEXT(DAY(C20),"00")&amp;"."&amp;TEXT(MONTH(C20),"00")&amp;".",""),""))</f>
      </c>
      <c r="V20" t="str">
        <f>IF(U20="","",B20&amp;":  "&amp;U20)</f>
      </c>
      <c r="W20">
        <f>(V20&lt;&gt;"")+W19</f>
      </c>
      <c r="X20" t="str">
        <f>IF(AND(V20&lt;&gt;"",W20&gt;=3),IF(X19="",V20,X19&amp;"     ·     "&amp;V20),X19)</f>
      </c>
      <c r="Y20" t="str">
        <f>_xlfn.TEXTJOIN(" · ",TRUE,IF(I20,IF(AND(YEAR(G20)=Planungsjahr,MONTH(G20)=4),"S "&amp;TEXT(DAY(G20),"00")&amp;"."&amp;TEXT(MONTH(G20),"00")&amp;".",""),""),IF(J20,IF(AND(YEAR(H20)=Planungsjahr,MONTH(H20)=4),"I "&amp;TEXT(DAY(H20),"00")&amp;"."&amp;TEXT(MONTH(H20),"00")&amp;".",""),""),IF(K20,IF(AND(YEAR(C20)=Planungsjahr,MONTH(C20)=4),"P "&amp;TEXT(DAY(C20),"00")&amp;"."&amp;TEXT(MONTH(C20),"00")&amp;".",""),""))</f>
      </c>
      <c r="Z20" t="str">
        <f>IF(Y20="","",B20&amp;":  "&amp;Y20)</f>
      </c>
      <c r="AA20">
        <f>(Z20&lt;&gt;"")+AA19</f>
      </c>
      <c r="AB20" t="str">
        <f>IF(AND(Z20&lt;&gt;"",AA20&gt;=3),IF(AB19="",Z20,AB19&amp;"     ·     "&amp;Z20),AB19)</f>
      </c>
      <c r="AC20" t="str">
        <f>_xlfn.TEXTJOIN(" · ",TRUE,IF(I20,IF(AND(YEAR(G20)=Planungsjahr,MONTH(G20)=5),"S "&amp;TEXT(DAY(G20),"00")&amp;"."&amp;TEXT(MONTH(G20),"00")&amp;".",""),""),IF(J20,IF(AND(YEAR(H20)=Planungsjahr,MONTH(H20)=5),"I "&amp;TEXT(DAY(H20),"00")&amp;"."&amp;TEXT(MONTH(H20),"00")&amp;".",""),""),IF(K20,IF(AND(YEAR(C20)=Planungsjahr,MONTH(C20)=5),"P "&amp;TEXT(DAY(C20),"00")&amp;"."&amp;TEXT(MONTH(C20),"00")&amp;".",""),""))</f>
      </c>
      <c r="AD20" t="str">
        <f>IF(AC20="","",B20&amp;":  "&amp;AC20)</f>
      </c>
      <c r="AE20">
        <f>(AD20&lt;&gt;"")+AE19</f>
      </c>
      <c r="AF20" t="str">
        <f>IF(AND(AD20&lt;&gt;"",AE20&gt;=3),IF(AF19="",AD20,AF19&amp;"     ·     "&amp;AD20),AF19)</f>
      </c>
      <c r="AG20" t="str">
        <f>_xlfn.TEXTJOIN(" · ",TRUE,IF(I20,IF(AND(YEAR(G20)=Planungsjahr,MONTH(G20)=6),"S "&amp;TEXT(DAY(G20),"00")&amp;"."&amp;TEXT(MONTH(G20),"00")&amp;".",""),""),IF(J20,IF(AND(YEAR(H20)=Planungsjahr,MONTH(H20)=6),"I "&amp;TEXT(DAY(H20),"00")&amp;"."&amp;TEXT(MONTH(H20),"00")&amp;".",""),""),IF(K20,IF(AND(YEAR(C20)=Planungsjahr,MONTH(C20)=6),"P "&amp;TEXT(DAY(C20),"00")&amp;"."&amp;TEXT(MONTH(C20),"00")&amp;".",""),""))</f>
      </c>
      <c r="AH20" t="str">
        <f>IF(AG20="","",B20&amp;":  "&amp;AG20)</f>
      </c>
      <c r="AI20">
        <f>(AH20&lt;&gt;"")+AI19</f>
      </c>
      <c r="AJ20" t="str">
        <f>IF(AND(AH20&lt;&gt;"",AI20&gt;=3),IF(AJ19="",AH20,AJ19&amp;"     ·     "&amp;AH20),AJ19)</f>
      </c>
      <c r="AK20" t="str">
        <f>_xlfn.TEXTJOIN(" · ",TRUE,IF(I20,IF(AND(YEAR(G20)=Planungsjahr,MONTH(G20)=7),"S "&amp;TEXT(DAY(G20),"00")&amp;"."&amp;TEXT(MONTH(G20),"00")&amp;".",""),""),IF(J20,IF(AND(YEAR(H20)=Planungsjahr,MONTH(H20)=7),"I "&amp;TEXT(DAY(H20),"00")&amp;"."&amp;TEXT(MONTH(H20),"00")&amp;".",""),""),IF(K20,IF(AND(YEAR(C20)=Planungsjahr,MONTH(C20)=7),"P "&amp;TEXT(DAY(C20),"00")&amp;"."&amp;TEXT(MONTH(C20),"00")&amp;".",""),""))</f>
      </c>
      <c r="AL20" t="str">
        <f>IF(AK20="","",B20&amp;":  "&amp;AK20)</f>
      </c>
      <c r="AM20">
        <f>(AL20&lt;&gt;"")+AM19</f>
      </c>
      <c r="AN20" t="str">
        <f>IF(AND(AL20&lt;&gt;"",AM20&gt;=3),IF(AN19="",AL20,AN19&amp;"     ·     "&amp;AL20),AN19)</f>
      </c>
      <c r="AO20" t="str">
        <f>_xlfn.TEXTJOIN(" · ",TRUE,IF(I20,IF(AND(YEAR(G20)=Planungsjahr,MONTH(G20)=8),"S "&amp;TEXT(DAY(G20),"00")&amp;"."&amp;TEXT(MONTH(G20),"00")&amp;".",""),""),IF(J20,IF(AND(YEAR(H20)=Planungsjahr,MONTH(H20)=8),"I "&amp;TEXT(DAY(H20),"00")&amp;"."&amp;TEXT(MONTH(H20),"00")&amp;".",""),""),IF(K20,IF(AND(YEAR(C20)=Planungsjahr,MONTH(C20)=8),"P "&amp;TEXT(DAY(C20),"00")&amp;"."&amp;TEXT(MONTH(C20),"00")&amp;".",""),""))</f>
      </c>
      <c r="AP20" t="str">
        <f>IF(AO20="","",B20&amp;":  "&amp;AO20)</f>
      </c>
      <c r="AQ20">
        <f>(AP20&lt;&gt;"")+AQ19</f>
      </c>
      <c r="AR20" t="str">
        <f>IF(AND(AP20&lt;&gt;"",AQ20&gt;=3),IF(AR19="",AP20,AR19&amp;"     ·     "&amp;AP20),AR19)</f>
      </c>
      <c r="AS20" t="str">
        <f>_xlfn.TEXTJOIN(" · ",TRUE,IF(I20,IF(AND(YEAR(G20)=Planungsjahr,MONTH(G20)=9),"S "&amp;TEXT(DAY(G20),"00")&amp;"."&amp;TEXT(MONTH(G20),"00")&amp;".",""),""),IF(J20,IF(AND(YEAR(H20)=Planungsjahr,MONTH(H20)=9),"I "&amp;TEXT(DAY(H20),"00")&amp;"."&amp;TEXT(MONTH(H20),"00")&amp;".",""),""),IF(K20,IF(AND(YEAR(C20)=Planungsjahr,MONTH(C20)=9),"P "&amp;TEXT(DAY(C20),"00")&amp;"."&amp;TEXT(MONTH(C20),"00")&amp;".",""),""))</f>
      </c>
      <c r="AT20" t="str">
        <f>IF(AS20="","",B20&amp;":  "&amp;AS20)</f>
      </c>
      <c r="AU20">
        <f>(AT20&lt;&gt;"")+AU19</f>
      </c>
      <c r="AV20" t="str">
        <f>IF(AND(AT20&lt;&gt;"",AU20&gt;=3),IF(AV19="",AT20,AV19&amp;"     ·     "&amp;AT20),AV19)</f>
      </c>
      <c r="AW20" t="str">
        <f>_xlfn.TEXTJOIN(" · ",TRUE,IF(I20,IF(AND(YEAR(G20)=Planungsjahr,MONTH(G20)=10),"S "&amp;TEXT(DAY(G20),"00")&amp;"."&amp;TEXT(MONTH(G20),"00")&amp;".",""),""),IF(J20,IF(AND(YEAR(H20)=Planungsjahr,MONTH(H20)=10),"I "&amp;TEXT(DAY(H20),"00")&amp;"."&amp;TEXT(MONTH(H20),"00")&amp;".",""),""),IF(K20,IF(AND(YEAR(C20)=Planungsjahr,MONTH(C20)=10),"P "&amp;TEXT(DAY(C20),"00")&amp;"."&amp;TEXT(MONTH(C20),"00")&amp;".",""),""))</f>
      </c>
      <c r="AX20" t="str">
        <f>IF(AW20="","",B20&amp;":  "&amp;AW20)</f>
      </c>
      <c r="AY20">
        <f>(AX20&lt;&gt;"")+AY19</f>
      </c>
      <c r="AZ20" t="str">
        <f>IF(AND(AX20&lt;&gt;"",AY20&gt;=3),IF(AZ19="",AX20,AZ19&amp;"     ·     "&amp;AX20),AZ19)</f>
      </c>
      <c r="BA20" t="str">
        <f>_xlfn.TEXTJOIN(" · ",TRUE,IF(I20,IF(AND(YEAR(G20)=Planungsjahr,MONTH(G20)=11),"S "&amp;TEXT(DAY(G20),"00")&amp;"."&amp;TEXT(MONTH(G20),"00")&amp;".",""),""),IF(J20,IF(AND(YEAR(H20)=Planungsjahr,MONTH(H20)=11),"I "&amp;TEXT(DAY(H20),"00")&amp;"."&amp;TEXT(MONTH(H20),"00")&amp;".",""),""),IF(K20,IF(AND(YEAR(C20)=Planungsjahr,MONTH(C20)=11),"P "&amp;TEXT(DAY(C20),"00")&amp;"."&amp;TEXT(MONTH(C20),"00")&amp;".",""),""))</f>
      </c>
      <c r="BB20" t="str">
        <f>IF(BA20="","",B20&amp;":  "&amp;BA20)</f>
      </c>
      <c r="BC20">
        <f>(BB20&lt;&gt;"")+BC19</f>
      </c>
      <c r="BD20" t="str">
        <f>IF(AND(BB20&lt;&gt;"",BC20&gt;=3),IF(BD19="",BB20,BD19&amp;"     ·     "&amp;BB20),BD19)</f>
      </c>
      <c r="BE20" t="str">
        <f>_xlfn.TEXTJOIN(" · ",TRUE,IF(I20,IF(AND(YEAR(G20)=Planungsjahr,MONTH(G20)=12),"S "&amp;TEXT(DAY(G20),"00")&amp;"."&amp;TEXT(MONTH(G20),"00")&amp;".",""),""),IF(J20,IF(AND(YEAR(H20)=Planungsjahr,MONTH(H20)=12),"I "&amp;TEXT(DAY(H20),"00")&amp;"."&amp;TEXT(MONTH(H20),"00")&amp;".",""),""),IF(K20,IF(AND(YEAR(C20)=Planungsjahr,MONTH(C20)=12),"P "&amp;TEXT(DAY(C20),"00")&amp;"."&amp;TEXT(MONTH(C20),"00")&amp;".",""),""))</f>
      </c>
      <c r="BF20" t="str">
        <f>IF(BE20="","",B20&amp;":  "&amp;BE20)</f>
      </c>
      <c r="BG20">
        <f>(BF20&lt;&gt;"")+BG19</f>
      </c>
      <c r="BH20" t="str">
        <f>IF(AND(BF20&lt;&gt;"",BG20&gt;=3),IF(BH19="",BF20,BH19&amp;"     ·     "&amp;BF20),BH19)</f>
      </c>
    </row>
    <row r="21">
      <c r="A21">
        <v>20</v>
      </c>
      <c r="B21" t="str">
        <f>INDEX(JP_Massnahme,A21)&amp;""</f>
      </c>
      <c r="C21">
        <f>INDEX(JP_PAL,A21)</f>
      </c>
      <c r="D21">
        <f>IF(AND(ISNUMBER(C21),C21&gt;0),COUNTIF(JP_PAL,"&lt;"&amp;C21)+COUNTIF(INDEX(JP_PAL,1):INDEX(JP_PAL,A21),C21),"")</f>
      </c>
      <c r="E21">
        <f>IF(D21="",0,MOD(D21-1,10)+1)</f>
      </c>
      <c r="F21" t="b">
        <f>OR(NOT(Filter_Aktiv),INDEX(JP_Anzeige,A21)=TRUE)</f>
      </c>
      <c r="G21">
        <f>INDEX(JP_StartSel,A21)</f>
      </c>
      <c r="H21">
        <f>INDEX(JP_StartInhalt,A21)</f>
      </c>
      <c r="I21" t="b">
        <f>AND(F21,Anzeige_S,ISNUMBER(G21))</f>
      </c>
      <c r="J21" t="b">
        <f>AND(F21,Anzeige_I,ISNUMBER(H21))</f>
      </c>
      <c r="K21" t="b">
        <f>AND(F21,Anzeige_P,ISNUMBER(C21),C21&gt;0)</f>
      </c>
      <c r="M21" t="str">
        <f>_xlfn.TEXTJOIN(" · ",TRUE,IF(I21,IF(AND(YEAR(G21)=Planungsjahr,MONTH(G21)=1),"S "&amp;TEXT(DAY(G21),"00")&amp;"."&amp;TEXT(MONTH(G21),"00")&amp;".",""),""),IF(J21,IF(AND(YEAR(H21)=Planungsjahr,MONTH(H21)=1),"I "&amp;TEXT(DAY(H21),"00")&amp;"."&amp;TEXT(MONTH(H21),"00")&amp;".",""),""),IF(K21,IF(AND(YEAR(C21)=Planungsjahr,MONTH(C21)=1),"P "&amp;TEXT(DAY(C21),"00")&amp;"."&amp;TEXT(MONTH(C21),"00")&amp;".",""),""))</f>
      </c>
      <c r="N21" t="str">
        <f>IF(M21="","",B21&amp;":  "&amp;M21)</f>
      </c>
      <c r="O21">
        <f>(N21&lt;&gt;"")+O20</f>
      </c>
      <c r="P21" t="str">
        <f>IF(AND(N21&lt;&gt;"",O21&gt;=3),IF(P20="",N21,P20&amp;"     ·     "&amp;N21),P20)</f>
      </c>
      <c r="Q21" t="str">
        <f>_xlfn.TEXTJOIN(" · ",TRUE,IF(I21,IF(AND(YEAR(G21)=Planungsjahr,MONTH(G21)=2),"S "&amp;TEXT(DAY(G21),"00")&amp;"."&amp;TEXT(MONTH(G21),"00")&amp;".",""),""),IF(J21,IF(AND(YEAR(H21)=Planungsjahr,MONTH(H21)=2),"I "&amp;TEXT(DAY(H21),"00")&amp;"."&amp;TEXT(MONTH(H21),"00")&amp;".",""),""),IF(K21,IF(AND(YEAR(C21)=Planungsjahr,MONTH(C21)=2),"P "&amp;TEXT(DAY(C21),"00")&amp;"."&amp;TEXT(MONTH(C21),"00")&amp;".",""),""))</f>
      </c>
      <c r="R21" t="str">
        <f>IF(Q21="","",B21&amp;":  "&amp;Q21)</f>
      </c>
      <c r="S21">
        <f>(R21&lt;&gt;"")+S20</f>
      </c>
      <c r="T21" t="str">
        <f>IF(AND(R21&lt;&gt;"",S21&gt;=3),IF(T20="",R21,T20&amp;"     ·     "&amp;R21),T20)</f>
      </c>
      <c r="U21" t="str">
        <f>_xlfn.TEXTJOIN(" · ",TRUE,IF(I21,IF(AND(YEAR(G21)=Planungsjahr,MONTH(G21)=3),"S "&amp;TEXT(DAY(G21),"00")&amp;"."&amp;TEXT(MONTH(G21),"00")&amp;".",""),""),IF(J21,IF(AND(YEAR(H21)=Planungsjahr,MONTH(H21)=3),"I "&amp;TEXT(DAY(H21),"00")&amp;"."&amp;TEXT(MONTH(H21),"00")&amp;".",""),""),IF(K21,IF(AND(YEAR(C21)=Planungsjahr,MONTH(C21)=3),"P "&amp;TEXT(DAY(C21),"00")&amp;"."&amp;TEXT(MONTH(C21),"00")&amp;".",""),""))</f>
      </c>
      <c r="V21" t="str">
        <f>IF(U21="","",B21&amp;":  "&amp;U21)</f>
      </c>
      <c r="W21">
        <f>(V21&lt;&gt;"")+W20</f>
      </c>
      <c r="X21" t="str">
        <f>IF(AND(V21&lt;&gt;"",W21&gt;=3),IF(X20="",V21,X20&amp;"     ·     "&amp;V21),X20)</f>
      </c>
      <c r="Y21" t="str">
        <f>_xlfn.TEXTJOIN(" · ",TRUE,IF(I21,IF(AND(YEAR(G21)=Planungsjahr,MONTH(G21)=4),"S "&amp;TEXT(DAY(G21),"00")&amp;"."&amp;TEXT(MONTH(G21),"00")&amp;".",""),""),IF(J21,IF(AND(YEAR(H21)=Planungsjahr,MONTH(H21)=4),"I "&amp;TEXT(DAY(H21),"00")&amp;"."&amp;TEXT(MONTH(H21),"00")&amp;".",""),""),IF(K21,IF(AND(YEAR(C21)=Planungsjahr,MONTH(C21)=4),"P "&amp;TEXT(DAY(C21),"00")&amp;"."&amp;TEXT(MONTH(C21),"00")&amp;".",""),""))</f>
      </c>
      <c r="Z21" t="str">
        <f>IF(Y21="","",B21&amp;":  "&amp;Y21)</f>
      </c>
      <c r="AA21">
        <f>(Z21&lt;&gt;"")+AA20</f>
      </c>
      <c r="AB21" t="str">
        <f>IF(AND(Z21&lt;&gt;"",AA21&gt;=3),IF(AB20="",Z21,AB20&amp;"     ·     "&amp;Z21),AB20)</f>
      </c>
      <c r="AC21" t="str">
        <f>_xlfn.TEXTJOIN(" · ",TRUE,IF(I21,IF(AND(YEAR(G21)=Planungsjahr,MONTH(G21)=5),"S "&amp;TEXT(DAY(G21),"00")&amp;"."&amp;TEXT(MONTH(G21),"00")&amp;".",""),""),IF(J21,IF(AND(YEAR(H21)=Planungsjahr,MONTH(H21)=5),"I "&amp;TEXT(DAY(H21),"00")&amp;"."&amp;TEXT(MONTH(H21),"00")&amp;".",""),""),IF(K21,IF(AND(YEAR(C21)=Planungsjahr,MONTH(C21)=5),"P "&amp;TEXT(DAY(C21),"00")&amp;"."&amp;TEXT(MONTH(C21),"00")&amp;".",""),""))</f>
      </c>
      <c r="AD21" t="str">
        <f>IF(AC21="","",B21&amp;":  "&amp;AC21)</f>
      </c>
      <c r="AE21">
        <f>(AD21&lt;&gt;"")+AE20</f>
      </c>
      <c r="AF21" t="str">
        <f>IF(AND(AD21&lt;&gt;"",AE21&gt;=3),IF(AF20="",AD21,AF20&amp;"     ·     "&amp;AD21),AF20)</f>
      </c>
      <c r="AG21" t="str">
        <f>_xlfn.TEXTJOIN(" · ",TRUE,IF(I21,IF(AND(YEAR(G21)=Planungsjahr,MONTH(G21)=6),"S "&amp;TEXT(DAY(G21),"00")&amp;"."&amp;TEXT(MONTH(G21),"00")&amp;".",""),""),IF(J21,IF(AND(YEAR(H21)=Planungsjahr,MONTH(H21)=6),"I "&amp;TEXT(DAY(H21),"00")&amp;"."&amp;TEXT(MONTH(H21),"00")&amp;".",""),""),IF(K21,IF(AND(YEAR(C21)=Planungsjahr,MONTH(C21)=6),"P "&amp;TEXT(DAY(C21),"00")&amp;"."&amp;TEXT(MONTH(C21),"00")&amp;".",""),""))</f>
      </c>
      <c r="AH21" t="str">
        <f>IF(AG21="","",B21&amp;":  "&amp;AG21)</f>
      </c>
      <c r="AI21">
        <f>(AH21&lt;&gt;"")+AI20</f>
      </c>
      <c r="AJ21" t="str">
        <f>IF(AND(AH21&lt;&gt;"",AI21&gt;=3),IF(AJ20="",AH21,AJ20&amp;"     ·     "&amp;AH21),AJ20)</f>
      </c>
      <c r="AK21" t="str">
        <f>_xlfn.TEXTJOIN(" · ",TRUE,IF(I21,IF(AND(YEAR(G21)=Planungsjahr,MONTH(G21)=7),"S "&amp;TEXT(DAY(G21),"00")&amp;"."&amp;TEXT(MONTH(G21),"00")&amp;".",""),""),IF(J21,IF(AND(YEAR(H21)=Planungsjahr,MONTH(H21)=7),"I "&amp;TEXT(DAY(H21),"00")&amp;"."&amp;TEXT(MONTH(H21),"00")&amp;".",""),""),IF(K21,IF(AND(YEAR(C21)=Planungsjahr,MONTH(C21)=7),"P "&amp;TEXT(DAY(C21),"00")&amp;"."&amp;TEXT(MONTH(C21),"00")&amp;".",""),""))</f>
      </c>
      <c r="AL21" t="str">
        <f>IF(AK21="","",B21&amp;":  "&amp;AK21)</f>
      </c>
      <c r="AM21">
        <f>(AL21&lt;&gt;"")+AM20</f>
      </c>
      <c r="AN21" t="str">
        <f>IF(AND(AL21&lt;&gt;"",AM21&gt;=3),IF(AN20="",AL21,AN20&amp;"     ·     "&amp;AL21),AN20)</f>
      </c>
      <c r="AO21" t="str">
        <f>_xlfn.TEXTJOIN(" · ",TRUE,IF(I21,IF(AND(YEAR(G21)=Planungsjahr,MONTH(G21)=8),"S "&amp;TEXT(DAY(G21),"00")&amp;"."&amp;TEXT(MONTH(G21),"00")&amp;".",""),""),IF(J21,IF(AND(YEAR(H21)=Planungsjahr,MONTH(H21)=8),"I "&amp;TEXT(DAY(H21),"00")&amp;"."&amp;TEXT(MONTH(H21),"00")&amp;".",""),""),IF(K21,IF(AND(YEAR(C21)=Planungsjahr,MONTH(C21)=8),"P "&amp;TEXT(DAY(C21),"00")&amp;"."&amp;TEXT(MONTH(C21),"00")&amp;".",""),""))</f>
      </c>
      <c r="AP21" t="str">
        <f>IF(AO21="","",B21&amp;":  "&amp;AO21)</f>
      </c>
      <c r="AQ21">
        <f>(AP21&lt;&gt;"")+AQ20</f>
      </c>
      <c r="AR21" t="str">
        <f>IF(AND(AP21&lt;&gt;"",AQ21&gt;=3),IF(AR20="",AP21,AR20&amp;"     ·     "&amp;AP21),AR20)</f>
      </c>
      <c r="AS21" t="str">
        <f>_xlfn.TEXTJOIN(" · ",TRUE,IF(I21,IF(AND(YEAR(G21)=Planungsjahr,MONTH(G21)=9),"S "&amp;TEXT(DAY(G21),"00")&amp;"."&amp;TEXT(MONTH(G21),"00")&amp;".",""),""),IF(J21,IF(AND(YEAR(H21)=Planungsjahr,MONTH(H21)=9),"I "&amp;TEXT(DAY(H21),"00")&amp;"."&amp;TEXT(MONTH(H21),"00")&amp;".",""),""),IF(K21,IF(AND(YEAR(C21)=Planungsjahr,MONTH(C21)=9),"P "&amp;TEXT(DAY(C21),"00")&amp;"."&amp;TEXT(MONTH(C21),"00")&amp;".",""),""))</f>
      </c>
      <c r="AT21" t="str">
        <f>IF(AS21="","",B21&amp;":  "&amp;AS21)</f>
      </c>
      <c r="AU21">
        <f>(AT21&lt;&gt;"")+AU20</f>
      </c>
      <c r="AV21" t="str">
        <f>IF(AND(AT21&lt;&gt;"",AU21&gt;=3),IF(AV20="",AT21,AV20&amp;"     ·     "&amp;AT21),AV20)</f>
      </c>
      <c r="AW21" t="str">
        <f>_xlfn.TEXTJOIN(" · ",TRUE,IF(I21,IF(AND(YEAR(G21)=Planungsjahr,MONTH(G21)=10),"S "&amp;TEXT(DAY(G21),"00")&amp;"."&amp;TEXT(MONTH(G21),"00")&amp;".",""),""),IF(J21,IF(AND(YEAR(H21)=Planungsjahr,MONTH(H21)=10),"I "&amp;TEXT(DAY(H21),"00")&amp;"."&amp;TEXT(MONTH(H21),"00")&amp;".",""),""),IF(K21,IF(AND(YEAR(C21)=Planungsjahr,MONTH(C21)=10),"P "&amp;TEXT(DAY(C21),"00")&amp;"."&amp;TEXT(MONTH(C21),"00")&amp;".",""),""))</f>
      </c>
      <c r="AX21" t="str">
        <f>IF(AW21="","",B21&amp;":  "&amp;AW21)</f>
      </c>
      <c r="AY21">
        <f>(AX21&lt;&gt;"")+AY20</f>
      </c>
      <c r="AZ21" t="str">
        <f>IF(AND(AX21&lt;&gt;"",AY21&gt;=3),IF(AZ20="",AX21,AZ20&amp;"     ·     "&amp;AX21),AZ20)</f>
      </c>
      <c r="BA21" t="str">
        <f>_xlfn.TEXTJOIN(" · ",TRUE,IF(I21,IF(AND(YEAR(G21)=Planungsjahr,MONTH(G21)=11),"S "&amp;TEXT(DAY(G21),"00")&amp;"."&amp;TEXT(MONTH(G21),"00")&amp;".",""),""),IF(J21,IF(AND(YEAR(H21)=Planungsjahr,MONTH(H21)=11),"I "&amp;TEXT(DAY(H21),"00")&amp;"."&amp;TEXT(MONTH(H21),"00")&amp;".",""),""),IF(K21,IF(AND(YEAR(C21)=Planungsjahr,MONTH(C21)=11),"P "&amp;TEXT(DAY(C21),"00")&amp;"."&amp;TEXT(MONTH(C21),"00")&amp;".",""),""))</f>
      </c>
      <c r="BB21" t="str">
        <f>IF(BA21="","",B21&amp;":  "&amp;BA21)</f>
      </c>
      <c r="BC21">
        <f>(BB21&lt;&gt;"")+BC20</f>
      </c>
      <c r="BD21" t="str">
        <f>IF(AND(BB21&lt;&gt;"",BC21&gt;=3),IF(BD20="",BB21,BD20&amp;"     ·     "&amp;BB21),BD20)</f>
      </c>
      <c r="BE21" t="str">
        <f>_xlfn.TEXTJOIN(" · ",TRUE,IF(I21,IF(AND(YEAR(G21)=Planungsjahr,MONTH(G21)=12),"S "&amp;TEXT(DAY(G21),"00")&amp;"."&amp;TEXT(MONTH(G21),"00")&amp;".",""),""),IF(J21,IF(AND(YEAR(H21)=Planungsjahr,MONTH(H21)=12),"I "&amp;TEXT(DAY(H21),"00")&amp;"."&amp;TEXT(MONTH(H21),"00")&amp;".",""),""),IF(K21,IF(AND(YEAR(C21)=Planungsjahr,MONTH(C21)=12),"P "&amp;TEXT(DAY(C21),"00")&amp;"."&amp;TEXT(MONTH(C21),"00")&amp;".",""),""))</f>
      </c>
      <c r="BF21" t="str">
        <f>IF(BE21="","",B21&amp;":  "&amp;BE21)</f>
      </c>
      <c r="BG21">
        <f>(BF21&lt;&gt;"")+BG20</f>
      </c>
      <c r="BH21" t="str">
        <f>IF(AND(BF21&lt;&gt;"",BG21&gt;=3),IF(BH20="",BF21,BH20&amp;"     ·     "&amp;BF21),BH20)</f>
      </c>
    </row>
    <row r="23">
      <c r="A23" t="inlineStr">
        <is>
          <t>Monat</t>
        </is>
      </c>
      <c r="B23" t="inlineStr">
        <is>
          <t>Zeile</t>
        </is>
      </c>
      <c r="C23" t="inlineStr">
        <is>
          <t>Text im Kalender</t>
        </is>
      </c>
      <c r="D23" t="inlineStr">
        <is>
          <t>Farbe</t>
        </is>
      </c>
    </row>
    <row r="24">
      <c r="A24">
        <v>1</v>
      </c>
      <c r="B24">
        <v>1</v>
      </c>
      <c r="C24" t="str">
        <f>IFERROR(INDEX($N$2:$N$21,MATCH(1,$O$2:$O$21,0)),"")</f>
      </c>
      <c r="D24">
        <f>IFERROR(INDEX($E$2:$E$21,MATCH(1,$O$2:$O$21,0)),"")</f>
      </c>
    </row>
    <row r="25">
      <c r="A25">
        <v>1</v>
      </c>
      <c r="B25">
        <v>2</v>
      </c>
      <c r="C25" t="str">
        <f>IFERROR(INDEX($N$2:$N$21,MATCH(2,$O$2:$O$21,0)),"")</f>
      </c>
      <c r="D25">
        <f>IFERROR(INDEX($E$2:$E$21,MATCH(2,$O$2:$O$21,0)),"")</f>
      </c>
    </row>
    <row r="26">
      <c r="A26">
        <v>1</v>
      </c>
      <c r="B26">
        <v>3</v>
      </c>
      <c r="C26" t="str">
        <f>$P$21</f>
      </c>
      <c r="D26">
        <f>IFERROR(INDEX($E$2:$E$21,MATCH(3,$O$2:$O$21,0)),"")</f>
      </c>
    </row>
    <row r="27">
      <c r="A27">
        <v>2</v>
      </c>
      <c r="B27">
        <v>1</v>
      </c>
      <c r="C27" t="str">
        <f>IFERROR(INDEX($R$2:$R$21,MATCH(1,$S$2:$S$21,0)),"")</f>
      </c>
      <c r="D27">
        <f>IFERROR(INDEX($E$2:$E$21,MATCH(1,$S$2:$S$21,0)),"")</f>
      </c>
    </row>
    <row r="28">
      <c r="A28">
        <v>2</v>
      </c>
      <c r="B28">
        <v>2</v>
      </c>
      <c r="C28" t="str">
        <f>IFERROR(INDEX($R$2:$R$21,MATCH(2,$S$2:$S$21,0)),"")</f>
      </c>
      <c r="D28">
        <f>IFERROR(INDEX($E$2:$E$21,MATCH(2,$S$2:$S$21,0)),"")</f>
      </c>
    </row>
    <row r="29">
      <c r="A29">
        <v>2</v>
      </c>
      <c r="B29">
        <v>3</v>
      </c>
      <c r="C29" t="str">
        <f>$T$21</f>
      </c>
      <c r="D29">
        <f>IFERROR(INDEX($E$2:$E$21,MATCH(3,$S$2:$S$21,0)),"")</f>
      </c>
    </row>
    <row r="30">
      <c r="A30">
        <v>3</v>
      </c>
      <c r="B30">
        <v>1</v>
      </c>
      <c r="C30" t="str">
        <f>IFERROR(INDEX($V$2:$V$21,MATCH(1,$W$2:$W$21,0)),"")</f>
      </c>
      <c r="D30">
        <f>IFERROR(INDEX($E$2:$E$21,MATCH(1,$W$2:$W$21,0)),"")</f>
      </c>
    </row>
    <row r="31">
      <c r="A31">
        <v>3</v>
      </c>
      <c r="B31">
        <v>2</v>
      </c>
      <c r="C31" t="str">
        <f>IFERROR(INDEX($V$2:$V$21,MATCH(2,$W$2:$W$21,0)),"")</f>
      </c>
      <c r="D31">
        <f>IFERROR(INDEX($E$2:$E$21,MATCH(2,$W$2:$W$21,0)),"")</f>
      </c>
    </row>
    <row r="32">
      <c r="A32">
        <v>3</v>
      </c>
      <c r="B32">
        <v>3</v>
      </c>
      <c r="C32" t="str">
        <f>$X$21</f>
      </c>
      <c r="D32">
        <f>IFERROR(INDEX($E$2:$E$21,MATCH(3,$W$2:$W$21,0)),"")</f>
      </c>
    </row>
    <row r="33">
      <c r="A33">
        <v>4</v>
      </c>
      <c r="B33">
        <v>1</v>
      </c>
      <c r="C33" t="str">
        <f>IFERROR(INDEX($Z$2:$Z$21,MATCH(1,$AA$2:$AA$21,0)),"")</f>
      </c>
      <c r="D33">
        <f>IFERROR(INDEX($E$2:$E$21,MATCH(1,$AA$2:$AA$21,0)),"")</f>
      </c>
    </row>
    <row r="34">
      <c r="A34">
        <v>4</v>
      </c>
      <c r="B34">
        <v>2</v>
      </c>
      <c r="C34" t="str">
        <f>IFERROR(INDEX($Z$2:$Z$21,MATCH(2,$AA$2:$AA$21,0)),"")</f>
      </c>
      <c r="D34">
        <f>IFERROR(INDEX($E$2:$E$21,MATCH(2,$AA$2:$AA$21,0)),"")</f>
      </c>
    </row>
    <row r="35">
      <c r="A35">
        <v>4</v>
      </c>
      <c r="B35">
        <v>3</v>
      </c>
      <c r="C35" t="str">
        <f>$AB$21</f>
      </c>
      <c r="D35">
        <f>IFERROR(INDEX($E$2:$E$21,MATCH(3,$AA$2:$AA$21,0)),"")</f>
      </c>
    </row>
    <row r="36">
      <c r="A36">
        <v>5</v>
      </c>
      <c r="B36">
        <v>1</v>
      </c>
      <c r="C36" t="str">
        <f>IFERROR(INDEX($AD$2:$AD$21,MATCH(1,$AE$2:$AE$21,0)),"")</f>
      </c>
      <c r="D36">
        <f>IFERROR(INDEX($E$2:$E$21,MATCH(1,$AE$2:$AE$21,0)),"")</f>
      </c>
    </row>
    <row r="37">
      <c r="A37">
        <v>5</v>
      </c>
      <c r="B37">
        <v>2</v>
      </c>
      <c r="C37" t="str">
        <f>IFERROR(INDEX($AD$2:$AD$21,MATCH(2,$AE$2:$AE$21,0)),"")</f>
      </c>
      <c r="D37">
        <f>IFERROR(INDEX($E$2:$E$21,MATCH(2,$AE$2:$AE$21,0)),"")</f>
      </c>
    </row>
    <row r="38">
      <c r="A38">
        <v>5</v>
      </c>
      <c r="B38">
        <v>3</v>
      </c>
      <c r="C38" t="str">
        <f>$AF$21</f>
      </c>
      <c r="D38">
        <f>IFERROR(INDEX($E$2:$E$21,MATCH(3,$AE$2:$AE$21,0)),"")</f>
      </c>
    </row>
    <row r="39">
      <c r="A39">
        <v>6</v>
      </c>
      <c r="B39">
        <v>1</v>
      </c>
      <c r="C39" t="str">
        <f>IFERROR(INDEX($AH$2:$AH$21,MATCH(1,$AI$2:$AI$21,0)),"")</f>
      </c>
      <c r="D39">
        <f>IFERROR(INDEX($E$2:$E$21,MATCH(1,$AI$2:$AI$21,0)),"")</f>
      </c>
    </row>
    <row r="40">
      <c r="A40">
        <v>6</v>
      </c>
      <c r="B40">
        <v>2</v>
      </c>
      <c r="C40" t="str">
        <f>IFERROR(INDEX($AH$2:$AH$21,MATCH(2,$AI$2:$AI$21,0)),"")</f>
      </c>
      <c r="D40">
        <f>IFERROR(INDEX($E$2:$E$21,MATCH(2,$AI$2:$AI$21,0)),"")</f>
      </c>
    </row>
    <row r="41">
      <c r="A41">
        <v>6</v>
      </c>
      <c r="B41">
        <v>3</v>
      </c>
      <c r="C41" t="str">
        <f>$AJ$21</f>
      </c>
      <c r="D41">
        <f>IFERROR(INDEX($E$2:$E$21,MATCH(3,$AI$2:$AI$21,0)),"")</f>
      </c>
    </row>
    <row r="42">
      <c r="A42">
        <v>7</v>
      </c>
      <c r="B42">
        <v>1</v>
      </c>
      <c r="C42" t="str">
        <f>IFERROR(INDEX($AL$2:$AL$21,MATCH(1,$AM$2:$AM$21,0)),"")</f>
      </c>
      <c r="D42">
        <f>IFERROR(INDEX($E$2:$E$21,MATCH(1,$AM$2:$AM$21,0)),"")</f>
      </c>
    </row>
    <row r="43">
      <c r="A43">
        <v>7</v>
      </c>
      <c r="B43">
        <v>2</v>
      </c>
      <c r="C43" t="str">
        <f>IFERROR(INDEX($AL$2:$AL$21,MATCH(2,$AM$2:$AM$21,0)),"")</f>
      </c>
      <c r="D43">
        <f>IFERROR(INDEX($E$2:$E$21,MATCH(2,$AM$2:$AM$21,0)),"")</f>
      </c>
    </row>
    <row r="44">
      <c r="A44">
        <v>7</v>
      </c>
      <c r="B44">
        <v>3</v>
      </c>
      <c r="C44" t="str">
        <f>$AN$21</f>
      </c>
      <c r="D44">
        <f>IFERROR(INDEX($E$2:$E$21,MATCH(3,$AM$2:$AM$21,0)),"")</f>
      </c>
    </row>
    <row r="45">
      <c r="A45">
        <v>8</v>
      </c>
      <c r="B45">
        <v>1</v>
      </c>
      <c r="C45" t="str">
        <f>IFERROR(INDEX($AP$2:$AP$21,MATCH(1,$AQ$2:$AQ$21,0)),"")</f>
      </c>
      <c r="D45">
        <f>IFERROR(INDEX($E$2:$E$21,MATCH(1,$AQ$2:$AQ$21,0)),"")</f>
      </c>
    </row>
    <row r="46">
      <c r="A46">
        <v>8</v>
      </c>
      <c r="B46">
        <v>2</v>
      </c>
      <c r="C46" t="str">
        <f>IFERROR(INDEX($AP$2:$AP$21,MATCH(2,$AQ$2:$AQ$21,0)),"")</f>
      </c>
      <c r="D46">
        <f>IFERROR(INDEX($E$2:$E$21,MATCH(2,$AQ$2:$AQ$21,0)),"")</f>
      </c>
    </row>
    <row r="47">
      <c r="A47">
        <v>8</v>
      </c>
      <c r="B47">
        <v>3</v>
      </c>
      <c r="C47" t="str">
        <f>$AR$21</f>
      </c>
      <c r="D47">
        <f>IFERROR(INDEX($E$2:$E$21,MATCH(3,$AQ$2:$AQ$21,0)),"")</f>
      </c>
    </row>
    <row r="48">
      <c r="A48">
        <v>9</v>
      </c>
      <c r="B48">
        <v>1</v>
      </c>
      <c r="C48" t="str">
        <f>IFERROR(INDEX($AT$2:$AT$21,MATCH(1,$AU$2:$AU$21,0)),"")</f>
      </c>
      <c r="D48">
        <f>IFERROR(INDEX($E$2:$E$21,MATCH(1,$AU$2:$AU$21,0)),"")</f>
      </c>
    </row>
    <row r="49">
      <c r="A49">
        <v>9</v>
      </c>
      <c r="B49">
        <v>2</v>
      </c>
      <c r="C49" t="str">
        <f>IFERROR(INDEX($AT$2:$AT$21,MATCH(2,$AU$2:$AU$21,0)),"")</f>
      </c>
      <c r="D49">
        <f>IFERROR(INDEX($E$2:$E$21,MATCH(2,$AU$2:$AU$21,0)),"")</f>
      </c>
    </row>
    <row r="50">
      <c r="A50">
        <v>9</v>
      </c>
      <c r="B50">
        <v>3</v>
      </c>
      <c r="C50" t="str">
        <f>$AV$21</f>
      </c>
      <c r="D50">
        <f>IFERROR(INDEX($E$2:$E$21,MATCH(3,$AU$2:$AU$21,0)),"")</f>
      </c>
    </row>
    <row r="51">
      <c r="A51">
        <v>10</v>
      </c>
      <c r="B51">
        <v>1</v>
      </c>
      <c r="C51" t="str">
        <f>IFERROR(INDEX($AX$2:$AX$21,MATCH(1,$AY$2:$AY$21,0)),"")</f>
      </c>
      <c r="D51">
        <f>IFERROR(INDEX($E$2:$E$21,MATCH(1,$AY$2:$AY$21,0)),"")</f>
      </c>
    </row>
    <row r="52">
      <c r="A52">
        <v>10</v>
      </c>
      <c r="B52">
        <v>2</v>
      </c>
      <c r="C52" t="str">
        <f>IFERROR(INDEX($AX$2:$AX$21,MATCH(2,$AY$2:$AY$21,0)),"")</f>
      </c>
      <c r="D52">
        <f>IFERROR(INDEX($E$2:$E$21,MATCH(2,$AY$2:$AY$21,0)),"")</f>
      </c>
    </row>
    <row r="53">
      <c r="A53">
        <v>10</v>
      </c>
      <c r="B53">
        <v>3</v>
      </c>
      <c r="C53" t="str">
        <f>$AZ$21</f>
      </c>
      <c r="D53">
        <f>IFERROR(INDEX($E$2:$E$21,MATCH(3,$AY$2:$AY$21,0)),"")</f>
      </c>
    </row>
    <row r="54">
      <c r="A54">
        <v>11</v>
      </c>
      <c r="B54">
        <v>1</v>
      </c>
      <c r="C54" t="str">
        <f>IFERROR(INDEX($BB$2:$BB$21,MATCH(1,$BC$2:$BC$21,0)),"")</f>
      </c>
      <c r="D54">
        <f>IFERROR(INDEX($E$2:$E$21,MATCH(1,$BC$2:$BC$21,0)),"")</f>
      </c>
    </row>
    <row r="55">
      <c r="A55">
        <v>11</v>
      </c>
      <c r="B55">
        <v>2</v>
      </c>
      <c r="C55" t="str">
        <f>IFERROR(INDEX($BB$2:$BB$21,MATCH(2,$BC$2:$BC$21,0)),"")</f>
      </c>
      <c r="D55">
        <f>IFERROR(INDEX($E$2:$E$21,MATCH(2,$BC$2:$BC$21,0)),"")</f>
      </c>
    </row>
    <row r="56">
      <c r="A56">
        <v>11</v>
      </c>
      <c r="B56">
        <v>3</v>
      </c>
      <c r="C56" t="str">
        <f>$BD$21</f>
      </c>
      <c r="D56">
        <f>IFERROR(INDEX($E$2:$E$21,MATCH(3,$BC$2:$BC$21,0)),"")</f>
      </c>
    </row>
    <row r="57">
      <c r="A57">
        <v>12</v>
      </c>
      <c r="B57">
        <v>1</v>
      </c>
      <c r="C57" t="str">
        <f>IFERROR(INDEX($BF$2:$BF$21,MATCH(1,$BG$2:$BG$21,0)),"")</f>
      </c>
      <c r="D57">
        <f>IFERROR(INDEX($E$2:$E$21,MATCH(1,$BG$2:$BG$21,0)),"")</f>
      </c>
    </row>
    <row r="58">
      <c r="A58">
        <v>12</v>
      </c>
      <c r="B58">
        <v>2</v>
      </c>
      <c r="C58" t="str">
        <f>IFERROR(INDEX($BF$2:$BF$21,MATCH(2,$BG$2:$BG$21,0)),"")</f>
      </c>
      <c r="D58">
        <f>IFERROR(INDEX($E$2:$E$21,MATCH(2,$BG$2:$BG$21,0)),"")</f>
      </c>
    </row>
    <row r="59">
      <c r="A59">
        <v>12</v>
      </c>
      <c r="B59">
        <v>3</v>
      </c>
      <c r="C59" t="str">
        <f>$BH$21</f>
      </c>
      <c r="D59">
        <f>IFERROR(INDEX($E$2:$E$21,MATCH(3,$BG$2:$BG$21,0)),"")</f>
      </c>
    </row>
  </sheetData>
  <pageMargins left="0.7" right="0.7" top="0.78" bottom="0.78"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21</vt:i4>
      </vt:variant>
    </vt:vector>
  </HeadingPairs>
  <TitlesOfParts>
    <vt:vector size="26" baseType="lpstr">
      <vt:lpstr>Jahresplanung</vt:lpstr>
      <vt:lpstr>Sommermailing</vt:lpstr>
      <vt:lpstr>Weihnachtsmailing</vt:lpstr>
      <vt:lpstr>Feiertage &amp; Urlaub</vt:lpstr>
      <vt:lpstr>Hilfsdaten</vt:lpstr>
      <vt:lpstr>Jahresplanung!Druckbereich</vt:lpstr>
      <vt:lpstr>Sommermailing!Drucktitel</vt:lpstr>
      <vt:lpstr>Weihnachtsmailing!Drucktitel</vt:lpstr>
      <vt:lpstr>Anzeige_I</vt:lpstr>
      <vt:lpstr>Anzeige_P</vt:lpstr>
      <vt:lpstr>Anzeige_S</vt:lpstr>
      <vt:lpstr>Feiertage</vt:lpstr>
      <vt:lpstr>Feiertage_Name</vt:lpstr>
      <vt:lpstr>JP_Anzeige</vt:lpstr>
      <vt:lpstr>JP_Auflage</vt:lpstr>
      <vt:lpstr>JP_Massnahme</vt:lpstr>
      <vt:lpstr>JP_PAL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